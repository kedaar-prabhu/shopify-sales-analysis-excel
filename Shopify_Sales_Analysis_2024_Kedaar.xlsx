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8_{61D228FF-7F09-431B-BB7D-86BE0F4A72F5}" xr6:coauthVersionLast="47" xr6:coauthVersionMax="47" xr10:uidLastSave="{00000000-0000-0000-0000-000000000000}"/>
  <bookViews>
    <workbookView xWindow="-108" yWindow="-108" windowWidth="23256" windowHeight="12456" activeTab="1" xr2:uid="{00000000-000D-0000-FFFF-FFFF00000000}"/>
  </bookViews>
  <sheets>
    <sheet name="Raw Data" sheetId="1" r:id="rId1"/>
    <sheet name="Orders_Clean" sheetId="3" r:id="rId2"/>
    <sheet name="KPIs" sheetId="4" r:id="rId3"/>
    <sheet name="Revenue by Month" sheetId="6" r:id="rId4"/>
    <sheet name="Orders by Sales" sheetId="7" r:id="rId5"/>
    <sheet name="Fulfillment status breakdown" sheetId="8" r:id="rId6"/>
    <sheet name="Revenue by Product" sheetId="9" r:id="rId7"/>
    <sheet name="Payment Method analysis" sheetId="10" r:id="rId8"/>
    <sheet name="Dashboard" sheetId="11" r:id="rId9"/>
    <sheet name="Insights" sheetId="12" r:id="rId10"/>
  </sheets>
  <definedNames>
    <definedName name="_xlnm._FilterDatabase" localSheetId="1" hidden="1">Orders_Clean!$A$1:$Z$1001</definedName>
    <definedName name="_xlnm._FilterDatabase" localSheetId="0" hidden="1">'Raw Data'!$A$1:$W$1</definedName>
    <definedName name="Slicer_Month_Name">#N/A</definedName>
    <definedName name="Slicer_Sales_Channel">#N/A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2" l="1" a="1"/>
  <c r="C8" i="12" s="1"/>
  <c r="C10" i="12"/>
  <c r="C14" i="12"/>
  <c r="C13" i="12"/>
  <c r="C12" i="12"/>
  <c r="C11" i="12"/>
  <c r="C9" i="12"/>
  <c r="N5" i="11"/>
  <c r="D8" i="4"/>
  <c r="J5" i="11"/>
  <c r="D5" i="4"/>
  <c r="B5" i="11"/>
  <c r="D4" i="4"/>
  <c r="F5" i="11"/>
  <c r="D3" i="4"/>
  <c r="C9" i="8"/>
  <c r="C5" i="8"/>
  <c r="C6" i="8"/>
  <c r="C7" i="8"/>
  <c r="C8" i="8"/>
  <c r="C4" i="8"/>
  <c r="D11" i="4"/>
  <c r="D10" i="4"/>
  <c r="I14" i="4" a="1"/>
  <c r="I14" i="4" s="1"/>
  <c r="I13" i="4" a="1"/>
  <c r="I13" i="4" s="1"/>
  <c r="I12" i="4" a="1"/>
  <c r="I12" i="4" s="1"/>
  <c r="I11" i="4" a="1"/>
  <c r="I11" i="4" s="1"/>
  <c r="I10" i="4" a="1"/>
  <c r="I10" i="4" s="1"/>
  <c r="I9" i="4" a="1"/>
  <c r="I9" i="4" s="1"/>
  <c r="I8" i="4" a="1"/>
  <c r="I8" i="4" s="1"/>
  <c r="I7" i="4" a="1"/>
  <c r="I7" i="4" s="1"/>
  <c r="I6" i="4" a="1"/>
  <c r="I6" i="4" s="1"/>
  <c r="I5" i="4" a="1"/>
  <c r="I5" i="4" s="1"/>
  <c r="I4" i="4" a="1"/>
  <c r="I4" i="4" s="1"/>
  <c r="I3" i="4" a="1"/>
  <c r="I3" i="4" s="1"/>
  <c r="D9" i="4"/>
  <c r="D7" i="4"/>
  <c r="D6" i="4"/>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<sst xmlns="http://schemas.openxmlformats.org/spreadsheetml/2006/main" count="31692" uniqueCount="5895">
  <si>
    <t>Order ID</t>
  </si>
  <si>
    <t>Order Date</t>
  </si>
  <si>
    <t>Order Time</t>
  </si>
  <si>
    <t>Customer Name</t>
  </si>
  <si>
    <t>Email</t>
  </si>
  <si>
    <t>Phone</t>
  </si>
  <si>
    <t>City</t>
  </si>
  <si>
    <t>State</t>
  </si>
  <si>
    <t>Country</t>
  </si>
  <si>
    <t>Line Items</t>
  </si>
  <si>
    <t>Primary Category</t>
  </si>
  <si>
    <t>Total Items</t>
  </si>
  <si>
    <t>Subtotal ($)</t>
  </si>
  <si>
    <t>Discount Code</t>
  </si>
  <si>
    <t>Discount Amount ($)</t>
  </si>
  <si>
    <t>Shipping ($)</t>
  </si>
  <si>
    <t>Tax ($)</t>
  </si>
  <si>
    <t>Order Total ($)</t>
  </si>
  <si>
    <t>Payment Method</t>
  </si>
  <si>
    <t>Sales Channel</t>
  </si>
  <si>
    <t>Fulfillment Status</t>
  </si>
  <si>
    <t>Fulfillment Date</t>
  </si>
  <si>
    <t>Refund Amount ($)</t>
  </si>
  <si>
    <t>#ORD-10001</t>
  </si>
  <si>
    <t>2024-02-24</t>
  </si>
  <si>
    <t>04:35:15</t>
  </si>
  <si>
    <t>Mason Johnson</t>
  </si>
  <si>
    <t>mason.johnson36@gmail.com</t>
  </si>
  <si>
    <t>+1-933-765-9928</t>
  </si>
  <si>
    <t>Portland</t>
  </si>
  <si>
    <t>OR</t>
  </si>
  <si>
    <t>United States</t>
  </si>
  <si>
    <t>Anti-Aging Serum 1oz x1 | Men's Grooming Kit x1 | Leather Wallet Slim x1</t>
  </si>
  <si>
    <t>Beauty</t>
  </si>
  <si>
    <t>None</t>
  </si>
  <si>
    <t>Credit Card</t>
  </si>
  <si>
    <t>Facebook</t>
  </si>
  <si>
    <t>Refunded</t>
  </si>
  <si>
    <t>2024-02-26</t>
  </si>
  <si>
    <t>#ORD-10002</t>
  </si>
  <si>
    <t>2024-12-03</t>
  </si>
  <si>
    <t>14:27:58</t>
  </si>
  <si>
    <t>Sofia Anderson</t>
  </si>
  <si>
    <t>sofia.anderson76@gmail.com</t>
  </si>
  <si>
    <t>+1-294-489-2584</t>
  </si>
  <si>
    <t>Charlotte</t>
  </si>
  <si>
    <t>NC</t>
  </si>
  <si>
    <t>High-Waist Leggings x1</t>
  </si>
  <si>
    <t>Apparel</t>
  </si>
  <si>
    <t>WELCOME15</t>
  </si>
  <si>
    <t>TikTok Shop</t>
  </si>
  <si>
    <t>Partially Fulfilled</t>
  </si>
  <si>
    <t>2024-12-04</t>
  </si>
  <si>
    <t>#ORD-10003</t>
  </si>
  <si>
    <t>2024-07-27</t>
  </si>
  <si>
    <t>06:00:29</t>
  </si>
  <si>
    <t>Emily Thompson</t>
  </si>
  <si>
    <t>emily.thompson34@outlook.com</t>
  </si>
  <si>
    <t>+1-246-777-4733</t>
  </si>
  <si>
    <t>Nashville</t>
  </si>
  <si>
    <t>TN</t>
  </si>
  <si>
    <t>Bamboo Sunglasses x1</t>
  </si>
  <si>
    <t>Bags &amp; Accessories</t>
  </si>
  <si>
    <t>FLASH25</t>
  </si>
  <si>
    <t>PayPal</t>
  </si>
  <si>
    <t>Direct</t>
  </si>
  <si>
    <t>Fulfilled</t>
  </si>
  <si>
    <t>2024-07-28</t>
  </si>
  <si>
    <t>#ORD-10004</t>
  </si>
  <si>
    <t>2024-06-25</t>
  </si>
  <si>
    <t>02:05:25</t>
  </si>
  <si>
    <t>Evelyn Garcia</t>
  </si>
  <si>
    <t>evelyn.garcia30@yahoo.com</t>
  </si>
  <si>
    <t>+1-946-350-3677</t>
  </si>
  <si>
    <t>Milwaukee</t>
  </si>
  <si>
    <t>WI</t>
  </si>
  <si>
    <t>Insulated Water Bottle 32oz x1 | Running Shoes - Men's x1</t>
  </si>
  <si>
    <t>Sports &amp; Fitness</t>
  </si>
  <si>
    <t>SAVE10</t>
  </si>
  <si>
    <t>Google Pay</t>
  </si>
  <si>
    <t>2024-06-30</t>
  </si>
  <si>
    <t>#ORD-10005</t>
  </si>
  <si>
    <t>2024-05-05</t>
  </si>
  <si>
    <t>22:32:02</t>
  </si>
  <si>
    <t>Sebastian Harris</t>
  </si>
  <si>
    <t>sebastian.harris82@yahoo.com</t>
  </si>
  <si>
    <t>+1-871-611-7482</t>
  </si>
  <si>
    <t>Dallas</t>
  </si>
  <si>
    <t>TX</t>
  </si>
  <si>
    <t>Classic Fit Polo Shirt x2 | Portable Bluetooth Speaker x2 | Casual Sneakers x1</t>
  </si>
  <si>
    <t>2024-05-07</t>
  </si>
  <si>
    <t>#ORD-10006</t>
  </si>
  <si>
    <t>2024-08-06</t>
  </si>
  <si>
    <t>00:19:48</t>
  </si>
  <si>
    <t>Sebastian Martinez</t>
  </si>
  <si>
    <t>sebastian.martinez18@gmail.com</t>
  </si>
  <si>
    <t>+1-293-873-1771</t>
  </si>
  <si>
    <t>Men's Grooming Kit x1 | Linen Throw Blanket x1</t>
  </si>
  <si>
    <t>Afterpay</t>
  </si>
  <si>
    <t>Online Store</t>
  </si>
  <si>
    <t>Cancelled</t>
  </si>
  <si>
    <t>#ORD-10007</t>
  </si>
  <si>
    <t>2024-01-25</t>
  </si>
  <si>
    <t>16:07:16</t>
  </si>
  <si>
    <t>Mason Martinez</t>
  </si>
  <si>
    <t>mason.martinez21@yahoo.com</t>
  </si>
  <si>
    <t>+1-968-373-6573</t>
  </si>
  <si>
    <t>Oklahoma City</t>
  </si>
  <si>
    <t>OK</t>
  </si>
  <si>
    <t>Scented Soy Candle Set x3</t>
  </si>
  <si>
    <t>Home &amp; Living</t>
  </si>
  <si>
    <t>Apple Pay</t>
  </si>
  <si>
    <t>2024-01-30</t>
  </si>
  <si>
    <t>#ORD-10008</t>
  </si>
  <si>
    <t>2024-10-07</t>
  </si>
  <si>
    <t>10:23:08</t>
  </si>
  <si>
    <t>Mason Jackson</t>
  </si>
  <si>
    <t>mason.jackson21@gmail.com</t>
  </si>
  <si>
    <t>+1-752-897-9689</t>
  </si>
  <si>
    <t>Columbus</t>
  </si>
  <si>
    <t>OH</t>
  </si>
  <si>
    <t>Hiking Boots x1 | Air Fryer 5.8Qt x2 | Classic Fit Polo Shirt x2</t>
  </si>
  <si>
    <t>Footwear</t>
  </si>
  <si>
    <t>Debit Card</t>
  </si>
  <si>
    <t>2024-10-09</t>
  </si>
  <si>
    <t>#ORD-10009</t>
  </si>
  <si>
    <t>2024-12-26</t>
  </si>
  <si>
    <t>19:49:36</t>
  </si>
  <si>
    <t>Emma Flores</t>
  </si>
  <si>
    <t>emma.flores63@gmail.com</t>
  </si>
  <si>
    <t>+1-949-597-2133</t>
  </si>
  <si>
    <t>Austin</t>
  </si>
  <si>
    <t>Denim Jacket x2</t>
  </si>
  <si>
    <t>2024-12-27</t>
  </si>
  <si>
    <t>#ORD-10010</t>
  </si>
  <si>
    <t>2024-08-01</t>
  </si>
  <si>
    <t>12:32:27</t>
  </si>
  <si>
    <t>Grace Rodriguez</t>
  </si>
  <si>
    <t>grace.rodriguez85@gmail.com</t>
  </si>
  <si>
    <t>+1-608-787-7118</t>
  </si>
  <si>
    <t>Phoenix</t>
  </si>
  <si>
    <t>AZ</t>
  </si>
  <si>
    <t>Air Fryer 5.8Qt x2</t>
  </si>
  <si>
    <t>Kitchen</t>
  </si>
  <si>
    <t>Google Shopping</t>
  </si>
  <si>
    <t>2024-08-04</t>
  </si>
  <si>
    <t>#ORD-10011</t>
  </si>
  <si>
    <t>20:45:52</t>
  </si>
  <si>
    <t>Avery Wright</t>
  </si>
  <si>
    <t>avery.wright16@gmail.com</t>
  </si>
  <si>
    <t>+1-232-980-6413</t>
  </si>
  <si>
    <t>Linen Throw Blanket x1</t>
  </si>
  <si>
    <t>LOYALTY5</t>
  </si>
  <si>
    <t>2024-01-26</t>
  </si>
  <si>
    <t>#ORD-10012</t>
  </si>
  <si>
    <t>2024-02-21</t>
  </si>
  <si>
    <t>09:14:08</t>
  </si>
  <si>
    <t>Ava King</t>
  </si>
  <si>
    <t>ava.king36@yahoo.com</t>
  </si>
  <si>
    <t>+1-620-578-1887</t>
  </si>
  <si>
    <t>San Diego</t>
  </si>
  <si>
    <t>CA</t>
  </si>
  <si>
    <t>Leather Wallet Slim x1 | Linen Throw Blanket x1</t>
  </si>
  <si>
    <t>SUMMER20</t>
  </si>
  <si>
    <t>2024-02-25</t>
  </si>
  <si>
    <t>#ORD-10013</t>
  </si>
  <si>
    <t>2024-11-30</t>
  </si>
  <si>
    <t>15:22:12</t>
  </si>
  <si>
    <t>Sophia Brown</t>
  </si>
  <si>
    <t>sophia.brown94@gmail.com</t>
  </si>
  <si>
    <t>+1-763-200-1828</t>
  </si>
  <si>
    <t>Fort Worth</t>
  </si>
  <si>
    <t>Running Shoes - Women's x1</t>
  </si>
  <si>
    <t>Instagram</t>
  </si>
  <si>
    <t>#ORD-10014</t>
  </si>
  <si>
    <t>2024-07-07</t>
  </si>
  <si>
    <t>14:30:12</t>
  </si>
  <si>
    <t>Grace Smith</t>
  </si>
  <si>
    <t>grace.smith97@yahoo.com</t>
  </si>
  <si>
    <t>+1-492-533-8973</t>
  </si>
  <si>
    <t>Chicago</t>
  </si>
  <si>
    <t>IL</t>
  </si>
  <si>
    <t>Canvas Backpack 25L x2 | Protein Powder Chocolate 2lb x1</t>
  </si>
  <si>
    <t>Email Campaign</t>
  </si>
  <si>
    <t>#ORD-10015</t>
  </si>
  <si>
    <t>2024-07-29</t>
  </si>
  <si>
    <t>13:37:32</t>
  </si>
  <si>
    <t>James Gonzalez</t>
  </si>
  <si>
    <t>james.gonzalez28@outlook.com</t>
  </si>
  <si>
    <t>+1-282-971-4044</t>
  </si>
  <si>
    <t>San Jose</t>
  </si>
  <si>
    <t>Resistance Band Set x1</t>
  </si>
  <si>
    <t>2024-08-03</t>
  </si>
  <si>
    <t>#ORD-10016</t>
  </si>
  <si>
    <t>2024-12-31</t>
  </si>
  <si>
    <t>16:18:43</t>
  </si>
  <si>
    <t>Ava Flores</t>
  </si>
  <si>
    <t>ava.flores87@yahoo.com</t>
  </si>
  <si>
    <t>+1-334-787-5915</t>
  </si>
  <si>
    <t>Casual Sneakers x1 | Linen Throw Blanket x1 | Scented Soy Candle Set x1 | Portable Bluetooth Speaker x1</t>
  </si>
  <si>
    <t>2025-01-04</t>
  </si>
  <si>
    <t>#ORD-10017</t>
  </si>
  <si>
    <t>2024-08-29</t>
  </si>
  <si>
    <t>05:37:25</t>
  </si>
  <si>
    <t>Sebastian Lee</t>
  </si>
  <si>
    <t>sebastian.lee97@yahoo.com</t>
  </si>
  <si>
    <t>+1-883-936-5905</t>
  </si>
  <si>
    <t>Tucson</t>
  </si>
  <si>
    <t>Smart LED Desk Lamp x1 | USB-C Fast Charger 65W x3 | Coffee Maker Programmable x2 | Running Shoes - Women's x2 | Air Fryer 5.8Qt x1</t>
  </si>
  <si>
    <t>Electronics</t>
  </si>
  <si>
    <t>2024-08-30</t>
  </si>
  <si>
    <t>#ORD-10018</t>
  </si>
  <si>
    <t>2024-03-01</t>
  </si>
  <si>
    <t>08:52:46</t>
  </si>
  <si>
    <t>Sophia Rodriguez</t>
  </si>
  <si>
    <t>sophia.rodriguez15@outlook.com</t>
  </si>
  <si>
    <t>+1-457-966-1832</t>
  </si>
  <si>
    <t>Scented Soy Candle Set x1</t>
  </si>
  <si>
    <t>#ORD-10019</t>
  </si>
  <si>
    <t>2024-05-09</t>
  </si>
  <si>
    <t>12:58:20</t>
  </si>
  <si>
    <t>Ethan Lewis</t>
  </si>
  <si>
    <t>ethan.lewis36@gmail.com</t>
  </si>
  <si>
    <t>+1-236-954-7049</t>
  </si>
  <si>
    <t>Baltimore</t>
  </si>
  <si>
    <t>MD</t>
  </si>
  <si>
    <t>Essential Oil Diffuser x2 | Hiking Boots x1 | Running Shoes - Men's x1</t>
  </si>
  <si>
    <t>2024-05-14</t>
  </si>
  <si>
    <t>#ORD-10020</t>
  </si>
  <si>
    <t>2024-04-29</t>
  </si>
  <si>
    <t>17:10:33</t>
  </si>
  <si>
    <t>Daniel Torres</t>
  </si>
  <si>
    <t>daniel.torres56@gmail.com</t>
  </si>
  <si>
    <t>+1-616-735-3532</t>
  </si>
  <si>
    <t>Bamboo Sunglasses x2</t>
  </si>
  <si>
    <t>2024-05-04</t>
  </si>
  <si>
    <t>#ORD-10021</t>
  </si>
  <si>
    <t>2024-10-13</t>
  </si>
  <si>
    <t>01:16:42</t>
  </si>
  <si>
    <t>Oliver Hernandez</t>
  </si>
  <si>
    <t>oliver.hernandez23@yahoo.com</t>
  </si>
  <si>
    <t>+1-671-458-6000</t>
  </si>
  <si>
    <t>Louisville</t>
  </si>
  <si>
    <t>KY</t>
  </si>
  <si>
    <t>High-Waist Leggings x2 | Bamboo Sunglasses x2 | Multivitamin Daily Pack x1 | Anti-Aging Serum 1oz x2</t>
  </si>
  <si>
    <t>2024-10-15</t>
  </si>
  <si>
    <t>#ORD-10022</t>
  </si>
  <si>
    <t>11:37:23</t>
  </si>
  <si>
    <t>Amelia Anderson</t>
  </si>
  <si>
    <t>amelia.anderson85@gmail.com</t>
  </si>
  <si>
    <t>+1-228-218-5279</t>
  </si>
  <si>
    <t>New York</t>
  </si>
  <si>
    <t>NY</t>
  </si>
  <si>
    <t>USB-C Fast Charger 65W x3</t>
  </si>
  <si>
    <t>2024-05-10</t>
  </si>
  <si>
    <t>#ORD-10023</t>
  </si>
  <si>
    <t>2024-06-17</t>
  </si>
  <si>
    <t>18:25:40</t>
  </si>
  <si>
    <t>Logan Hill</t>
  </si>
  <si>
    <t>logan.hill5@gmail.com</t>
  </si>
  <si>
    <t>+1-201-632-9821</t>
  </si>
  <si>
    <t>2024-06-21</t>
  </si>
  <si>
    <t>#ORD-10024</t>
  </si>
  <si>
    <t>00:13:45</t>
  </si>
  <si>
    <t>Charlotte White</t>
  </si>
  <si>
    <t>charlotte.white9@outlook.com</t>
  </si>
  <si>
    <t>+1-330-296-7888</t>
  </si>
  <si>
    <t>Canvas Backpack 25L x1</t>
  </si>
  <si>
    <t>2024-09-04</t>
  </si>
  <si>
    <t>#ORD-10025</t>
  </si>
  <si>
    <t>2024-07-31</t>
  </si>
  <si>
    <t>19:08:41</t>
  </si>
  <si>
    <t>Elizabeth Lopez</t>
  </si>
  <si>
    <t>elizabeth.lopez73@gmail.com</t>
  </si>
  <si>
    <t>+1-490-627-6491</t>
  </si>
  <si>
    <t>Yoga Mat Premium x2 | Running Shoes - Women's x1 | Multivitamin Daily Pack x1</t>
  </si>
  <si>
    <t>#ORD-10026</t>
  </si>
  <si>
    <t>2024-03-18</t>
  </si>
  <si>
    <t>08:01:31</t>
  </si>
  <si>
    <t>Ethan Thomas</t>
  </si>
  <si>
    <t>ethan.thomas40@gmail.com</t>
  </si>
  <si>
    <t>+1-706-509-4997</t>
  </si>
  <si>
    <t>El Paso</t>
  </si>
  <si>
    <t>Portable Bluetooth Speaker x1</t>
  </si>
  <si>
    <t>2024-03-22</t>
  </si>
  <si>
    <t>#ORD-10027</t>
  </si>
  <si>
    <t>2024-10-29</t>
  </si>
  <si>
    <t>07:24:14</t>
  </si>
  <si>
    <t>James Smith</t>
  </si>
  <si>
    <t>james.smith97@outlook.com</t>
  </si>
  <si>
    <t>+1-336-920-8612</t>
  </si>
  <si>
    <t>Albuquerque</t>
  </si>
  <si>
    <t>NM</t>
  </si>
  <si>
    <t>Running Shoes - Men's x2</t>
  </si>
  <si>
    <t>2024-11-02</t>
  </si>
  <si>
    <t>#ORD-10028</t>
  </si>
  <si>
    <t>2024-08-25</t>
  </si>
  <si>
    <t>22:20:00</t>
  </si>
  <si>
    <t>Owen Torres</t>
  </si>
  <si>
    <t>owen.torres41@outlook.com</t>
  </si>
  <si>
    <t>+1-696-741-4919</t>
  </si>
  <si>
    <t>Leather Wallet Slim x2 | Air Fryer 5.8Qt x1 | Multivitamin Daily Pack x2</t>
  </si>
  <si>
    <t>#ORD-10029</t>
  </si>
  <si>
    <t>2024-04-15</t>
  </si>
  <si>
    <t>12:34:06</t>
  </si>
  <si>
    <t>Elijah Robinson</t>
  </si>
  <si>
    <t>elijah.robinson92@gmail.com</t>
  </si>
  <si>
    <t>+1-624-517-6421</t>
  </si>
  <si>
    <t>Leather Wallet Slim x1</t>
  </si>
  <si>
    <t>2024-04-16</t>
  </si>
  <si>
    <t>#ORD-10030</t>
  </si>
  <si>
    <t>2024-06-12</t>
  </si>
  <si>
    <t>04:01:17</t>
  </si>
  <si>
    <t>Grace Walker</t>
  </si>
  <si>
    <t>grace.walker8@gmail.com</t>
  </si>
  <si>
    <t>+1-629-651-9947</t>
  </si>
  <si>
    <t>Classic Fit Polo Shirt x1</t>
  </si>
  <si>
    <t>Unfulfilled</t>
  </si>
  <si>
    <t>#ORD-10031</t>
  </si>
  <si>
    <t>14:30:41</t>
  </si>
  <si>
    <t>Victoria Anderson</t>
  </si>
  <si>
    <t>victoria.anderson29@gmail.com</t>
  </si>
  <si>
    <t>+1-603-706-1444</t>
  </si>
  <si>
    <t>Indianapolis</t>
  </si>
  <si>
    <t>IN</t>
  </si>
  <si>
    <t>Referral</t>
  </si>
  <si>
    <t>2024-07-08</t>
  </si>
  <si>
    <t>#ORD-10032</t>
  </si>
  <si>
    <t>2024-04-11</t>
  </si>
  <si>
    <t>00:49:57</t>
  </si>
  <si>
    <t>ethan.lewis60@gmail.com</t>
  </si>
  <si>
    <t>+1-681-119-9837</t>
  </si>
  <si>
    <t>Shop Pay</t>
  </si>
  <si>
    <t>2024-04-12</t>
  </si>
  <si>
    <t>#ORD-10033</t>
  </si>
  <si>
    <t>2024-09-10</t>
  </si>
  <si>
    <t>02:47:37</t>
  </si>
  <si>
    <t>Noah Thompson</t>
  </si>
  <si>
    <t>noah.thompson84@gmail.com</t>
  </si>
  <si>
    <t>+1-885-217-4571</t>
  </si>
  <si>
    <t>Wireless Noise-Cancelling Headphones x3</t>
  </si>
  <si>
    <t>#ORD-10034</t>
  </si>
  <si>
    <t>2024-08-23</t>
  </si>
  <si>
    <t>19:57:24</t>
  </si>
  <si>
    <t>Sebastian Taylor</t>
  </si>
  <si>
    <t>sebastian.taylor48@gmail.com</t>
  </si>
  <si>
    <t>+1-913-891-5941</t>
  </si>
  <si>
    <t>Memphis</t>
  </si>
  <si>
    <t>Sunscreen SPF 50 Face x3 | Smart LED Desk Lamp x1 | Classic Fit Polo Shirt x1 | Denim Jacket x1 | Running Shoes - Men's x1</t>
  </si>
  <si>
    <t>2024-08-24</t>
  </si>
  <si>
    <t>#ORD-10035</t>
  </si>
  <si>
    <t>2024-06-15</t>
  </si>
  <si>
    <t>08:46:20</t>
  </si>
  <si>
    <t>Victoria Davis</t>
  </si>
  <si>
    <t>victoria.davis73@yahoo.com</t>
  </si>
  <si>
    <t>+1-924-256-8135</t>
  </si>
  <si>
    <t>USB-C Fast Charger 65W x1 | Air Fryer 5.8Qt x1</t>
  </si>
  <si>
    <t>#ORD-10036</t>
  </si>
  <si>
    <t>2024-10-27</t>
  </si>
  <si>
    <t>20:10:53</t>
  </si>
  <si>
    <t>Logan Wright</t>
  </si>
  <si>
    <t>logan.wright35@outlook.com</t>
  </si>
  <si>
    <t>+1-783-724-7209</t>
  </si>
  <si>
    <t>Multivitamin Daily Pack x2 | Denim Jacket x1</t>
  </si>
  <si>
    <t>Health &amp; Nutrition</t>
  </si>
  <si>
    <t>#ORD-10037</t>
  </si>
  <si>
    <t>2024-03-23</t>
  </si>
  <si>
    <t>09:06:01</t>
  </si>
  <si>
    <t>Muhammad Johnson</t>
  </si>
  <si>
    <t>muhammad.johnson42@gmail.com</t>
  </si>
  <si>
    <t>+1-287-347-7658</t>
  </si>
  <si>
    <t>Hiking Boots x1</t>
  </si>
  <si>
    <t>2024-03-25</t>
  </si>
  <si>
    <t>#ORD-10038</t>
  </si>
  <si>
    <t>2024-07-09</t>
  </si>
  <si>
    <t>14:47:11</t>
  </si>
  <si>
    <t>Michael Torres</t>
  </si>
  <si>
    <t>michael.torres31@outlook.com</t>
  </si>
  <si>
    <t>+1-766-643-6632</t>
  </si>
  <si>
    <t>Wireless Noise-Cancelling Headphones x1</t>
  </si>
  <si>
    <t>2024-07-13</t>
  </si>
  <si>
    <t>#ORD-10039</t>
  </si>
  <si>
    <t>2024-04-07</t>
  </si>
  <si>
    <t>15:15:07</t>
  </si>
  <si>
    <t>Jack Torres</t>
  </si>
  <si>
    <t>jack.torres46@yahoo.com</t>
  </si>
  <si>
    <t>+1-489-202-4180</t>
  </si>
  <si>
    <t>Men's Grooming Kit x1</t>
  </si>
  <si>
    <t>#ORD-10040</t>
  </si>
  <si>
    <t>2024-10-01</t>
  </si>
  <si>
    <t>23:12:38</t>
  </si>
  <si>
    <t>Evelyn Anderson</t>
  </si>
  <si>
    <t>evelyn.anderson23@gmail.com</t>
  </si>
  <si>
    <t>+1-491-580-8843</t>
  </si>
  <si>
    <t>Jacksonville</t>
  </si>
  <si>
    <t>FL</t>
  </si>
  <si>
    <t>Hiking Boots x3 | Portable Bluetooth Speaker x1</t>
  </si>
  <si>
    <t>2024-10-06</t>
  </si>
  <si>
    <t>#ORD-10041</t>
  </si>
  <si>
    <t>15:50:24</t>
  </si>
  <si>
    <t>Avery Perez</t>
  </si>
  <si>
    <t>avery.perez7@gmail.com</t>
  </si>
  <si>
    <t>+1-454-221-7818</t>
  </si>
  <si>
    <t>Philadelphia</t>
  </si>
  <si>
    <t>PA</t>
  </si>
  <si>
    <t>Denim Jacket x1 | USB-C Fast Charger 65W x1</t>
  </si>
  <si>
    <t>2024-12-01</t>
  </si>
  <si>
    <t>#ORD-10042</t>
  </si>
  <si>
    <t>2024-07-21</t>
  </si>
  <si>
    <t>22:43:44</t>
  </si>
  <si>
    <t>Victoria Flores</t>
  </si>
  <si>
    <t>victoria.flores80@gmail.com</t>
  </si>
  <si>
    <t>+1-840-316-5335</t>
  </si>
  <si>
    <t>2024-07-23</t>
  </si>
  <si>
    <t>#ORD-10043</t>
  </si>
  <si>
    <t>2024-06-07</t>
  </si>
  <si>
    <t>15:39:35</t>
  </si>
  <si>
    <t>Ethan Hernandez</t>
  </si>
  <si>
    <t>ethan.hernandez23@yahoo.com</t>
  </si>
  <si>
    <t>+1-840-703-4241</t>
  </si>
  <si>
    <t>Scented Soy Candle Set x1 | Stainless Steel Cookware Set x1</t>
  </si>
  <si>
    <t>2024-06-10</t>
  </si>
  <si>
    <t>#ORD-10044</t>
  </si>
  <si>
    <t>2024-11-17</t>
  </si>
  <si>
    <t>00:45:39</t>
  </si>
  <si>
    <t>Jack Davis</t>
  </si>
  <si>
    <t>jack.davis29@outlook.com</t>
  </si>
  <si>
    <t>+1-478-612-9847</t>
  </si>
  <si>
    <t>Seattle</t>
  </si>
  <si>
    <t>WA</t>
  </si>
  <si>
    <t>#ORD-10045</t>
  </si>
  <si>
    <t>2024-06-16</t>
  </si>
  <si>
    <t>18:47:56</t>
  </si>
  <si>
    <t>Michael Robinson</t>
  </si>
  <si>
    <t>michael.robinson77@gmail.com</t>
  </si>
  <si>
    <t>+1-241-881-3870</t>
  </si>
  <si>
    <t>Scented Soy Candle Set x1 | Hiking Boots x3 | Wireless Noise-Cancelling Headphones x2</t>
  </si>
  <si>
    <t>Klarna</t>
  </si>
  <si>
    <t>#ORD-10046</t>
  </si>
  <si>
    <t>2024-08-15</t>
  </si>
  <si>
    <t>07:40:03</t>
  </si>
  <si>
    <t>Ella Wright</t>
  </si>
  <si>
    <t>ella.wright57@yahoo.com</t>
  </si>
  <si>
    <t>+1-537-521-9117</t>
  </si>
  <si>
    <t>Denim Jacket x1</t>
  </si>
  <si>
    <t>2024-08-17</t>
  </si>
  <si>
    <t>#ORD-10047</t>
  </si>
  <si>
    <t>2024-05-02</t>
  </si>
  <si>
    <t>03:30:44</t>
  </si>
  <si>
    <t>Evelyn Sanchez</t>
  </si>
  <si>
    <t>evelyn.sanchez98@yahoo.com</t>
  </si>
  <si>
    <t>+1-623-155-4073</t>
  </si>
  <si>
    <t>Smart LED Desk Lamp x3</t>
  </si>
  <si>
    <t>2024-05-06</t>
  </si>
  <si>
    <t>#ORD-10048</t>
  </si>
  <si>
    <t>2024-06-20</t>
  </si>
  <si>
    <t>16:07:13</t>
  </si>
  <si>
    <t>Owen White</t>
  </si>
  <si>
    <t>owen.white97@gmail.com</t>
  </si>
  <si>
    <t>+1-518-664-1224</t>
  </si>
  <si>
    <t>Running Shoes - Women's x1 | Hiking Boots x1 | Coffee Maker Programmable x2</t>
  </si>
  <si>
    <t>2024-06-22</t>
  </si>
  <si>
    <t>#ORD-10049</t>
  </si>
  <si>
    <t>2024-06-28</t>
  </si>
  <si>
    <t>05:00:21</t>
  </si>
  <si>
    <t>William Clark</t>
  </si>
  <si>
    <t>william.clark29@outlook.com</t>
  </si>
  <si>
    <t>+1-395-713-9327</t>
  </si>
  <si>
    <t>Essential Oil Diffuser x3 | Denim Jacket x1 | Mechanical Keyboard x2 | Stainless Steel Cookware Set x1</t>
  </si>
  <si>
    <t>#ORD-10050</t>
  </si>
  <si>
    <t>2024-12-28</t>
  </si>
  <si>
    <t>19:49:34</t>
  </si>
  <si>
    <t>Isabella Jones</t>
  </si>
  <si>
    <t>isabella.jones99@yahoo.com</t>
  </si>
  <si>
    <t>+1-981-656-7180</t>
  </si>
  <si>
    <t>Hiking Boots x1 | Denim Jacket x1 | Wireless Noise-Cancelling Headphones x1</t>
  </si>
  <si>
    <t>2025-01-02</t>
  </si>
  <si>
    <t>#ORD-10051</t>
  </si>
  <si>
    <t>2024-05-28</t>
  </si>
  <si>
    <t>17:32:49</t>
  </si>
  <si>
    <t>sebastian.lee25@yahoo.com</t>
  </si>
  <si>
    <t>+1-237-229-9229</t>
  </si>
  <si>
    <t>2024-06-01</t>
  </si>
  <si>
    <t>#ORD-10052</t>
  </si>
  <si>
    <t>06:13:09</t>
  </si>
  <si>
    <t>Daniel Perez</t>
  </si>
  <si>
    <t>daniel.perez13@yahoo.com</t>
  </si>
  <si>
    <t>+1-890-979-9742</t>
  </si>
  <si>
    <t>Wireless Noise-Cancelling Headphones x2 | Men's Grooming Kit x3 | Mechanical Keyboard x1 | Multivitamin Daily Pack x2</t>
  </si>
  <si>
    <t>2024-07-26</t>
  </si>
  <si>
    <t>#ORD-10053</t>
  </si>
  <si>
    <t>02:38:05</t>
  </si>
  <si>
    <t>Elizabeth Lee</t>
  </si>
  <si>
    <t>elizabeth.lee92@yahoo.com</t>
  </si>
  <si>
    <t>+1-370-810-5906</t>
  </si>
  <si>
    <t>USB-C Fast Charger 65W x1</t>
  </si>
  <si>
    <t>2024-08-02</t>
  </si>
  <si>
    <t>#ORD-10054</t>
  </si>
  <si>
    <t>2024-05-25</t>
  </si>
  <si>
    <t>13:46:19</t>
  </si>
  <si>
    <t>Liam Williams</t>
  </si>
  <si>
    <t>liam.williams8@gmail.com</t>
  </si>
  <si>
    <t>+1-834-799-4945</t>
  </si>
  <si>
    <t>Casual Sneakers x1</t>
  </si>
  <si>
    <t>#ORD-10055</t>
  </si>
  <si>
    <t>2024-04-08</t>
  </si>
  <si>
    <t>15:14:25</t>
  </si>
  <si>
    <t>Michael Hill</t>
  </si>
  <si>
    <t>michael.hill30@gmail.com</t>
  </si>
  <si>
    <t>+1-506-754-7951</t>
  </si>
  <si>
    <t>Anti-Aging Serum 1oz x2 | Wireless Noise-Cancelling Headphones x1</t>
  </si>
  <si>
    <t>2024-04-13</t>
  </si>
  <si>
    <t>#ORD-10056</t>
  </si>
  <si>
    <t>2024-05-29</t>
  </si>
  <si>
    <t>09:36:03</t>
  </si>
  <si>
    <t>Harper Walker</t>
  </si>
  <si>
    <t>harper.walker39@gmail.com</t>
  </si>
  <si>
    <t>+1-779-985-1803</t>
  </si>
  <si>
    <t>Smart LED Desk Lamp x1 | Casual Sneakers x1 | Protein Powder Chocolate 2lb x3</t>
  </si>
  <si>
    <t>2024-05-30</t>
  </si>
  <si>
    <t>#ORD-10057</t>
  </si>
  <si>
    <t>2024-11-07</t>
  </si>
  <si>
    <t>10:32:51</t>
  </si>
  <si>
    <t>Victoria Allen</t>
  </si>
  <si>
    <t>victoria.allen37@yahoo.com</t>
  </si>
  <si>
    <t>+1-651-134-6977</t>
  </si>
  <si>
    <t>Essential Oil Diffuser x1</t>
  </si>
  <si>
    <t>2024-11-10</t>
  </si>
  <si>
    <t>#ORD-10058</t>
  </si>
  <si>
    <t>08:46:10</t>
  </si>
  <si>
    <t>Isabella Garcia</t>
  </si>
  <si>
    <t>isabella.garcia38@gmail.com</t>
  </si>
  <si>
    <t>+1-693-925-5835</t>
  </si>
  <si>
    <t>Mechanical Keyboard x2</t>
  </si>
  <si>
    <t>2024-06-13</t>
  </si>
  <si>
    <t>#ORD-10059</t>
  </si>
  <si>
    <t>2024-03-28</t>
  </si>
  <si>
    <t>14:52:52</t>
  </si>
  <si>
    <t>Muhammad Davis</t>
  </si>
  <si>
    <t>muhammad.davis10@gmail.com</t>
  </si>
  <si>
    <t>+1-798-490-7086</t>
  </si>
  <si>
    <t>Men's Grooming Kit x3 | Anti-Aging Serum 1oz x2 | Protein Powder Chocolate 2lb x1</t>
  </si>
  <si>
    <t>2024-03-31</t>
  </si>
  <si>
    <t>#ORD-10060</t>
  </si>
  <si>
    <t>09:14:24</t>
  </si>
  <si>
    <t>Sophia Anderson</t>
  </si>
  <si>
    <t>sophia.anderson4@outlook.com</t>
  </si>
  <si>
    <t>+1-750-238-7367</t>
  </si>
  <si>
    <t>Casual Sneakers x1 | Essential Oil Diffuser x2 | USB-C Fast Charger 65W x1 | Denim Jacket x1</t>
  </si>
  <si>
    <t>#ORD-10061</t>
  </si>
  <si>
    <t>2024-08-16</t>
  </si>
  <si>
    <t>02:24:31</t>
  </si>
  <si>
    <t>Sebastian White</t>
  </si>
  <si>
    <t>sebastian.white96@outlook.com</t>
  </si>
  <si>
    <t>+1-441-975-6942</t>
  </si>
  <si>
    <t>Mechanical Keyboard x1 | Leather Wallet Slim x2 | Multivitamin Daily Pack x1</t>
  </si>
  <si>
    <t>#ORD-10062</t>
  </si>
  <si>
    <t>2024-06-03</t>
  </si>
  <si>
    <t>14:55:49</t>
  </si>
  <si>
    <t>Sophia White</t>
  </si>
  <si>
    <t>sophia.white83@gmail.com</t>
  </si>
  <si>
    <t>+1-541-349-3063</t>
  </si>
  <si>
    <t>2024-06-04</t>
  </si>
  <si>
    <t>#ORD-10063</t>
  </si>
  <si>
    <t>2024-11-11</t>
  </si>
  <si>
    <t>18:12:10</t>
  </si>
  <si>
    <t>Chloe Wilson</t>
  </si>
  <si>
    <t>chloe.wilson98@outlook.com</t>
  </si>
  <si>
    <t>+1-334-115-6869</t>
  </si>
  <si>
    <t>Resistance Band Set x2 | Classic Fit Polo Shirt x1 | Mechanical Keyboard x1</t>
  </si>
  <si>
    <t>2024-11-12</t>
  </si>
  <si>
    <t>#ORD-10064</t>
  </si>
  <si>
    <t>2024-01-21</t>
  </si>
  <si>
    <t>08:23:39</t>
  </si>
  <si>
    <t>Oliver Hill</t>
  </si>
  <si>
    <t>oliver.hill3@gmail.com</t>
  </si>
  <si>
    <t>+1-715-326-1710</t>
  </si>
  <si>
    <t>Multivitamin Daily Pack x1</t>
  </si>
  <si>
    <t>#ORD-10065</t>
  </si>
  <si>
    <t>2024-07-05</t>
  </si>
  <si>
    <t>00:26:05</t>
  </si>
  <si>
    <t>Owen Martin</t>
  </si>
  <si>
    <t>owen.martin83@yahoo.com</t>
  </si>
  <si>
    <t>+1-848-699-9984</t>
  </si>
  <si>
    <t>Multivitamin Daily Pack x1 | Anti-Aging Serum 1oz x2 | Smart LED Desk Lamp x1</t>
  </si>
  <si>
    <t>2024-07-10</t>
  </si>
  <si>
    <t>#ORD-10066</t>
  </si>
  <si>
    <t>2024-07-15</t>
  </si>
  <si>
    <t>08:04:39</t>
  </si>
  <si>
    <t>Abigail Harris</t>
  </si>
  <si>
    <t>abigail.harris68@gmail.com</t>
  </si>
  <si>
    <t>+1-547-947-8430</t>
  </si>
  <si>
    <t>Smart LED Desk Lamp x2 | High-Waist Leggings x2</t>
  </si>
  <si>
    <t>2024-07-19</t>
  </si>
  <si>
    <t>#ORD-10067</t>
  </si>
  <si>
    <t>2024-05-01</t>
  </si>
  <si>
    <t>08:55:50</t>
  </si>
  <si>
    <t>Henry Clark</t>
  </si>
  <si>
    <t>henry.clark13@gmail.com</t>
  </si>
  <si>
    <t>+1-769-161-6400</t>
  </si>
  <si>
    <t>Insulated Water Bottle 32oz x1 | Mechanical Keyboard x1</t>
  </si>
  <si>
    <t>2024-05-03</t>
  </si>
  <si>
    <t>#ORD-10068</t>
  </si>
  <si>
    <t>2024-12-21</t>
  </si>
  <si>
    <t>16:16:54</t>
  </si>
  <si>
    <t>Mason Clark</t>
  </si>
  <si>
    <t>mason.clark86@yahoo.com</t>
  </si>
  <si>
    <t>+1-769-476-2882</t>
  </si>
  <si>
    <t>Yoga Mat Premium x1 | Scented Soy Candle Set x1</t>
  </si>
  <si>
    <t>2024-12-24</t>
  </si>
  <si>
    <t>#ORD-10069</t>
  </si>
  <si>
    <t>2024-11-13</t>
  </si>
  <si>
    <t>20:17:28</t>
  </si>
  <si>
    <t>Elijah Nguyen</t>
  </si>
  <si>
    <t>elijah.nguyen55@outlook.com</t>
  </si>
  <si>
    <t>+1-559-106-3972</t>
  </si>
  <si>
    <t>Anti-Aging Serum 1oz x1 | Essential Oil Diffuser x1</t>
  </si>
  <si>
    <t>2024-11-16</t>
  </si>
  <si>
    <t>#ORD-10070</t>
  </si>
  <si>
    <t>2024-10-14</t>
  </si>
  <si>
    <t>18:19:55</t>
  </si>
  <si>
    <t>James Nguyen</t>
  </si>
  <si>
    <t>james.nguyen52@gmail.com</t>
  </si>
  <si>
    <t>+1-810-186-1861</t>
  </si>
  <si>
    <t>Wireless Noise-Cancelling Headphones x2 | USB-C Fast Charger 65W x1</t>
  </si>
  <si>
    <t>2024-10-19</t>
  </si>
  <si>
    <t>#ORD-10071</t>
  </si>
  <si>
    <t>2024-02-01</t>
  </si>
  <si>
    <t>16:23:41</t>
  </si>
  <si>
    <t>James Hernandez</t>
  </si>
  <si>
    <t>james.hernandez80@gmail.com</t>
  </si>
  <si>
    <t>+1-640-213-5640</t>
  </si>
  <si>
    <t>Anti-Aging Serum 1oz x1</t>
  </si>
  <si>
    <t>2024-02-04</t>
  </si>
  <si>
    <t>#ORD-10072</t>
  </si>
  <si>
    <t>2024-03-26</t>
  </si>
  <si>
    <t>15:22:50</t>
  </si>
  <si>
    <t>Daniel Allen</t>
  </si>
  <si>
    <t>daniel.allen86@gmail.com</t>
  </si>
  <si>
    <t>+1-322-107-9149</t>
  </si>
  <si>
    <t>San Francisco</t>
  </si>
  <si>
    <t>2024-03-29</t>
  </si>
  <si>
    <t>#ORD-10073</t>
  </si>
  <si>
    <t>23:40:51</t>
  </si>
  <si>
    <t>Jack Lopez</t>
  </si>
  <si>
    <t>jack.lopez49@yahoo.com</t>
  </si>
  <si>
    <t>+1-926-755-7843</t>
  </si>
  <si>
    <t>High-Waist Leggings x1 | Insulated Water Bottle 32oz x2 | USB-C Fast Charger 65W x1</t>
  </si>
  <si>
    <t>#ORD-10074</t>
  </si>
  <si>
    <t>2024-08-28</t>
  </si>
  <si>
    <t>01:20:42</t>
  </si>
  <si>
    <t>Evelyn Davis</t>
  </si>
  <si>
    <t>evelyn.davis3@yahoo.com</t>
  </si>
  <si>
    <t>+1-517-863-6562</t>
  </si>
  <si>
    <t>Sunscreen SPF 50 Face x1 | Bamboo Sunglasses x1</t>
  </si>
  <si>
    <t>#ORD-10075</t>
  </si>
  <si>
    <t>2024-09-02</t>
  </si>
  <si>
    <t>22:04:54</t>
  </si>
  <si>
    <t>Amelia Perez</t>
  </si>
  <si>
    <t>amelia.perez22@gmail.com</t>
  </si>
  <si>
    <t>+1-305-249-5193</t>
  </si>
  <si>
    <t>Air Fryer 5.8Qt x1</t>
  </si>
  <si>
    <t>#ORD-10076</t>
  </si>
  <si>
    <t>2024-03-09</t>
  </si>
  <si>
    <t>19:07:17</t>
  </si>
  <si>
    <t>Charlotte Lopez</t>
  </si>
  <si>
    <t>charlotte.lopez20@outlook.com</t>
  </si>
  <si>
    <t>+1-269-580-8245</t>
  </si>
  <si>
    <t>Essential Oil Diffuser x1 | Stainless Steel Cookware Set x1 | Organic Green Tea 100ct x1 | Classic Fit Polo Shirt x2</t>
  </si>
  <si>
    <t>2024-03-13</t>
  </si>
  <si>
    <t>#ORD-10077</t>
  </si>
  <si>
    <t>2024-01-29</t>
  </si>
  <si>
    <t>19:30:25</t>
  </si>
  <si>
    <t>Aiden Moore</t>
  </si>
  <si>
    <t>aiden.moore8@gmail.com</t>
  </si>
  <si>
    <t>+1-808-619-7299</t>
  </si>
  <si>
    <t>Denver</t>
  </si>
  <si>
    <t>CO</t>
  </si>
  <si>
    <t>Organic Green Tea 100ct x1</t>
  </si>
  <si>
    <t>Food &amp; Beverage</t>
  </si>
  <si>
    <t>2024-02-03</t>
  </si>
  <si>
    <t>#ORD-10078</t>
  </si>
  <si>
    <t>12:01:53</t>
  </si>
  <si>
    <t>Sebastian Hill</t>
  </si>
  <si>
    <t>sebastian.hill95@yahoo.com</t>
  </si>
  <si>
    <t>+1-716-761-3827</t>
  </si>
  <si>
    <t>Running Shoes - Women's x1 | Resistance Band Set x1</t>
  </si>
  <si>
    <t>#ORD-10079</t>
  </si>
  <si>
    <t>19:47:54</t>
  </si>
  <si>
    <t>Olivia Thomas</t>
  </si>
  <si>
    <t>olivia.thomas57@outlook.com</t>
  </si>
  <si>
    <t>+1-537-196-7333</t>
  </si>
  <si>
    <t>Boston</t>
  </si>
  <si>
    <t>MA</t>
  </si>
  <si>
    <t>Insulated Water Bottle 32oz x2</t>
  </si>
  <si>
    <t>#ORD-10080</t>
  </si>
  <si>
    <t>2024-02-28</t>
  </si>
  <si>
    <t>09:34:51</t>
  </si>
  <si>
    <t>Evelyn Taylor</t>
  </si>
  <si>
    <t>evelyn.taylor85@outlook.com</t>
  </si>
  <si>
    <t>+1-772-485-6381</t>
  </si>
  <si>
    <t>2024-03-02</t>
  </si>
  <si>
    <t>#ORD-10081</t>
  </si>
  <si>
    <t>2024-01-08</t>
  </si>
  <si>
    <t>01:55:15</t>
  </si>
  <si>
    <t>Isabella Wright</t>
  </si>
  <si>
    <t>isabella.wright83@outlook.com</t>
  </si>
  <si>
    <t>+1-502-964-2657</t>
  </si>
  <si>
    <t>Running Shoes - Men's x3</t>
  </si>
  <si>
    <t>2024-01-09</t>
  </si>
  <si>
    <t>#ORD-10082</t>
  </si>
  <si>
    <t>18:52:17</t>
  </si>
  <si>
    <t>Scarlett Scott</t>
  </si>
  <si>
    <t>scarlett.scott95@yahoo.com</t>
  </si>
  <si>
    <t>+1-654-725-5668</t>
  </si>
  <si>
    <t>Scented Soy Candle Set x1 | Mechanical Keyboard x1 | Protein Powder Chocolate 2lb x1</t>
  </si>
  <si>
    <t>2024-05-12</t>
  </si>
  <si>
    <t>#ORD-10083</t>
  </si>
  <si>
    <t>00:55:14</t>
  </si>
  <si>
    <t>Avery Anderson</t>
  </si>
  <si>
    <t>avery.anderson31@gmail.com</t>
  </si>
  <si>
    <t>+1-365-936-4271</t>
  </si>
  <si>
    <t>Leather Wallet Slim x1 | Denim Jacket x3 | Running Shoes - Women's x3</t>
  </si>
  <si>
    <t>#ORD-10084</t>
  </si>
  <si>
    <t>15:25:46</t>
  </si>
  <si>
    <t>Victoria Rodriguez</t>
  </si>
  <si>
    <t>victoria.rodriguez33@gmail.com</t>
  </si>
  <si>
    <t>+1-293-327-8391</t>
  </si>
  <si>
    <t>Coffee Maker Programmable x2 | Bamboo Sunglasses x1 | Smart LED Desk Lamp x1</t>
  </si>
  <si>
    <t>#ORD-10085</t>
  </si>
  <si>
    <t>05:34:25</t>
  </si>
  <si>
    <t>Emily Johnson</t>
  </si>
  <si>
    <t>emily.johnson7@gmail.com</t>
  </si>
  <si>
    <t>+1-239-393-8740</t>
  </si>
  <si>
    <t>2024-05-27</t>
  </si>
  <si>
    <t>#ORD-10086</t>
  </si>
  <si>
    <t>2024-01-31</t>
  </si>
  <si>
    <t>18:26:15</t>
  </si>
  <si>
    <t>Isabella Young</t>
  </si>
  <si>
    <t>isabella.young79@gmail.com</t>
  </si>
  <si>
    <t>+1-508-224-1782</t>
  </si>
  <si>
    <t>Running Shoes - Women's x2</t>
  </si>
  <si>
    <t>2024-02-02</t>
  </si>
  <si>
    <t>#ORD-10087</t>
  </si>
  <si>
    <t>2024-02-13</t>
  </si>
  <si>
    <t>01:16:13</t>
  </si>
  <si>
    <t>Oliver Clark</t>
  </si>
  <si>
    <t>oliver.clark80@gmail.com</t>
  </si>
  <si>
    <t>+1-626-291-2402</t>
  </si>
  <si>
    <t>Stainless Steel Cookware Set x1 | Scented Soy Candle Set x1 | Coffee Maker Programmable x1</t>
  </si>
  <si>
    <t>2024-02-18</t>
  </si>
  <si>
    <t>#ORD-10088</t>
  </si>
  <si>
    <t>2024-07-16</t>
  </si>
  <si>
    <t>03:23:07</t>
  </si>
  <si>
    <t>owen.white68@outlook.com</t>
  </si>
  <si>
    <t>+1-446-850-2698</t>
  </si>
  <si>
    <t>Protein Powder Chocolate 2lb x1 | Canvas Backpack 25L x1</t>
  </si>
  <si>
    <t>#ORD-10089</t>
  </si>
  <si>
    <t>2024-05-11</t>
  </si>
  <si>
    <t>11:29:20</t>
  </si>
  <si>
    <t>daniel.perez6@gmail.com</t>
  </si>
  <si>
    <t>+1-237-400-4302</t>
  </si>
  <si>
    <t>Running Shoes - Men's x1 | Denim Jacket x3 | Classic Fit Polo Shirt x1</t>
  </si>
  <si>
    <t>#ORD-10090</t>
  </si>
  <si>
    <t>2024-04-30</t>
  </si>
  <si>
    <t>10:07:00</t>
  </si>
  <si>
    <t>Olivia Gonzalez</t>
  </si>
  <si>
    <t>olivia.gonzalez6@gmail.com</t>
  </si>
  <si>
    <t>+1-327-918-7029</t>
  </si>
  <si>
    <t>Denim Jacket x1 | Coffee Maker Programmable x1</t>
  </si>
  <si>
    <t>#ORD-10091</t>
  </si>
  <si>
    <t>13:15:45</t>
  </si>
  <si>
    <t>Jack Sanchez</t>
  </si>
  <si>
    <t>jack.sanchez57@yahoo.com</t>
  </si>
  <si>
    <t>+1-500-428-2680</t>
  </si>
  <si>
    <t>Stainless Steel Cookware Set x3 | Insulated Water Bottle 32oz x1</t>
  </si>
  <si>
    <t>#ORD-10092</t>
  </si>
  <si>
    <t>2024-08-22</t>
  </si>
  <si>
    <t>00:50:26</t>
  </si>
  <si>
    <t>Ethan Lee</t>
  </si>
  <si>
    <t>ethan.lee38@gmail.com</t>
  </si>
  <si>
    <t>+1-887-752-7655</t>
  </si>
  <si>
    <t>Running Shoes - Men's x1 | Sunscreen SPF 50 Face x1</t>
  </si>
  <si>
    <t>#ORD-10093</t>
  </si>
  <si>
    <t>10:48:03</t>
  </si>
  <si>
    <t>Alexander King</t>
  </si>
  <si>
    <t>alexander.king96@outlook.com</t>
  </si>
  <si>
    <t>+1-579-480-8273</t>
  </si>
  <si>
    <t>Anti-Aging Serum 1oz x1 | High-Waist Leggings x1 | Organic Green Tea 100ct x2</t>
  </si>
  <si>
    <t>2024-02-29</t>
  </si>
  <si>
    <t>#ORD-10094</t>
  </si>
  <si>
    <t>02:17:04</t>
  </si>
  <si>
    <t>Ava Nguyen</t>
  </si>
  <si>
    <t>ava.nguyen68@gmail.com</t>
  </si>
  <si>
    <t>+1-419-726-5678</t>
  </si>
  <si>
    <t>Casual Sneakers x1 | Smart LED Desk Lamp x1</t>
  </si>
  <si>
    <t>#ORD-10095</t>
  </si>
  <si>
    <t>2024-12-15</t>
  </si>
  <si>
    <t>00:17:44</t>
  </si>
  <si>
    <t>Michael Gonzalez</t>
  </si>
  <si>
    <t>michael.gonzalez18@yahoo.com</t>
  </si>
  <si>
    <t>+1-507-971-3580</t>
  </si>
  <si>
    <t>Houston</t>
  </si>
  <si>
    <t>USB-C Fast Charger 65W x1 | High-Waist Leggings x2</t>
  </si>
  <si>
    <t>2024-12-18</t>
  </si>
  <si>
    <t>#ORD-10096</t>
  </si>
  <si>
    <t>2024-03-19</t>
  </si>
  <si>
    <t>01:16:22</t>
  </si>
  <si>
    <t>Logan White</t>
  </si>
  <si>
    <t>logan.white29@gmail.com</t>
  </si>
  <si>
    <t>+1-934-836-8842</t>
  </si>
  <si>
    <t>Casual Sneakers x1 | High-Waist Leggings x1 | Stainless Steel Cookware Set x1</t>
  </si>
  <si>
    <t>#ORD-10097</t>
  </si>
  <si>
    <t>02:54:43</t>
  </si>
  <si>
    <t>Owen Clark</t>
  </si>
  <si>
    <t>owen.clark53@yahoo.com</t>
  </si>
  <si>
    <t>+1-730-256-5982</t>
  </si>
  <si>
    <t>Organic Green Tea 100ct x1 | Anti-Aging Serum 1oz x1</t>
  </si>
  <si>
    <t>#ORD-10098</t>
  </si>
  <si>
    <t>09:51:41</t>
  </si>
  <si>
    <t>Mia Hernandez</t>
  </si>
  <si>
    <t>mia.hernandez91@gmail.com</t>
  </si>
  <si>
    <t>+1-714-756-3762</t>
  </si>
  <si>
    <t>Yoga Mat Premium x1 | Canvas Backpack 25L x1</t>
  </si>
  <si>
    <t>2025-01-01</t>
  </si>
  <si>
    <t>#ORD-10099</t>
  </si>
  <si>
    <t>00:18:12</t>
  </si>
  <si>
    <t>Daniel Hill</t>
  </si>
  <si>
    <t>daniel.hill22@outlook.com</t>
  </si>
  <si>
    <t>+1-985-685-7825</t>
  </si>
  <si>
    <t>#ORD-10100</t>
  </si>
  <si>
    <t>2024-04-27</t>
  </si>
  <si>
    <t>07:43:16</t>
  </si>
  <si>
    <t>Benjamin Johnson</t>
  </si>
  <si>
    <t>benjamin.johnson81@outlook.com</t>
  </si>
  <si>
    <t>+1-821-247-6121</t>
  </si>
  <si>
    <t>High-Waist Leggings x1 | Anti-Aging Serum 1oz x1</t>
  </si>
  <si>
    <t>#ORD-10101</t>
  </si>
  <si>
    <t>2024-02-11</t>
  </si>
  <si>
    <t>05:42:21</t>
  </si>
  <si>
    <t>Abigail Thompson</t>
  </si>
  <si>
    <t>abigail.thompson17@outlook.com</t>
  </si>
  <si>
    <t>+1-830-528-5067</t>
  </si>
  <si>
    <t>#ORD-10102</t>
  </si>
  <si>
    <t>21:10:44</t>
  </si>
  <si>
    <t>Mia Lee</t>
  </si>
  <si>
    <t>mia.lee74@yahoo.com</t>
  </si>
  <si>
    <t>+1-797-461-1797</t>
  </si>
  <si>
    <t>Air Fryer 5.8Qt x1 | Organic Green Tea 100ct x1</t>
  </si>
  <si>
    <t>2024-03-04</t>
  </si>
  <si>
    <t>#ORD-10103</t>
  </si>
  <si>
    <t>2024-07-01</t>
  </si>
  <si>
    <t>18:11:14</t>
  </si>
  <si>
    <t>Noah Jackson</t>
  </si>
  <si>
    <t>noah.jackson77@outlook.com</t>
  </si>
  <si>
    <t>+1-574-146-7563</t>
  </si>
  <si>
    <t>Wireless Noise-Cancelling Headphones x2</t>
  </si>
  <si>
    <t>#ORD-10104</t>
  </si>
  <si>
    <t>2024-04-22</t>
  </si>
  <si>
    <t>01:57:46</t>
  </si>
  <si>
    <t>Noah Nguyen</t>
  </si>
  <si>
    <t>noah.nguyen25@gmail.com</t>
  </si>
  <si>
    <t>+1-299-503-7114</t>
  </si>
  <si>
    <t>2024-04-24</t>
  </si>
  <si>
    <t>#ORD-10105</t>
  </si>
  <si>
    <t>2024-08-21</t>
  </si>
  <si>
    <t>23:21:42</t>
  </si>
  <si>
    <t>Muhammad Torres</t>
  </si>
  <si>
    <t>muhammad.torres97@gmail.com</t>
  </si>
  <si>
    <t>+1-535-727-6218</t>
  </si>
  <si>
    <t>Air Fryer 5.8Qt x1 | Portable Bluetooth Speaker x1</t>
  </si>
  <si>
    <t>#ORD-10106</t>
  </si>
  <si>
    <t>00:31:06</t>
  </si>
  <si>
    <t>Mia Sanchez</t>
  </si>
  <si>
    <t>mia.sanchez95@outlook.com</t>
  </si>
  <si>
    <t>+1-811-585-5350</t>
  </si>
  <si>
    <t>Coffee Maker Programmable x1 | Stainless Steel Cookware Set x1 | Sunscreen SPF 50 Face x1</t>
  </si>
  <si>
    <t>2024-07-17</t>
  </si>
  <si>
    <t>#ORD-10107</t>
  </si>
  <si>
    <t>14:06:26</t>
  </si>
  <si>
    <t>Daniel Nguyen</t>
  </si>
  <si>
    <t>daniel.nguyen93@gmail.com</t>
  </si>
  <si>
    <t>+1-219-551-6139</t>
  </si>
  <si>
    <t>Essential Oil Diffuser x2</t>
  </si>
  <si>
    <t>#ORD-10108</t>
  </si>
  <si>
    <t>21:17:48</t>
  </si>
  <si>
    <t>Sofia Martinez</t>
  </si>
  <si>
    <t>sofia.martinez89@gmail.com</t>
  </si>
  <si>
    <t>+1-738-485-6140</t>
  </si>
  <si>
    <t>Bamboo Sunglasses x2 | Stainless Steel Cookware Set x2 | Canvas Backpack 25L x2</t>
  </si>
  <si>
    <t>#ORD-10109</t>
  </si>
  <si>
    <t>2024-05-17</t>
  </si>
  <si>
    <t>14:11:38</t>
  </si>
  <si>
    <t>Logan Walker</t>
  </si>
  <si>
    <t>logan.walker69@gmail.com</t>
  </si>
  <si>
    <t>+1-505-330-5876</t>
  </si>
  <si>
    <t>Canvas Backpack 25L x1 | Men's Grooming Kit x2</t>
  </si>
  <si>
    <t>2024-05-22</t>
  </si>
  <si>
    <t>#ORD-10110</t>
  </si>
  <si>
    <t>08:05:31</t>
  </si>
  <si>
    <t>Evelyn Wilson</t>
  </si>
  <si>
    <t>evelyn.wilson91@gmail.com</t>
  </si>
  <si>
    <t>+1-553-891-3399</t>
  </si>
  <si>
    <t>Bamboo Sunglasses x3</t>
  </si>
  <si>
    <t>#ORD-10111</t>
  </si>
  <si>
    <t>20:23:38</t>
  </si>
  <si>
    <t>Evelyn Williams</t>
  </si>
  <si>
    <t>evelyn.williams92@gmail.com</t>
  </si>
  <si>
    <t>+1-340-211-4920</t>
  </si>
  <si>
    <t>Hiking Boots x2</t>
  </si>
  <si>
    <t>#ORD-10112</t>
  </si>
  <si>
    <t>10:11:38</t>
  </si>
  <si>
    <t>Oliver Brown</t>
  </si>
  <si>
    <t>oliver.brown68@gmail.com</t>
  </si>
  <si>
    <t>+1-616-768-8793</t>
  </si>
  <si>
    <t>2024-04-02</t>
  </si>
  <si>
    <t>#ORD-10113</t>
  </si>
  <si>
    <t>2024-09-07</t>
  </si>
  <si>
    <t>20:12:17</t>
  </si>
  <si>
    <t>Ella Gonzalez</t>
  </si>
  <si>
    <t>ella.gonzalez37@gmail.com</t>
  </si>
  <si>
    <t>+1-627-957-3880</t>
  </si>
  <si>
    <t>2024-09-09</t>
  </si>
  <si>
    <t>#ORD-10114</t>
  </si>
  <si>
    <t>2024-10-17</t>
  </si>
  <si>
    <t>21:12:56</t>
  </si>
  <si>
    <t>Olivia Sanchez</t>
  </si>
  <si>
    <t>olivia.sanchez64@gmail.com</t>
  </si>
  <si>
    <t>+1-479-297-2845</t>
  </si>
  <si>
    <t>Bamboo Sunglasses x1 | Yoga Mat Premium x1 | Leather Wallet Slim x3 | Portable Bluetooth Speaker x1 | Wireless Noise-Cancelling Headphones x1</t>
  </si>
  <si>
    <t>2024-10-21</t>
  </si>
  <si>
    <t>#ORD-10115</t>
  </si>
  <si>
    <t>2024-01-06</t>
  </si>
  <si>
    <t>11:16:27</t>
  </si>
  <si>
    <t>Muhammad Hernandez</t>
  </si>
  <si>
    <t>muhammad.hernandez59@outlook.com</t>
  </si>
  <si>
    <t>+1-343-588-6301</t>
  </si>
  <si>
    <t>High-Waist Leggings x1 | Yoga Mat Premium x1 | Linen Throw Blanket x1</t>
  </si>
  <si>
    <t>#ORD-10116</t>
  </si>
  <si>
    <t>17:31:16</t>
  </si>
  <si>
    <t>Oliver Smith</t>
  </si>
  <si>
    <t>oliver.smith50@gmail.com</t>
  </si>
  <si>
    <t>+1-676-414-3616</t>
  </si>
  <si>
    <t>2024-10-20</t>
  </si>
  <si>
    <t>#ORD-10117</t>
  </si>
  <si>
    <t>2024-09-05</t>
  </si>
  <si>
    <t>01:13:15</t>
  </si>
  <si>
    <t>Henry King</t>
  </si>
  <si>
    <t>henry.king91@outlook.com</t>
  </si>
  <si>
    <t>+1-975-650-4578</t>
  </si>
  <si>
    <t>Yoga Mat Premium x1 | Insulated Water Bottle 32oz x1 | Scented Soy Candle Set x1 | Casual Sneakers x2</t>
  </si>
  <si>
    <t>#ORD-10118</t>
  </si>
  <si>
    <t>2024-05-20</t>
  </si>
  <si>
    <t>12:04:45</t>
  </si>
  <si>
    <t>Oliver Flores</t>
  </si>
  <si>
    <t>oliver.flores11@outlook.com</t>
  </si>
  <si>
    <t>+1-319-796-4365</t>
  </si>
  <si>
    <t>2024-05-24</t>
  </si>
  <si>
    <t>#ORD-10119</t>
  </si>
  <si>
    <t>2024-01-22</t>
  </si>
  <si>
    <t>14:33:47</t>
  </si>
  <si>
    <t>daniel.allen66@gmail.com</t>
  </si>
  <si>
    <t>+1-460-936-1049</t>
  </si>
  <si>
    <t>Air Fryer 5.8Qt x1 | Multivitamin Daily Pack x1</t>
  </si>
  <si>
    <t>#ORD-10120</t>
  </si>
  <si>
    <t>2024-09-29</t>
  </si>
  <si>
    <t>00:03:36</t>
  </si>
  <si>
    <t>Lucas Hill</t>
  </si>
  <si>
    <t>lucas.hill6@gmail.com</t>
  </si>
  <si>
    <t>+1-583-491-8348</t>
  </si>
  <si>
    <t>Portable Bluetooth Speaker x3</t>
  </si>
  <si>
    <t>2024-10-03</t>
  </si>
  <si>
    <t>#ORD-10121</t>
  </si>
  <si>
    <t>15:33:17</t>
  </si>
  <si>
    <t>Elizabeth Harris</t>
  </si>
  <si>
    <t>elizabeth.harris88@outlook.com</t>
  </si>
  <si>
    <t>+1-674-789-9920</t>
  </si>
  <si>
    <t>Insulated Water Bottle 32oz x1 | Smart LED Desk Lamp x1</t>
  </si>
  <si>
    <t>#ORD-10122</t>
  </si>
  <si>
    <t>10:26:33</t>
  </si>
  <si>
    <t>Jack Scott</t>
  </si>
  <si>
    <t>jack.scott30@gmail.com</t>
  </si>
  <si>
    <t>+1-411-168-2653</t>
  </si>
  <si>
    <t>Running Shoes - Women's x3</t>
  </si>
  <si>
    <t>2024-05-16</t>
  </si>
  <si>
    <t>#ORD-10123</t>
  </si>
  <si>
    <t>2024-04-05</t>
  </si>
  <si>
    <t>01:05:15</t>
  </si>
  <si>
    <t>Victoria Williams</t>
  </si>
  <si>
    <t>victoria.williams77@outlook.com</t>
  </si>
  <si>
    <t>+1-812-891-6253</t>
  </si>
  <si>
    <t>Protein Powder Chocolate 2lb x1 | Organic Green Tea 100ct x2 | Casual Sneakers x2</t>
  </si>
  <si>
    <t>2024-04-10</t>
  </si>
  <si>
    <t>#ORD-10124</t>
  </si>
  <si>
    <t>2024-06-09</t>
  </si>
  <si>
    <t>14:39:37</t>
  </si>
  <si>
    <t>Oliver Martin</t>
  </si>
  <si>
    <t>oliver.martin19@outlook.com</t>
  </si>
  <si>
    <t>+1-858-787-7244</t>
  </si>
  <si>
    <t>#ORD-10125</t>
  </si>
  <si>
    <t>2024-04-26</t>
  </si>
  <si>
    <t>11:09:48</t>
  </si>
  <si>
    <t>Owen Lee</t>
  </si>
  <si>
    <t>owen.lee54@gmail.com</t>
  </si>
  <si>
    <t>+1-259-675-7761</t>
  </si>
  <si>
    <t>#ORD-10126</t>
  </si>
  <si>
    <t>2024-04-09</t>
  </si>
  <si>
    <t>00:43:54</t>
  </si>
  <si>
    <t>Sofia Torres</t>
  </si>
  <si>
    <t>sofia.torres18@gmail.com</t>
  </si>
  <si>
    <t>+1-586-789-1647</t>
  </si>
  <si>
    <t>#ORD-10127</t>
  </si>
  <si>
    <t>06:44:26</t>
  </si>
  <si>
    <t>Ava Gonzalez</t>
  </si>
  <si>
    <t>ava.gonzalez98@outlook.com</t>
  </si>
  <si>
    <t>+1-448-812-4350</t>
  </si>
  <si>
    <t>Canvas Backpack 25L x1 | Bamboo Sunglasses x3</t>
  </si>
  <si>
    <t>#ORD-10128</t>
  </si>
  <si>
    <t>05:58:46</t>
  </si>
  <si>
    <t>Henry Thomas</t>
  </si>
  <si>
    <t>henry.thomas42@yahoo.com</t>
  </si>
  <si>
    <t>+1-579-420-7781</t>
  </si>
  <si>
    <t>Yoga Mat Premium x1 | Hiking Boots x2</t>
  </si>
  <si>
    <t>#ORD-10129</t>
  </si>
  <si>
    <t>21:14:15</t>
  </si>
  <si>
    <t>Olivia Nguyen</t>
  </si>
  <si>
    <t>olivia.nguyen29@yahoo.com</t>
  </si>
  <si>
    <t>+1-940-757-9037</t>
  </si>
  <si>
    <t>Linen Throw Blanket x1 | Men's Grooming Kit x1 | Multivitamin Daily Pack x1 | Yoga Mat Premium x2</t>
  </si>
  <si>
    <t>#ORD-10130</t>
  </si>
  <si>
    <t>17:48:31</t>
  </si>
  <si>
    <t>Sebastian Hernandez</t>
  </si>
  <si>
    <t>sebastian.hernandez46@gmail.com</t>
  </si>
  <si>
    <t>+1-622-240-4791</t>
  </si>
  <si>
    <t>Running Shoes - Men's x2 | Bamboo Sunglasses x3</t>
  </si>
  <si>
    <t>#ORD-10131</t>
  </si>
  <si>
    <t>2024-08-27</t>
  </si>
  <si>
    <t>22:38:30</t>
  </si>
  <si>
    <t>Ava Martinez</t>
  </si>
  <si>
    <t>ava.martinez28@yahoo.com</t>
  </si>
  <si>
    <t>+1-748-393-1280</t>
  </si>
  <si>
    <t>Bamboo Sunglasses x2 | Scented Soy Candle Set x1</t>
  </si>
  <si>
    <t>#ORD-10132</t>
  </si>
  <si>
    <t>2024-02-07</t>
  </si>
  <si>
    <t>09:42:37</t>
  </si>
  <si>
    <t>Scarlett Lewis</t>
  </si>
  <si>
    <t>scarlett.lewis23@gmail.com</t>
  </si>
  <si>
    <t>+1-670-678-4984</t>
  </si>
  <si>
    <t>Casual Sneakers x1 | Running Shoes - Women's x1</t>
  </si>
  <si>
    <t>#ORD-10133</t>
  </si>
  <si>
    <t>23:51:11</t>
  </si>
  <si>
    <t>Amelia Martin</t>
  </si>
  <si>
    <t>amelia.martin11@outlook.com</t>
  </si>
  <si>
    <t>+1-644-760-6427</t>
  </si>
  <si>
    <t>Protein Powder Chocolate 2lb x1</t>
  </si>
  <si>
    <t>2024-10-25</t>
  </si>
  <si>
    <t>#ORD-10134</t>
  </si>
  <si>
    <t>2024-12-16</t>
  </si>
  <si>
    <t>00:28:22</t>
  </si>
  <si>
    <t>Chloe Miller</t>
  </si>
  <si>
    <t>chloe.miller68@yahoo.com</t>
  </si>
  <si>
    <t>+1-412-701-3362</t>
  </si>
  <si>
    <t>Leather Wallet Slim x1 | Linen Throw Blanket x3 | Stainless Steel Cookware Set x1</t>
  </si>
  <si>
    <t>2024-12-17</t>
  </si>
  <si>
    <t>#ORD-10135</t>
  </si>
  <si>
    <t>2024-11-25</t>
  </si>
  <si>
    <t>21:22:38</t>
  </si>
  <si>
    <t>Henry Jones</t>
  </si>
  <si>
    <t>henry.jones21@outlook.com</t>
  </si>
  <si>
    <t>+1-300-547-4803</t>
  </si>
  <si>
    <t>2024-11-26</t>
  </si>
  <si>
    <t>#ORD-10136</t>
  </si>
  <si>
    <t>10:03:15</t>
  </si>
  <si>
    <t>Ava Perez</t>
  </si>
  <si>
    <t>ava.perez99@outlook.com</t>
  </si>
  <si>
    <t>+1-390-796-7227</t>
  </si>
  <si>
    <t>#ORD-10137</t>
  </si>
  <si>
    <t>21:26:36</t>
  </si>
  <si>
    <t>Ethan Green</t>
  </si>
  <si>
    <t>ethan.green32@yahoo.com</t>
  </si>
  <si>
    <t>+1-568-879-5419</t>
  </si>
  <si>
    <t>#ORD-10138</t>
  </si>
  <si>
    <t>07:28:36</t>
  </si>
  <si>
    <t>sophia.rodriguez24@gmail.com</t>
  </si>
  <si>
    <t>+1-448-685-9537</t>
  </si>
  <si>
    <t>Multivitamin Daily Pack x1 | Smart LED Desk Lamp x1</t>
  </si>
  <si>
    <t>2024-08-09</t>
  </si>
  <si>
    <t>#ORD-10139</t>
  </si>
  <si>
    <t>2024-04-14</t>
  </si>
  <si>
    <t>05:43:57</t>
  </si>
  <si>
    <t>Mia Harris</t>
  </si>
  <si>
    <t>mia.harris18@gmail.com</t>
  </si>
  <si>
    <t>+1-808-731-4203</t>
  </si>
  <si>
    <t>USB-C Fast Charger 65W x1 | Running Shoes - Men's x1</t>
  </si>
  <si>
    <t>#ORD-10140</t>
  </si>
  <si>
    <t>2024-06-02</t>
  </si>
  <si>
    <t>16:06:59</t>
  </si>
  <si>
    <t>Sebastian Miller</t>
  </si>
  <si>
    <t>sebastian.miller39@gmail.com</t>
  </si>
  <si>
    <t>+1-528-717-4290</t>
  </si>
  <si>
    <t>2024-06-05</t>
  </si>
  <si>
    <t>#ORD-10141</t>
  </si>
  <si>
    <t>2024-09-26</t>
  </si>
  <si>
    <t>21:28:33</t>
  </si>
  <si>
    <t>Ella Lee</t>
  </si>
  <si>
    <t>ella.lee51@yahoo.com</t>
  </si>
  <si>
    <t>+1-898-886-1440</t>
  </si>
  <si>
    <t>Linen Throw Blanket x1 | High-Waist Leggings x1</t>
  </si>
  <si>
    <t>2024-09-28</t>
  </si>
  <si>
    <t>#ORD-10142</t>
  </si>
  <si>
    <t>05:57:22</t>
  </si>
  <si>
    <t>Sebastian Wilson</t>
  </si>
  <si>
    <t>sebastian.wilson38@yahoo.com</t>
  </si>
  <si>
    <t>+1-812-590-7566</t>
  </si>
  <si>
    <t>Multivitamin Daily Pack x1 | Anti-Aging Serum 1oz x1 | Stainless Steel Cookware Set x1</t>
  </si>
  <si>
    <t>#ORD-10143</t>
  </si>
  <si>
    <t>2024-01-15</t>
  </si>
  <si>
    <t>06:40:34</t>
  </si>
  <si>
    <t>Grace King</t>
  </si>
  <si>
    <t>grace.king89@gmail.com</t>
  </si>
  <si>
    <t>+1-860-793-7547</t>
  </si>
  <si>
    <t>Insulated Water Bottle 32oz x2 | Sunscreen SPF 50 Face x1 | Leather Wallet Slim x2</t>
  </si>
  <si>
    <t>2024-01-20</t>
  </si>
  <si>
    <t>#ORD-10144</t>
  </si>
  <si>
    <t>2024-03-27</t>
  </si>
  <si>
    <t>05:12:00</t>
  </si>
  <si>
    <t>Muhammad Lewis</t>
  </si>
  <si>
    <t>muhammad.lewis2@gmail.com</t>
  </si>
  <si>
    <t>+1-553-125-8909</t>
  </si>
  <si>
    <t>Air Fryer 5.8Qt x1 | Coffee Maker Programmable x1</t>
  </si>
  <si>
    <t>#ORD-10145</t>
  </si>
  <si>
    <t>07:44:14</t>
  </si>
  <si>
    <t>Sophia Jackson</t>
  </si>
  <si>
    <t>sophia.jackson11@gmail.com</t>
  </si>
  <si>
    <t>+1-507-145-2885</t>
  </si>
  <si>
    <t>Insulated Water Bottle 32oz x1 | Yoga Mat Premium x1 | Resistance Band Set x1</t>
  </si>
  <si>
    <t>#ORD-10146</t>
  </si>
  <si>
    <t>13:51:44</t>
  </si>
  <si>
    <t>Liam Perez</t>
  </si>
  <si>
    <t>liam.perez14@yahoo.com</t>
  </si>
  <si>
    <t>+1-855-773-8080</t>
  </si>
  <si>
    <t>Running Shoes - Men's x1</t>
  </si>
  <si>
    <t>2024-10-16</t>
  </si>
  <si>
    <t>#ORD-10147</t>
  </si>
  <si>
    <t>19:43:21</t>
  </si>
  <si>
    <t>Henry Johnson</t>
  </si>
  <si>
    <t>henry.johnson79@yahoo.com</t>
  </si>
  <si>
    <t>+1-533-301-8496</t>
  </si>
  <si>
    <t>Sunscreen SPF 50 Face x1</t>
  </si>
  <si>
    <t>2024-06-18</t>
  </si>
  <si>
    <t>#ORD-10148</t>
  </si>
  <si>
    <t>2024-08-19</t>
  </si>
  <si>
    <t>20:10:17</t>
  </si>
  <si>
    <t>Mason Taylor</t>
  </si>
  <si>
    <t>mason.taylor63@outlook.com</t>
  </si>
  <si>
    <t>+1-804-186-3194</t>
  </si>
  <si>
    <t>#ORD-10149</t>
  </si>
  <si>
    <t>23:27:53</t>
  </si>
  <si>
    <t>Abigail Davis</t>
  </si>
  <si>
    <t>abigail.davis40@gmail.com</t>
  </si>
  <si>
    <t>+1-370-601-5732</t>
  </si>
  <si>
    <t>Air Fryer 5.8Qt x1 | Protein Powder Chocolate 2lb x1</t>
  </si>
  <si>
    <t>#ORD-10150</t>
  </si>
  <si>
    <t>2024-01-04</t>
  </si>
  <si>
    <t>17:19:26</t>
  </si>
  <si>
    <t>Isabella Lopez</t>
  </si>
  <si>
    <t>isabella.lopez58@outlook.com</t>
  </si>
  <si>
    <t>+1-700-271-2354</t>
  </si>
  <si>
    <t>Running Shoes - Women's x1 | Denim Jacket x1</t>
  </si>
  <si>
    <t>#ORD-10151</t>
  </si>
  <si>
    <t>2024-01-13</t>
  </si>
  <si>
    <t>16:44:25</t>
  </si>
  <si>
    <t>Chloe Johnson</t>
  </si>
  <si>
    <t>chloe.johnson98@gmail.com</t>
  </si>
  <si>
    <t>+1-575-655-1681</t>
  </si>
  <si>
    <t>Coffee Maker Programmable x1</t>
  </si>
  <si>
    <t>2024-01-18</t>
  </si>
  <si>
    <t>#ORD-10152</t>
  </si>
  <si>
    <t>2024-11-18</t>
  </si>
  <si>
    <t>08:49:11</t>
  </si>
  <si>
    <t>Avery Scott</t>
  </si>
  <si>
    <t>avery.scott55@gmail.com</t>
  </si>
  <si>
    <t>+1-414-930-6744</t>
  </si>
  <si>
    <t>San Antonio</t>
  </si>
  <si>
    <t>Casual Sneakers x2 | Yoga Mat Premium x1</t>
  </si>
  <si>
    <t>2024-11-20</t>
  </si>
  <si>
    <t>#ORD-10153</t>
  </si>
  <si>
    <t>2024-03-21</t>
  </si>
  <si>
    <t>05:50:05</t>
  </si>
  <si>
    <t>Benjamin Lewis</t>
  </si>
  <si>
    <t>benjamin.lewis79@gmail.com</t>
  </si>
  <si>
    <t>+1-338-868-7743</t>
  </si>
  <si>
    <t>High-Waist Leggings x1 | Portable Bluetooth Speaker x1 | Linen Throw Blanket x1</t>
  </si>
  <si>
    <t>#ORD-10154</t>
  </si>
  <si>
    <t>2024-12-02</t>
  </si>
  <si>
    <t>08:26:22</t>
  </si>
  <si>
    <t>Noah Moore</t>
  </si>
  <si>
    <t>noah.moore84@gmail.com</t>
  </si>
  <si>
    <t>+1-584-562-2237</t>
  </si>
  <si>
    <t>2024-12-06</t>
  </si>
  <si>
    <t>#ORD-10155</t>
  </si>
  <si>
    <t>2024-12-29</t>
  </si>
  <si>
    <t>15:17:06</t>
  </si>
  <si>
    <t>Ethan Sanchez</t>
  </si>
  <si>
    <t>ethan.sanchez96@gmail.com</t>
  </si>
  <si>
    <t>+1-747-507-4568</t>
  </si>
  <si>
    <t>Organic Green Tea 100ct x1 | Stainless Steel Cookware Set x2 | Resistance Band Set x2</t>
  </si>
  <si>
    <t>2024-12-30</t>
  </si>
  <si>
    <t>#ORD-10156</t>
  </si>
  <si>
    <t>2024-04-20</t>
  </si>
  <si>
    <t>03:16:44</t>
  </si>
  <si>
    <t>Jack Wilson</t>
  </si>
  <si>
    <t>jack.wilson35@gmail.com</t>
  </si>
  <si>
    <t>+1-216-227-3588</t>
  </si>
  <si>
    <t>#ORD-10157</t>
  </si>
  <si>
    <t>2024-09-24</t>
  </si>
  <si>
    <t>10:08:29</t>
  </si>
  <si>
    <t>Avery Walker</t>
  </si>
  <si>
    <t>avery.walker55@gmail.com</t>
  </si>
  <si>
    <t>+1-840-412-4836</t>
  </si>
  <si>
    <t>Leather Wallet Slim x2 | Essential Oil Diffuser x2 | Yoga Mat Premium x1 | Running Shoes - Men's x1</t>
  </si>
  <si>
    <t>#ORD-10158</t>
  </si>
  <si>
    <t>2024-07-04</t>
  </si>
  <si>
    <t>04:09:38</t>
  </si>
  <si>
    <t>Jack Garcia</t>
  </si>
  <si>
    <t>jack.garcia13@gmail.com</t>
  </si>
  <si>
    <t>+1-910-235-8826</t>
  </si>
  <si>
    <t>#ORD-10159</t>
  </si>
  <si>
    <t>16:38:50</t>
  </si>
  <si>
    <t>Ava Anderson</t>
  </si>
  <si>
    <t>ava.anderson12@yahoo.com</t>
  </si>
  <si>
    <t>+1-559-839-4490</t>
  </si>
  <si>
    <t>Yoga Mat Premium x1</t>
  </si>
  <si>
    <t>#ORD-10160</t>
  </si>
  <si>
    <t>08:52:01</t>
  </si>
  <si>
    <t>James Clark</t>
  </si>
  <si>
    <t>james.clark88@gmail.com</t>
  </si>
  <si>
    <t>+1-483-760-2380</t>
  </si>
  <si>
    <t>Smart LED Desk Lamp x1</t>
  </si>
  <si>
    <t>#ORD-10161</t>
  </si>
  <si>
    <t>13:21:30</t>
  </si>
  <si>
    <t>Oliver Torres</t>
  </si>
  <si>
    <t>oliver.torres77@yahoo.com</t>
  </si>
  <si>
    <t>+1-706-495-2847</t>
  </si>
  <si>
    <t>Canvas Backpack 25L x2 | Anti-Aging Serum 1oz x1</t>
  </si>
  <si>
    <t>#ORD-10162</t>
  </si>
  <si>
    <t>2024-12-11</t>
  </si>
  <si>
    <t>03:30:46</t>
  </si>
  <si>
    <t>Oliver Allen</t>
  </si>
  <si>
    <t>oliver.allen77@gmail.com</t>
  </si>
  <si>
    <t>+1-261-908-7520</t>
  </si>
  <si>
    <t>Insulated Water Bottle 32oz x2 | Bamboo Sunglasses x1 | Resistance Band Set x1 | Mechanical Keyboard x1 | Protein Powder Chocolate 2lb x2</t>
  </si>
  <si>
    <t>2024-12-12</t>
  </si>
  <si>
    <t>#ORD-10163</t>
  </si>
  <si>
    <t>13:20:57</t>
  </si>
  <si>
    <t>Scarlett Jackson</t>
  </si>
  <si>
    <t>scarlett.jackson92@yahoo.com</t>
  </si>
  <si>
    <t>+1-749-434-7401</t>
  </si>
  <si>
    <t>#ORD-10164</t>
  </si>
  <si>
    <t>2024-11-24</t>
  </si>
  <si>
    <t>17:39:16</t>
  </si>
  <si>
    <t>Daniel Jones</t>
  </si>
  <si>
    <t>daniel.jones90@gmail.com</t>
  </si>
  <si>
    <t>+1-212-824-3248</t>
  </si>
  <si>
    <t>#ORD-10165</t>
  </si>
  <si>
    <t>22:01:17</t>
  </si>
  <si>
    <t>Emma Hernandez</t>
  </si>
  <si>
    <t>emma.hernandez45@outlook.com</t>
  </si>
  <si>
    <t>+1-469-829-2262</t>
  </si>
  <si>
    <t>Insulated Water Bottle 32oz x1</t>
  </si>
  <si>
    <t>#ORD-10166</t>
  </si>
  <si>
    <t>2024-11-29</t>
  </si>
  <si>
    <t>17:48:49</t>
  </si>
  <si>
    <t>Michael Walker</t>
  </si>
  <si>
    <t>michael.walker47@gmail.com</t>
  </si>
  <si>
    <t>+1-245-979-1201</t>
  </si>
  <si>
    <t>#ORD-10167</t>
  </si>
  <si>
    <t>06:53:25</t>
  </si>
  <si>
    <t>Oliver Williams</t>
  </si>
  <si>
    <t>oliver.williams47@gmail.com</t>
  </si>
  <si>
    <t>+1-279-685-7108</t>
  </si>
  <si>
    <t>#ORD-10168</t>
  </si>
  <si>
    <t>2024-11-08</t>
  </si>
  <si>
    <t>08:58:25</t>
  </si>
  <si>
    <t>Mason King</t>
  </si>
  <si>
    <t>mason.king7@gmail.com</t>
  </si>
  <si>
    <t>+1-405-398-5979</t>
  </si>
  <si>
    <t>Portable Bluetooth Speaker x1 | Protein Powder Chocolate 2lb x1</t>
  </si>
  <si>
    <t>#ORD-10169</t>
  </si>
  <si>
    <t>01:16:39</t>
  </si>
  <si>
    <t>Benjamin Thomas</t>
  </si>
  <si>
    <t>benjamin.thomas48@yahoo.com</t>
  </si>
  <si>
    <t>+1-201-877-7164</t>
  </si>
  <si>
    <t>Men's Grooming Kit x2 | Leather Wallet Slim x1 | Coffee Maker Programmable x1</t>
  </si>
  <si>
    <t>2024-10-30</t>
  </si>
  <si>
    <t>#ORD-10170</t>
  </si>
  <si>
    <t>2024-01-24</t>
  </si>
  <si>
    <t>06:15:45</t>
  </si>
  <si>
    <t>Aiden Miller</t>
  </si>
  <si>
    <t>aiden.miller68@yahoo.com</t>
  </si>
  <si>
    <t>+1-276-706-2020</t>
  </si>
  <si>
    <t>Mechanical Keyboard x3 | Sunscreen SPF 50 Face x2 | Hiking Boots x1 | USB-C Fast Charger 65W x2 | Portable Bluetooth Speaker x1</t>
  </si>
  <si>
    <t>#ORD-10171</t>
  </si>
  <si>
    <t>08:05:45</t>
  </si>
  <si>
    <t>Jack Rodriguez</t>
  </si>
  <si>
    <t>jack.rodriguez38@gmail.com</t>
  </si>
  <si>
    <t>+1-677-421-7660</t>
  </si>
  <si>
    <t>Protein Powder Chocolate 2lb x1 | Sunscreen SPF 50 Face x1 | Denim Jacket x1 | Men's Grooming Kit x3</t>
  </si>
  <si>
    <t>#ORD-10172</t>
  </si>
  <si>
    <t>17:38:10</t>
  </si>
  <si>
    <t>Mason Scott</t>
  </si>
  <si>
    <t>mason.scott99@gmail.com</t>
  </si>
  <si>
    <t>+1-293-828-5066</t>
  </si>
  <si>
    <t>Canvas Backpack 25L x1 | Smart LED Desk Lamp x2</t>
  </si>
  <si>
    <t>#ORD-10173</t>
  </si>
  <si>
    <t>2024-03-08</t>
  </si>
  <si>
    <t>12:33:53</t>
  </si>
  <si>
    <t>Emily Sanchez</t>
  </si>
  <si>
    <t>emily.sanchez7@yahoo.com</t>
  </si>
  <si>
    <t>+1-324-112-2010</t>
  </si>
  <si>
    <t>Protein Powder Chocolate 2lb x2</t>
  </si>
  <si>
    <t>2024-03-10</t>
  </si>
  <si>
    <t>#ORD-10174</t>
  </si>
  <si>
    <t>2024-09-01</t>
  </si>
  <si>
    <t>Amelia Rodriguez</t>
  </si>
  <si>
    <t>amelia.rodriguez52@gmail.com</t>
  </si>
  <si>
    <t>+1-243-572-1829</t>
  </si>
  <si>
    <t>USB-C Fast Charger 65W x2 | Linen Throw Blanket x1 | Hiking Boots x1 | Bamboo Sunglasses x2</t>
  </si>
  <si>
    <t>#ORD-10175</t>
  </si>
  <si>
    <t>2024-01-12</t>
  </si>
  <si>
    <t>10:47:41</t>
  </si>
  <si>
    <t>Mia Nguyen</t>
  </si>
  <si>
    <t>mia.nguyen93@gmail.com</t>
  </si>
  <si>
    <t>+1-834-731-5026</t>
  </si>
  <si>
    <t>2024-01-17</t>
  </si>
  <si>
    <t>#ORD-10176</t>
  </si>
  <si>
    <t>01:37:26</t>
  </si>
  <si>
    <t>Evelyn Allen</t>
  </si>
  <si>
    <t>evelyn.allen71@gmail.com</t>
  </si>
  <si>
    <t>+1-930-467-8859</t>
  </si>
  <si>
    <t>Mechanical Keyboard x1</t>
  </si>
  <si>
    <t>2024-02-08</t>
  </si>
  <si>
    <t>#ORD-10177</t>
  </si>
  <si>
    <t>20:00:19</t>
  </si>
  <si>
    <t>Grace Allen</t>
  </si>
  <si>
    <t>grace.allen73@yahoo.com</t>
  </si>
  <si>
    <t>+1-302-353-4951</t>
  </si>
  <si>
    <t>2024-03-12</t>
  </si>
  <si>
    <t>#ORD-10178</t>
  </si>
  <si>
    <t>05:03:51</t>
  </si>
  <si>
    <t>Elijah Scott</t>
  </si>
  <si>
    <t>elijah.scott95@gmail.com</t>
  </si>
  <si>
    <t>+1-228-820-6761</t>
  </si>
  <si>
    <t>High-Waist Leggings x1 | Protein Powder Chocolate 2lb x2</t>
  </si>
  <si>
    <t>#ORD-10179</t>
  </si>
  <si>
    <t>17:29:10</t>
  </si>
  <si>
    <t>Chloe Nguyen</t>
  </si>
  <si>
    <t>chloe.nguyen73@outlook.com</t>
  </si>
  <si>
    <t>+1-548-834-3907</t>
  </si>
  <si>
    <t>Stainless Steel Cookware Set x1 | Coffee Maker Programmable x1 | Yoga Mat Premium x1 | Running Shoes - Men's x1</t>
  </si>
  <si>
    <t>#ORD-10180</t>
  </si>
  <si>
    <t>17:37:08</t>
  </si>
  <si>
    <t>Abigail Brown</t>
  </si>
  <si>
    <t>abigail.brown19@outlook.com</t>
  </si>
  <si>
    <t>+1-509-430-3235</t>
  </si>
  <si>
    <t>#ORD-10181</t>
  </si>
  <si>
    <t>15:41:11</t>
  </si>
  <si>
    <t>Mia Lewis</t>
  </si>
  <si>
    <t>mia.lewis82@outlook.com</t>
  </si>
  <si>
    <t>+1-514-851-5825</t>
  </si>
  <si>
    <t>Coffee Maker Programmable x2 | Sunscreen SPF 50 Face x1</t>
  </si>
  <si>
    <t>#ORD-10182</t>
  </si>
  <si>
    <t>01:59:23</t>
  </si>
  <si>
    <t>isabella.lopez1@outlook.com</t>
  </si>
  <si>
    <t>+1-344-439-2274</t>
  </si>
  <si>
    <t>Classic Fit Polo Shirt x1 | Linen Throw Blanket x1 | Portable Bluetooth Speaker x2</t>
  </si>
  <si>
    <t>#ORD-10183</t>
  </si>
  <si>
    <t>2024-11-15</t>
  </si>
  <si>
    <t>02:26:35</t>
  </si>
  <si>
    <t>Oliver Thompson</t>
  </si>
  <si>
    <t>oliver.thompson22@outlook.com</t>
  </si>
  <si>
    <t>+1-937-101-1788</t>
  </si>
  <si>
    <t>Essential Oil Diffuser x2 | Men's Grooming Kit x1</t>
  </si>
  <si>
    <t>#ORD-10184</t>
  </si>
  <si>
    <t>11:51:26</t>
  </si>
  <si>
    <t>Elizabeth Robinson</t>
  </si>
  <si>
    <t>elizabeth.robinson54@outlook.com</t>
  </si>
  <si>
    <t>+1-220-426-5278</t>
  </si>
  <si>
    <t>Insulated Water Bottle 32oz x2 | Coffee Maker Programmable x2 | Protein Powder Chocolate 2lb x1 | Smart LED Desk Lamp x2</t>
  </si>
  <si>
    <t>#ORD-10185</t>
  </si>
  <si>
    <t>03:04:23</t>
  </si>
  <si>
    <t>Sophia Jones</t>
  </si>
  <si>
    <t>sophia.jones22@yahoo.com</t>
  </si>
  <si>
    <t>+1-644-260-1877</t>
  </si>
  <si>
    <t>Leather Wallet Slim x1 | USB-C Fast Charger 65W x3</t>
  </si>
  <si>
    <t>#ORD-10186</t>
  </si>
  <si>
    <t>04:42:07</t>
  </si>
  <si>
    <t>Sophia Perez</t>
  </si>
  <si>
    <t>sophia.perez25@gmail.com</t>
  </si>
  <si>
    <t>+1-357-155-6911</t>
  </si>
  <si>
    <t>Men's Grooming Kit x1 | Coffee Maker Programmable x1</t>
  </si>
  <si>
    <t>#ORD-10187</t>
  </si>
  <si>
    <t>12:59:06</t>
  </si>
  <si>
    <t>Emma Lewis</t>
  </si>
  <si>
    <t>emma.lewis38@outlook.com</t>
  </si>
  <si>
    <t>+1-682-600-5341</t>
  </si>
  <si>
    <t>#ORD-10188</t>
  </si>
  <si>
    <t>03:19:36</t>
  </si>
  <si>
    <t>Ethan Scott</t>
  </si>
  <si>
    <t>ethan.scott24@gmail.com</t>
  </si>
  <si>
    <t>+1-970-813-2584</t>
  </si>
  <si>
    <t>#ORD-10189</t>
  </si>
  <si>
    <t>18:41:21</t>
  </si>
  <si>
    <t>Ethan Thompson</t>
  </si>
  <si>
    <t>ethan.thompson70@gmail.com</t>
  </si>
  <si>
    <t>+1-506-180-7468</t>
  </si>
  <si>
    <t>Coffee Maker Programmable x2 | Portable Bluetooth Speaker x2</t>
  </si>
  <si>
    <t>2024-10-24</t>
  </si>
  <si>
    <t>#ORD-10190</t>
  </si>
  <si>
    <t>21:21:52</t>
  </si>
  <si>
    <t>Olivia King</t>
  </si>
  <si>
    <t>olivia.king67@outlook.com</t>
  </si>
  <si>
    <t>+1-406-942-3422</t>
  </si>
  <si>
    <t>#ORD-10191</t>
  </si>
  <si>
    <t>17:20:46</t>
  </si>
  <si>
    <t>Victoria Taylor</t>
  </si>
  <si>
    <t>victoria.taylor94@yahoo.com</t>
  </si>
  <si>
    <t>+1-315-524-3451</t>
  </si>
  <si>
    <t>Coffee Maker Programmable x2 | Resistance Band Set x1</t>
  </si>
  <si>
    <t>#ORD-10192</t>
  </si>
  <si>
    <t>2024-12-25</t>
  </si>
  <si>
    <t>04:57:19</t>
  </si>
  <si>
    <t>james.nguyen75@outlook.com</t>
  </si>
  <si>
    <t>+1-238-276-5512</t>
  </si>
  <si>
    <t>#ORD-10193</t>
  </si>
  <si>
    <t>17:03:20</t>
  </si>
  <si>
    <t>Henry Martinez</t>
  </si>
  <si>
    <t>henry.martinez78@yahoo.com</t>
  </si>
  <si>
    <t>+1-337-407-8259</t>
  </si>
  <si>
    <t>Resistance Band Set x2 | Sunscreen SPF 50 Face x3 | Casual Sneakers x2 | Portable Bluetooth Speaker x1</t>
  </si>
  <si>
    <t>#ORD-10194</t>
  </si>
  <si>
    <t>13:05:49</t>
  </si>
  <si>
    <t>Abigail Moore</t>
  </si>
  <si>
    <t>abigail.moore54@yahoo.com</t>
  </si>
  <si>
    <t>+1-613-238-9589</t>
  </si>
  <si>
    <t>#ORD-10195</t>
  </si>
  <si>
    <t>2024-01-23</t>
  </si>
  <si>
    <t>09:07:38</t>
  </si>
  <si>
    <t>chloe.johnson25@yahoo.com</t>
  </si>
  <si>
    <t>+1-850-226-1500</t>
  </si>
  <si>
    <t>#ORD-10196</t>
  </si>
  <si>
    <t>01:28:07</t>
  </si>
  <si>
    <t>Oliver White</t>
  </si>
  <si>
    <t>oliver.white77@gmail.com</t>
  </si>
  <si>
    <t>+1-250-266-4511</t>
  </si>
  <si>
    <t>Coffee Maker Programmable x1 | Insulated Water Bottle 32oz x2</t>
  </si>
  <si>
    <t>2024-12-08</t>
  </si>
  <si>
    <t>#ORD-10197</t>
  </si>
  <si>
    <t>2024-06-08</t>
  </si>
  <si>
    <t>00:53:01</t>
  </si>
  <si>
    <t>amelia.anderson27@gmail.com</t>
  </si>
  <si>
    <t>+1-458-722-6004</t>
  </si>
  <si>
    <t>Canvas Backpack 25L x3 | Classic Fit Polo Shirt x1</t>
  </si>
  <si>
    <t>#ORD-10198</t>
  </si>
  <si>
    <t>17:51:20</t>
  </si>
  <si>
    <t>Elijah Lewis</t>
  </si>
  <si>
    <t>elijah.lewis49@yahoo.com</t>
  </si>
  <si>
    <t>+1-862-708-5631</t>
  </si>
  <si>
    <t>Anti-Aging Serum 1oz x2 | Air Fryer 5.8Qt x1</t>
  </si>
  <si>
    <t>2024-03-30</t>
  </si>
  <si>
    <t>#ORD-10199</t>
  </si>
  <si>
    <t>2024-04-17</t>
  </si>
  <si>
    <t>09:00:38</t>
  </si>
  <si>
    <t>aiden.miller9@gmail.com</t>
  </si>
  <si>
    <t>+1-613-776-6236</t>
  </si>
  <si>
    <t>Canvas Backpack 25L x1 | Hiking Boots x2</t>
  </si>
  <si>
    <t>#ORD-10200</t>
  </si>
  <si>
    <t>2024-06-11</t>
  </si>
  <si>
    <t>13:18:53</t>
  </si>
  <si>
    <t>Isabella Johnson</t>
  </si>
  <si>
    <t>isabella.johnson64@yahoo.com</t>
  </si>
  <si>
    <t>+1-887-467-9311</t>
  </si>
  <si>
    <t>#ORD-10201</t>
  </si>
  <si>
    <t>21:43:35</t>
  </si>
  <si>
    <t>Aiden Hernandez</t>
  </si>
  <si>
    <t>aiden.hernandez85@yahoo.com</t>
  </si>
  <si>
    <t>+1-428-862-6031</t>
  </si>
  <si>
    <t>Men's Grooming Kit x2 | Hiking Boots x1</t>
  </si>
  <si>
    <t>2024-02-10</t>
  </si>
  <si>
    <t>#ORD-10202</t>
  </si>
  <si>
    <t>2024-02-15</t>
  </si>
  <si>
    <t>17:48:10</t>
  </si>
  <si>
    <t>Sofia Perez</t>
  </si>
  <si>
    <t>sofia.perez34@yahoo.com</t>
  </si>
  <si>
    <t>+1-742-405-7768</t>
  </si>
  <si>
    <t>Canvas Backpack 25L x1 | Essential Oil Diffuser x3</t>
  </si>
  <si>
    <t>#ORD-10203</t>
  </si>
  <si>
    <t>03:13:33</t>
  </si>
  <si>
    <t>Noah Martinez</t>
  </si>
  <si>
    <t>noah.martinez26@gmail.com</t>
  </si>
  <si>
    <t>+1-979-892-3762</t>
  </si>
  <si>
    <t>Organic Green Tea 100ct x2 | Mechanical Keyboard x2 | Resistance Band Set x1 | Canvas Backpack 25L x1</t>
  </si>
  <si>
    <t>2024-08-11</t>
  </si>
  <si>
    <t>#ORD-10204</t>
  </si>
  <si>
    <t>10:29:00</t>
  </si>
  <si>
    <t>Chloe Hernandez</t>
  </si>
  <si>
    <t>chloe.hernandez98@yahoo.com</t>
  </si>
  <si>
    <t>+1-975-953-9700</t>
  </si>
  <si>
    <t>Protein Powder Chocolate 2lb x3 | Multivitamin Daily Pack x1</t>
  </si>
  <si>
    <t>#ORD-10205</t>
  </si>
  <si>
    <t>08:07:08</t>
  </si>
  <si>
    <t>Charlotte Johnson</t>
  </si>
  <si>
    <t>charlotte.johnson1@yahoo.com</t>
  </si>
  <si>
    <t>+1-736-445-8105</t>
  </si>
  <si>
    <t>Yoga Mat Premium x1 | Mechanical Keyboard x1 | Smart LED Desk Lamp x1</t>
  </si>
  <si>
    <t>#ORD-10206</t>
  </si>
  <si>
    <t>2024-03-14</t>
  </si>
  <si>
    <t>04:15:28</t>
  </si>
  <si>
    <t>Isabella Perez</t>
  </si>
  <si>
    <t>isabella.perez63@gmail.com</t>
  </si>
  <si>
    <t>+1-803-616-3768</t>
  </si>
  <si>
    <t>2024-03-15</t>
  </si>
  <si>
    <t>#ORD-10207</t>
  </si>
  <si>
    <t>16:13:30</t>
  </si>
  <si>
    <t>Mason White</t>
  </si>
  <si>
    <t>mason.white84@yahoo.com</t>
  </si>
  <si>
    <t>+1-626-554-7230</t>
  </si>
  <si>
    <t>2024-09-06</t>
  </si>
  <si>
    <t>#ORD-10208</t>
  </si>
  <si>
    <t>2024-09-23</t>
  </si>
  <si>
    <t>07:33:37</t>
  </si>
  <si>
    <t>Mason Torres</t>
  </si>
  <si>
    <t>mason.torres61@yahoo.com</t>
  </si>
  <si>
    <t>+1-316-903-2741</t>
  </si>
  <si>
    <t>Yoga Mat Premium x1 | Multivitamin Daily Pack x1</t>
  </si>
  <si>
    <t>#ORD-10209</t>
  </si>
  <si>
    <t>07:43:49</t>
  </si>
  <si>
    <t>michael.gonzalez26@outlook.com</t>
  </si>
  <si>
    <t>+1-213-787-2458</t>
  </si>
  <si>
    <t>2024-03-20</t>
  </si>
  <si>
    <t>#ORD-10210</t>
  </si>
  <si>
    <t>23:37:52</t>
  </si>
  <si>
    <t>Mason Nguyen</t>
  </si>
  <si>
    <t>mason.nguyen64@gmail.com</t>
  </si>
  <si>
    <t>+1-497-468-6123</t>
  </si>
  <si>
    <t>USB-C Fast Charger 65W x2 | Men's Grooming Kit x1 | Smart LED Desk Lamp x1</t>
  </si>
  <si>
    <t>2024-02-05</t>
  </si>
  <si>
    <t>#ORD-10211</t>
  </si>
  <si>
    <t>2024-02-23</t>
  </si>
  <si>
    <t>17:55:46</t>
  </si>
  <si>
    <t>jack.davis98@yahoo.com</t>
  </si>
  <si>
    <t>+1-316-510-7557</t>
  </si>
  <si>
    <t>Running Shoes - Men's x1 | Resistance Band Set x1</t>
  </si>
  <si>
    <t>#ORD-10212</t>
  </si>
  <si>
    <t>18:54:00</t>
  </si>
  <si>
    <t>Sebastian Moore</t>
  </si>
  <si>
    <t>sebastian.moore50@yahoo.com</t>
  </si>
  <si>
    <t>+1-782-794-8178</t>
  </si>
  <si>
    <t>High-Waist Leggings x1 | Running Shoes - Men's x1</t>
  </si>
  <si>
    <t>#ORD-10213</t>
  </si>
  <si>
    <t>2024-12-07</t>
  </si>
  <si>
    <t>17:43:50</t>
  </si>
  <si>
    <t>Logan Green</t>
  </si>
  <si>
    <t>logan.green46@outlook.com</t>
  </si>
  <si>
    <t>+1-941-678-4669</t>
  </si>
  <si>
    <t>Leather Wallet Slim x3 | Mechanical Keyboard x1 | Stainless Steel Cookware Set x1</t>
  </si>
  <si>
    <t>#ORD-10214</t>
  </si>
  <si>
    <t>2024-09-13</t>
  </si>
  <si>
    <t>23:36:52</t>
  </si>
  <si>
    <t>Muhammad Wright</t>
  </si>
  <si>
    <t>muhammad.wright89@yahoo.com</t>
  </si>
  <si>
    <t>+1-717-969-8688</t>
  </si>
  <si>
    <t>Stainless Steel Cookware Set x1 | Insulated Water Bottle 32oz x1</t>
  </si>
  <si>
    <t>2024-09-15</t>
  </si>
  <si>
    <t>#ORD-10215</t>
  </si>
  <si>
    <t>2024-04-03</t>
  </si>
  <si>
    <t>13:16:28</t>
  </si>
  <si>
    <t>Michael Hernandez</t>
  </si>
  <si>
    <t>michael.hernandez97@gmail.com</t>
  </si>
  <si>
    <t>+1-670-554-8341</t>
  </si>
  <si>
    <t>2024-04-04</t>
  </si>
  <si>
    <t>#ORD-10216</t>
  </si>
  <si>
    <t>2024-07-12</t>
  </si>
  <si>
    <t>03:51:20</t>
  </si>
  <si>
    <t>Ethan Allen</t>
  </si>
  <si>
    <t>ethan.allen41@gmail.com</t>
  </si>
  <si>
    <t>+1-411-770-8474</t>
  </si>
  <si>
    <t>Wireless Noise-Cancelling Headphones x1 | Smart LED Desk Lamp x1 | Protein Powder Chocolate 2lb x1</t>
  </si>
  <si>
    <t>#ORD-10217</t>
  </si>
  <si>
    <t>2024-05-08</t>
  </si>
  <si>
    <t>22:12:32</t>
  </si>
  <si>
    <t>Muhammad White</t>
  </si>
  <si>
    <t>muhammad.white7@outlook.com</t>
  </si>
  <si>
    <t>+1-563-949-5783</t>
  </si>
  <si>
    <t>Scented Soy Candle Set x2 | Stainless Steel Cookware Set x1</t>
  </si>
  <si>
    <t>#ORD-10218</t>
  </si>
  <si>
    <t>2024-12-14</t>
  </si>
  <si>
    <t>07:30:02</t>
  </si>
  <si>
    <t>William Wright</t>
  </si>
  <si>
    <t>william.wright90@gmail.com</t>
  </si>
  <si>
    <t>+1-420-568-4122</t>
  </si>
  <si>
    <t>#ORD-10219</t>
  </si>
  <si>
    <t>22:13:44</t>
  </si>
  <si>
    <t>Muhammad Miller</t>
  </si>
  <si>
    <t>muhammad.miller54@gmail.com</t>
  </si>
  <si>
    <t>+1-643-958-8912</t>
  </si>
  <si>
    <t>Linen Throw Blanket x2 | Smart LED Desk Lamp x1 | Classic Fit Polo Shirt x1</t>
  </si>
  <si>
    <t>#ORD-10220</t>
  </si>
  <si>
    <t>14:37:34</t>
  </si>
  <si>
    <t>Scarlett Lopez</t>
  </si>
  <si>
    <t>scarlett.lopez75@gmail.com</t>
  </si>
  <si>
    <t>+1-607-451-5819</t>
  </si>
  <si>
    <t>#ORD-10221</t>
  </si>
  <si>
    <t>22:55:55</t>
  </si>
  <si>
    <t>Avery Rodriguez</t>
  </si>
  <si>
    <t>avery.rodriguez53@outlook.com</t>
  </si>
  <si>
    <t>+1-927-765-3913</t>
  </si>
  <si>
    <t>#ORD-10222</t>
  </si>
  <si>
    <t>2024-02-14</t>
  </si>
  <si>
    <t>19:39:17</t>
  </si>
  <si>
    <t>scarlett.scott82@gmail.com</t>
  </si>
  <si>
    <t>+1-309-125-7240</t>
  </si>
  <si>
    <t>Coffee Maker Programmable x1 | Stainless Steel Cookware Set x1 | Linen Throw Blanket x1</t>
  </si>
  <si>
    <t>2024-02-19</t>
  </si>
  <si>
    <t>#ORD-10223</t>
  </si>
  <si>
    <t>2024-10-18</t>
  </si>
  <si>
    <t>08:13:52</t>
  </si>
  <si>
    <t>James Brown</t>
  </si>
  <si>
    <t>james.brown8@gmail.com</t>
  </si>
  <si>
    <t>+1-891-857-4675</t>
  </si>
  <si>
    <t>Yoga Mat Premium x1 | Anti-Aging Serum 1oz x1 | Hiking Boots x2</t>
  </si>
  <si>
    <t>2024-10-23</t>
  </si>
  <si>
    <t>#ORD-10224</t>
  </si>
  <si>
    <t>2024-04-21</t>
  </si>
  <si>
    <t>16:59:11</t>
  </si>
  <si>
    <t>William Harris</t>
  </si>
  <si>
    <t>william.harris66@outlook.com</t>
  </si>
  <si>
    <t>+1-430-748-7025</t>
  </si>
  <si>
    <t>Portable Bluetooth Speaker x1 | Bamboo Sunglasses x1</t>
  </si>
  <si>
    <t>#ORD-10225</t>
  </si>
  <si>
    <t>2024-10-08</t>
  </si>
  <si>
    <t>12:41:34</t>
  </si>
  <si>
    <t>Daniel Scott</t>
  </si>
  <si>
    <t>daniel.scott78@gmail.com</t>
  </si>
  <si>
    <t>+1-538-577-3536</t>
  </si>
  <si>
    <t>Yoga Mat Premium x1 | Organic Green Tea 100ct x1 | Running Shoes - Men's x1 | Anti-Aging Serum 1oz x1 | USB-C Fast Charger 65W x1</t>
  </si>
  <si>
    <t>#ORD-10226</t>
  </si>
  <si>
    <t>20:50:23</t>
  </si>
  <si>
    <t>Olivia Martinez</t>
  </si>
  <si>
    <t>olivia.martinez42@outlook.com</t>
  </si>
  <si>
    <t>+1-733-169-9276</t>
  </si>
  <si>
    <t>Anti-Aging Serum 1oz x1 | Yoga Mat Premium x1</t>
  </si>
  <si>
    <t>#ORD-10227</t>
  </si>
  <si>
    <t>2024-05-15</t>
  </si>
  <si>
    <t>16:40:17</t>
  </si>
  <si>
    <t>Mia Clark</t>
  </si>
  <si>
    <t>mia.clark69@gmail.com</t>
  </si>
  <si>
    <t>+1-774-943-1144</t>
  </si>
  <si>
    <t>2024-05-19</t>
  </si>
  <si>
    <t>#ORD-10228</t>
  </si>
  <si>
    <t>05:22:01</t>
  </si>
  <si>
    <t>Mason Thompson</t>
  </si>
  <si>
    <t>mason.thompson31@outlook.com</t>
  </si>
  <si>
    <t>+1-729-941-7143</t>
  </si>
  <si>
    <t>#ORD-10229</t>
  </si>
  <si>
    <t>20:35:29</t>
  </si>
  <si>
    <t>Scarlett King</t>
  </si>
  <si>
    <t>scarlett.king63@gmail.com</t>
  </si>
  <si>
    <t>+1-306-310-9810</t>
  </si>
  <si>
    <t>Resistance Band Set x1 | Air Fryer 5.8Qt x1</t>
  </si>
  <si>
    <t>#ORD-10230</t>
  </si>
  <si>
    <t>2024-06-27</t>
  </si>
  <si>
    <t>08:17:21</t>
  </si>
  <si>
    <t>Jack Jones</t>
  </si>
  <si>
    <t>jack.jones88@gmail.com</t>
  </si>
  <si>
    <t>+1-597-561-7626</t>
  </si>
  <si>
    <t>Portable Bluetooth Speaker x1 | USB-C Fast Charger 65W x1</t>
  </si>
  <si>
    <t>#ORD-10231</t>
  </si>
  <si>
    <t>02:29:35</t>
  </si>
  <si>
    <t>Jack Lee</t>
  </si>
  <si>
    <t>jack.lee50@outlook.com</t>
  </si>
  <si>
    <t>+1-288-388-8170</t>
  </si>
  <si>
    <t>USB-C Fast Charger 65W x2 | Classic Fit Polo Shirt x1</t>
  </si>
  <si>
    <t>2024-09-11</t>
  </si>
  <si>
    <t>#ORD-10232</t>
  </si>
  <si>
    <t>17:02:25</t>
  </si>
  <si>
    <t>Elizabeth Sanchez</t>
  </si>
  <si>
    <t>elizabeth.sanchez85@gmail.com</t>
  </si>
  <si>
    <t>+1-766-995-3316</t>
  </si>
  <si>
    <t>Mechanical Keyboard x1 | Men's Grooming Kit x2</t>
  </si>
  <si>
    <t>#ORD-10233</t>
  </si>
  <si>
    <t>01:26:23</t>
  </si>
  <si>
    <t>Mason Williams</t>
  </si>
  <si>
    <t>mason.williams74@outlook.com</t>
  </si>
  <si>
    <t>+1-388-326-5140</t>
  </si>
  <si>
    <t>Men's Grooming Kit x2</t>
  </si>
  <si>
    <t>#ORD-10234</t>
  </si>
  <si>
    <t>15:30:31</t>
  </si>
  <si>
    <t>Charlotte Davis</t>
  </si>
  <si>
    <t>charlotte.davis86@outlook.com</t>
  </si>
  <si>
    <t>+1-331-787-4842</t>
  </si>
  <si>
    <t>Coffee Maker Programmable x1 | Organic Green Tea 100ct x1 | Essential Oil Diffuser x1</t>
  </si>
  <si>
    <t>#ORD-10235</t>
  </si>
  <si>
    <t>2024-06-24</t>
  </si>
  <si>
    <t>00:19:29</t>
  </si>
  <si>
    <t>sophia.jackson9@yahoo.com</t>
  </si>
  <si>
    <t>+1-372-104-6131</t>
  </si>
  <si>
    <t>#ORD-10236</t>
  </si>
  <si>
    <t>14:39:08</t>
  </si>
  <si>
    <t>Oliver Anderson</t>
  </si>
  <si>
    <t>oliver.anderson95@yahoo.com</t>
  </si>
  <si>
    <t>+1-379-761-2343</t>
  </si>
  <si>
    <t>#ORD-10237</t>
  </si>
  <si>
    <t>2024-10-11</t>
  </si>
  <si>
    <t>21:07:52</t>
  </si>
  <si>
    <t>Elijah Rodriguez</t>
  </si>
  <si>
    <t>elijah.rodriguez69@gmail.com</t>
  </si>
  <si>
    <t>+1-683-769-3435</t>
  </si>
  <si>
    <t>USB-C Fast Charger 65W x2 | Men's Grooming Kit x1 | Leather Wallet Slim x2 | Wireless Noise-Cancelling Headphones x1</t>
  </si>
  <si>
    <t>#ORD-10238</t>
  </si>
  <si>
    <t>23:51:49</t>
  </si>
  <si>
    <t>Alexander Sanchez</t>
  </si>
  <si>
    <t>alexander.sanchez99@outlook.com</t>
  </si>
  <si>
    <t>+1-363-283-3395</t>
  </si>
  <si>
    <t>Air Fryer 5.8Qt x1 | USB-C Fast Charger 65W x1</t>
  </si>
  <si>
    <t>#ORD-10239</t>
  </si>
  <si>
    <t>15:59:12</t>
  </si>
  <si>
    <t>Ella Thompson</t>
  </si>
  <si>
    <t>ella.thompson29@yahoo.com</t>
  </si>
  <si>
    <t>+1-864-431-2691</t>
  </si>
  <si>
    <t>Los Angeles</t>
  </si>
  <si>
    <t>#ORD-10240</t>
  </si>
  <si>
    <t>2024-07-30</t>
  </si>
  <si>
    <t>Owen Moore</t>
  </si>
  <si>
    <t>owen.moore95@gmail.com</t>
  </si>
  <si>
    <t>+1-615-461-6653</t>
  </si>
  <si>
    <t>Protein Powder Chocolate 2lb x1 | Essential Oil Diffuser x1</t>
  </si>
  <si>
    <t>#ORD-10241</t>
  </si>
  <si>
    <t>13:09:18</t>
  </si>
  <si>
    <t>Michael Young</t>
  </si>
  <si>
    <t>michael.young78@gmail.com</t>
  </si>
  <si>
    <t>+1-624-930-6410</t>
  </si>
  <si>
    <t>2024-12-10</t>
  </si>
  <si>
    <t>#ORD-10242</t>
  </si>
  <si>
    <t>10:34:13</t>
  </si>
  <si>
    <t>Mason Young</t>
  </si>
  <si>
    <t>mason.young62@gmail.com</t>
  </si>
  <si>
    <t>+1-786-250-1916</t>
  </si>
  <si>
    <t>2024-08-18</t>
  </si>
  <si>
    <t>#ORD-10243</t>
  </si>
  <si>
    <t>21:10:35</t>
  </si>
  <si>
    <t>Mia Taylor</t>
  </si>
  <si>
    <t>mia.taylor24@yahoo.com</t>
  </si>
  <si>
    <t>+1-374-324-7730</t>
  </si>
  <si>
    <t>Leather Wallet Slim x2 | Men's Grooming Kit x2</t>
  </si>
  <si>
    <t>#ORD-10244</t>
  </si>
  <si>
    <t>04:22:19</t>
  </si>
  <si>
    <t>Victoria Martinez</t>
  </si>
  <si>
    <t>victoria.martinez75@yahoo.com</t>
  </si>
  <si>
    <t>+1-216-307-9564</t>
  </si>
  <si>
    <t>Running Shoes - Men's x1 | Men's Grooming Kit x3</t>
  </si>
  <si>
    <t>2024-09-14</t>
  </si>
  <si>
    <t>#ORD-10245</t>
  </si>
  <si>
    <t>03:35:51</t>
  </si>
  <si>
    <t>Scarlett Clark</t>
  </si>
  <si>
    <t>scarlett.clark20@yahoo.com</t>
  </si>
  <si>
    <t>+1-993-794-8069</t>
  </si>
  <si>
    <t>Portable Bluetooth Speaker x2 | Leather Wallet Slim x1</t>
  </si>
  <si>
    <t>#ORD-10246</t>
  </si>
  <si>
    <t>10:43:24</t>
  </si>
  <si>
    <t>owen.clark6@yahoo.com</t>
  </si>
  <si>
    <t>+1-490-712-9908</t>
  </si>
  <si>
    <t>High-Waist Leggings x1 | Classic Fit Polo Shirt x2 | Protein Powder Chocolate 2lb x2</t>
  </si>
  <si>
    <t>#ORD-10247</t>
  </si>
  <si>
    <t>2024-08-12</t>
  </si>
  <si>
    <t>11:13:50</t>
  </si>
  <si>
    <t>Sofia Taylor</t>
  </si>
  <si>
    <t>sofia.taylor1@outlook.com</t>
  </si>
  <si>
    <t>+1-748-533-6990</t>
  </si>
  <si>
    <t>Air Fryer 5.8Qt x1 | Wireless Noise-Cancelling Headphones x1</t>
  </si>
  <si>
    <t>#ORD-10248</t>
  </si>
  <si>
    <t>2024-10-31</t>
  </si>
  <si>
    <t>09:26:15</t>
  </si>
  <si>
    <t>Benjamin Moore</t>
  </si>
  <si>
    <t>benjamin.moore51@yahoo.com</t>
  </si>
  <si>
    <t>+1-965-335-8317</t>
  </si>
  <si>
    <t>Running Shoes - Men's x1 | Insulated Water Bottle 32oz x1</t>
  </si>
  <si>
    <t>2024-11-01</t>
  </si>
  <si>
    <t>#ORD-10249</t>
  </si>
  <si>
    <t>10:28:09</t>
  </si>
  <si>
    <t>Mia Miller</t>
  </si>
  <si>
    <t>mia.miller66@gmail.com</t>
  </si>
  <si>
    <t>+1-290-165-5310</t>
  </si>
  <si>
    <t>Scented Soy Candle Set x2 | Sunscreen SPF 50 Face x1 | Anti-Aging Serum 1oz x3</t>
  </si>
  <si>
    <t>#ORD-10250</t>
  </si>
  <si>
    <t>06:10:40</t>
  </si>
  <si>
    <t>Amelia White</t>
  </si>
  <si>
    <t>amelia.white78@gmail.com</t>
  </si>
  <si>
    <t>+1-399-134-9364</t>
  </si>
  <si>
    <t>Protein Powder Chocolate 2lb x1 | Scented Soy Candle Set x3 | Essential Oil Diffuser x1 | Air Fryer 5.8Qt x2</t>
  </si>
  <si>
    <t>#ORD-10251</t>
  </si>
  <si>
    <t>09:13:14</t>
  </si>
  <si>
    <t>Owen Anderson</t>
  </si>
  <si>
    <t>owen.anderson22@yahoo.com</t>
  </si>
  <si>
    <t>+1-215-854-2124</t>
  </si>
  <si>
    <t>2024-09-16</t>
  </si>
  <si>
    <t>#ORD-10252</t>
  </si>
  <si>
    <t>04:28:58</t>
  </si>
  <si>
    <t>Ethan Torres</t>
  </si>
  <si>
    <t>ethan.torres93@outlook.com</t>
  </si>
  <si>
    <t>+1-616-618-2744</t>
  </si>
  <si>
    <t>#ORD-10253</t>
  </si>
  <si>
    <t>10:36:10</t>
  </si>
  <si>
    <t>William Jones</t>
  </si>
  <si>
    <t>william.jones38@gmail.com</t>
  </si>
  <si>
    <t>+1-897-571-1448</t>
  </si>
  <si>
    <t>Hiking Boots x2 | Leather Wallet Slim x1 | Coffee Maker Programmable x1</t>
  </si>
  <si>
    <t>#ORD-10254</t>
  </si>
  <si>
    <t>06:48:24</t>
  </si>
  <si>
    <t>Ella Davis</t>
  </si>
  <si>
    <t>ella.davis9@gmail.com</t>
  </si>
  <si>
    <t>+1-767-282-8807</t>
  </si>
  <si>
    <t>Anti-Aging Serum 1oz x1 | Sunscreen SPF 50 Face x1 | Casual Sneakers x1 | High-Waist Leggings x2 | Resistance Band Set x1</t>
  </si>
  <si>
    <t>2024-11-03</t>
  </si>
  <si>
    <t>#ORD-10255</t>
  </si>
  <si>
    <t>18:40:49</t>
  </si>
  <si>
    <t>abigail.thompson74@gmail.com</t>
  </si>
  <si>
    <t>+1-564-259-2747</t>
  </si>
  <si>
    <t>Bamboo Sunglasses x1 | Running Shoes - Women's x1</t>
  </si>
  <si>
    <t>#ORD-10256</t>
  </si>
  <si>
    <t>2024-01-03</t>
  </si>
  <si>
    <t>13:44:13</t>
  </si>
  <si>
    <t>Mason Garcia</t>
  </si>
  <si>
    <t>mason.garcia85@gmail.com</t>
  </si>
  <si>
    <t>+1-607-327-3101</t>
  </si>
  <si>
    <t>Coffee Maker Programmable x1 | Portable Bluetooth Speaker x1 | Canvas Backpack 25L x1</t>
  </si>
  <si>
    <t>#ORD-10257</t>
  </si>
  <si>
    <t>00:19:21</t>
  </si>
  <si>
    <t>Noah Wright</t>
  </si>
  <si>
    <t>noah.wright55@gmail.com</t>
  </si>
  <si>
    <t>+1-890-315-7216</t>
  </si>
  <si>
    <t>#ORD-10258</t>
  </si>
  <si>
    <t>00:58:53</t>
  </si>
  <si>
    <t>Daniel Miller</t>
  </si>
  <si>
    <t>daniel.miller47@yahoo.com</t>
  </si>
  <si>
    <t>+1-917-870-7099</t>
  </si>
  <si>
    <t>2024-08-05</t>
  </si>
  <si>
    <t>#ORD-10259</t>
  </si>
  <si>
    <t>2024-02-20</t>
  </si>
  <si>
    <t>22:18:20</t>
  </si>
  <si>
    <t>alexander.sanchez58@gmail.com</t>
  </si>
  <si>
    <t>+1-337-969-9470</t>
  </si>
  <si>
    <t>Anti-Aging Serum 1oz x1 | Casual Sneakers x1 | Denim Jacket x1 | Smart LED Desk Lamp x1 | Men's Grooming Kit x1</t>
  </si>
  <si>
    <t>#ORD-10260</t>
  </si>
  <si>
    <t>07:30:36</t>
  </si>
  <si>
    <t>Grace Lee</t>
  </si>
  <si>
    <t>grace.lee63@gmail.com</t>
  </si>
  <si>
    <t>+1-568-673-5222</t>
  </si>
  <si>
    <t>Portable Bluetooth Speaker x1 | Protein Powder Chocolate 2lb x1 | Smart LED Desk Lamp x2</t>
  </si>
  <si>
    <t>#ORD-10261</t>
  </si>
  <si>
    <t>2024-09-20</t>
  </si>
  <si>
    <t>22:11:57</t>
  </si>
  <si>
    <t>emily.johnson16@gmail.com</t>
  </si>
  <si>
    <t>+1-855-927-6527</t>
  </si>
  <si>
    <t>Running Shoes - Women's x3 | Linen Throw Blanket x1 | Essential Oil Diffuser x1 | Coffee Maker Programmable x1 | Running Shoes - Men's x2</t>
  </si>
  <si>
    <t>2024-09-22</t>
  </si>
  <si>
    <t>#ORD-10262</t>
  </si>
  <si>
    <t>2024-03-03</t>
  </si>
  <si>
    <t>21:56:40</t>
  </si>
  <si>
    <t>Sofia Green</t>
  </si>
  <si>
    <t>sofia.green52@yahoo.com</t>
  </si>
  <si>
    <t>+1-999-983-6950</t>
  </si>
  <si>
    <t>#ORD-10263</t>
  </si>
  <si>
    <t>2024-11-27</t>
  </si>
  <si>
    <t>17:49:53</t>
  </si>
  <si>
    <t>Daniel Wright</t>
  </si>
  <si>
    <t>daniel.wright53@gmail.com</t>
  </si>
  <si>
    <t>+1-761-155-1431</t>
  </si>
  <si>
    <t>#ORD-10264</t>
  </si>
  <si>
    <t>01:07:47</t>
  </si>
  <si>
    <t>Henry Wright</t>
  </si>
  <si>
    <t>henry.wright11@gmail.com</t>
  </si>
  <si>
    <t>+1-841-229-3150</t>
  </si>
  <si>
    <t>Essential Oil Diffuser x3</t>
  </si>
  <si>
    <t>#ORD-10265</t>
  </si>
  <si>
    <t>07:05:45</t>
  </si>
  <si>
    <t>Owen Hernandez</t>
  </si>
  <si>
    <t>owen.hernandez5@outlook.com</t>
  </si>
  <si>
    <t>+1-736-755-9745</t>
  </si>
  <si>
    <t>Organic Green Tea 100ct x3 | Canvas Backpack 25L x1 | Coffee Maker Programmable x1</t>
  </si>
  <si>
    <t>#ORD-10266</t>
  </si>
  <si>
    <t>18:42:14</t>
  </si>
  <si>
    <t>Aiden Thompson</t>
  </si>
  <si>
    <t>aiden.thompson70@gmail.com</t>
  </si>
  <si>
    <t>+1-493-580-9767</t>
  </si>
  <si>
    <t>#ORD-10267</t>
  </si>
  <si>
    <t>10:25:06</t>
  </si>
  <si>
    <t>Emma Allen</t>
  </si>
  <si>
    <t>emma.allen62@gmail.com</t>
  </si>
  <si>
    <t>+1-455-267-7385</t>
  </si>
  <si>
    <t>#ORD-10268</t>
  </si>
  <si>
    <t>00:52:40</t>
  </si>
  <si>
    <t>Elizabeth Anderson</t>
  </si>
  <si>
    <t>elizabeth.anderson11@gmail.com</t>
  </si>
  <si>
    <t>+1-392-973-2121</t>
  </si>
  <si>
    <t>High-Waist Leggings x1 | Bamboo Sunglasses x1</t>
  </si>
  <si>
    <t>#ORD-10269</t>
  </si>
  <si>
    <t>16:28:26</t>
  </si>
  <si>
    <t>Logan Rodriguez</t>
  </si>
  <si>
    <t>logan.rodriguez15@outlook.com</t>
  </si>
  <si>
    <t>+1-932-548-1134</t>
  </si>
  <si>
    <t>Stainless Steel Cookware Set x1 | Running Shoes - Women's x1</t>
  </si>
  <si>
    <t>#ORD-10270</t>
  </si>
  <si>
    <t>18:51:31</t>
  </si>
  <si>
    <t>Amelia Garcia</t>
  </si>
  <si>
    <t>amelia.garcia2@gmail.com</t>
  </si>
  <si>
    <t>+1-257-372-7429</t>
  </si>
  <si>
    <t>High-Waist Leggings x2</t>
  </si>
  <si>
    <t>#ORD-10271</t>
  </si>
  <si>
    <t>2024-11-22</t>
  </si>
  <si>
    <t>19:42:52</t>
  </si>
  <si>
    <t>Ava Scott</t>
  </si>
  <si>
    <t>ava.scott24@gmail.com</t>
  </si>
  <si>
    <t>+1-453-855-1549</t>
  </si>
  <si>
    <t>#ORD-10272</t>
  </si>
  <si>
    <t>15:38:36</t>
  </si>
  <si>
    <t>Charlotte Walker</t>
  </si>
  <si>
    <t>charlotte.walker99@gmail.com</t>
  </si>
  <si>
    <t>+1-315-341-8113</t>
  </si>
  <si>
    <t>Stainless Steel Cookware Set x1 | Protein Powder Chocolate 2lb x1 | Anti-Aging Serum 1oz x1 | Yoga Mat Premium x3 | Bamboo Sunglasses x1</t>
  </si>
  <si>
    <t>2024-09-17</t>
  </si>
  <si>
    <t>#ORD-10273</t>
  </si>
  <si>
    <t>09:45:24</t>
  </si>
  <si>
    <t>Abigail Smith</t>
  </si>
  <si>
    <t>abigail.smith36@yahoo.com</t>
  </si>
  <si>
    <t>+1-293-802-6544</t>
  </si>
  <si>
    <t>#ORD-10274</t>
  </si>
  <si>
    <t>07:10:31</t>
  </si>
  <si>
    <t>Noah Brown</t>
  </si>
  <si>
    <t>noah.brown83@gmail.com</t>
  </si>
  <si>
    <t>+1-566-841-3207</t>
  </si>
  <si>
    <t>Mechanical Keyboard x1 | Stainless Steel Cookware Set x1 | Casual Sneakers x1</t>
  </si>
  <si>
    <t>#ORD-10275</t>
  </si>
  <si>
    <t>10:56:20</t>
  </si>
  <si>
    <t>Harper Williams</t>
  </si>
  <si>
    <t>harper.williams91@gmail.com</t>
  </si>
  <si>
    <t>+1-270-643-3539</t>
  </si>
  <si>
    <t>#ORD-10276</t>
  </si>
  <si>
    <t>2024-10-28</t>
  </si>
  <si>
    <t>08:04:44</t>
  </si>
  <si>
    <t>Avery Jackson</t>
  </si>
  <si>
    <t>avery.jackson34@yahoo.com</t>
  </si>
  <si>
    <t>+1-394-636-9151</t>
  </si>
  <si>
    <t>Protein Powder Chocolate 2lb x1 | Men's Grooming Kit x1</t>
  </si>
  <si>
    <t>#ORD-10277</t>
  </si>
  <si>
    <t>21:39:27</t>
  </si>
  <si>
    <t>William Martinez</t>
  </si>
  <si>
    <t>william.martinez37@gmail.com</t>
  </si>
  <si>
    <t>+1-396-201-1521</t>
  </si>
  <si>
    <t>#ORD-10278</t>
  </si>
  <si>
    <t>09:31:12</t>
  </si>
  <si>
    <t>Chloe Harris</t>
  </si>
  <si>
    <t>chloe.harris63@outlook.com</t>
  </si>
  <si>
    <t>+1-854-162-6913</t>
  </si>
  <si>
    <t>#ORD-10279</t>
  </si>
  <si>
    <t>14:14:07</t>
  </si>
  <si>
    <t>william.clark48@yahoo.com</t>
  </si>
  <si>
    <t>+1-942-336-9710</t>
  </si>
  <si>
    <t>Portable Bluetooth Speaker x2</t>
  </si>
  <si>
    <t>#ORD-10280</t>
  </si>
  <si>
    <t>11:26:57</t>
  </si>
  <si>
    <t>Elizabeth Gonzalez</t>
  </si>
  <si>
    <t>elizabeth.gonzalez68@outlook.com</t>
  </si>
  <si>
    <t>+1-306-270-3955</t>
  </si>
  <si>
    <t>Coffee Maker Programmable x2 | Multivitamin Daily Pack x2</t>
  </si>
  <si>
    <t>#ORD-10281</t>
  </si>
  <si>
    <t>2024-08-20</t>
  </si>
  <si>
    <t>23:37:11</t>
  </si>
  <si>
    <t>William Sanchez</t>
  </si>
  <si>
    <t>william.sanchez44@outlook.com</t>
  </si>
  <si>
    <t>+1-446-676-9939</t>
  </si>
  <si>
    <t>#ORD-10282</t>
  </si>
  <si>
    <t>16:42:21</t>
  </si>
  <si>
    <t>Lucas Harris</t>
  </si>
  <si>
    <t>lucas.harris71@yahoo.com</t>
  </si>
  <si>
    <t>+1-507-327-4519</t>
  </si>
  <si>
    <t>#ORD-10283</t>
  </si>
  <si>
    <t>13:23:44</t>
  </si>
  <si>
    <t>Abigail Johnson</t>
  </si>
  <si>
    <t>abigail.johnson89@outlook.com</t>
  </si>
  <si>
    <t>+1-462-930-5920</t>
  </si>
  <si>
    <t>Bamboo Sunglasses x1 | Linen Throw Blanket x1</t>
  </si>
  <si>
    <t>#ORD-10284</t>
  </si>
  <si>
    <t>00:15:33</t>
  </si>
  <si>
    <t>Ethan Nguyen</t>
  </si>
  <si>
    <t>ethan.nguyen73@outlook.com</t>
  </si>
  <si>
    <t>+1-280-898-1916</t>
  </si>
  <si>
    <t>Stainless Steel Cookware Set x1</t>
  </si>
  <si>
    <t>#ORD-10285</t>
  </si>
  <si>
    <t>00:46:19</t>
  </si>
  <si>
    <t>Muhammad Thompson</t>
  </si>
  <si>
    <t>muhammad.thompson56@gmail.com</t>
  </si>
  <si>
    <t>+1-242-426-9846</t>
  </si>
  <si>
    <t>#ORD-10286</t>
  </si>
  <si>
    <t>2024-09-18</t>
  </si>
  <si>
    <t>14:44:07</t>
  </si>
  <si>
    <t>Chloe Martinez</t>
  </si>
  <si>
    <t>chloe.martinez65@yahoo.com</t>
  </si>
  <si>
    <t>+1-785-863-1807</t>
  </si>
  <si>
    <t>Protein Powder Chocolate 2lb x1 | Organic Green Tea 100ct x1 | Classic Fit Polo Shirt x1</t>
  </si>
  <si>
    <t>#ORD-10287</t>
  </si>
  <si>
    <t>17:45:02</t>
  </si>
  <si>
    <t>william.sanchez11@gmail.com</t>
  </si>
  <si>
    <t>+1-273-372-8046</t>
  </si>
  <si>
    <t>Mechanical Keyboard x1 | Classic Fit Polo Shirt x1 | Stainless Steel Cookware Set x1</t>
  </si>
  <si>
    <t>2024-06-19</t>
  </si>
  <si>
    <t>#ORD-10288</t>
  </si>
  <si>
    <t>06:27:52</t>
  </si>
  <si>
    <t>Abigail Nguyen</t>
  </si>
  <si>
    <t>abigail.nguyen15@yahoo.com</t>
  </si>
  <si>
    <t>+1-838-249-8216</t>
  </si>
  <si>
    <t>#ORD-10289</t>
  </si>
  <si>
    <t>06:35:26</t>
  </si>
  <si>
    <t>Olivia Anderson</t>
  </si>
  <si>
    <t>olivia.anderson88@gmail.com</t>
  </si>
  <si>
    <t>+1-910-923-2823</t>
  </si>
  <si>
    <t>USB-C Fast Charger 65W x2 | Smart LED Desk Lamp x1</t>
  </si>
  <si>
    <t>#ORD-10290</t>
  </si>
  <si>
    <t>09:25:15</t>
  </si>
  <si>
    <t>Aiden Robinson</t>
  </si>
  <si>
    <t>aiden.robinson3@gmail.com</t>
  </si>
  <si>
    <t>+1-796-779-9631</t>
  </si>
  <si>
    <t>Running Shoes - Women's x1 | Coffee Maker Programmable x1</t>
  </si>
  <si>
    <t>#ORD-10291</t>
  </si>
  <si>
    <t>11:46:11</t>
  </si>
  <si>
    <t>Olivia Taylor</t>
  </si>
  <si>
    <t>olivia.taylor8@gmail.com</t>
  </si>
  <si>
    <t>+1-219-399-7332</t>
  </si>
  <si>
    <t>Hiking Boots x1 | Portable Bluetooth Speaker x3</t>
  </si>
  <si>
    <t>#ORD-10292</t>
  </si>
  <si>
    <t>12:15:45</t>
  </si>
  <si>
    <t>Amelia Harris</t>
  </si>
  <si>
    <t>amelia.harris91@gmail.com</t>
  </si>
  <si>
    <t>+1-512-441-9027</t>
  </si>
  <si>
    <t>Scented Soy Candle Set x1 | Coffee Maker Programmable x1</t>
  </si>
  <si>
    <t>#ORD-10293</t>
  </si>
  <si>
    <t>09:53:04</t>
  </si>
  <si>
    <t>Henry Hernandez</t>
  </si>
  <si>
    <t>henry.hernandez45@yahoo.com</t>
  </si>
  <si>
    <t>+1-486-330-3485</t>
  </si>
  <si>
    <t>#ORD-10294</t>
  </si>
  <si>
    <t>10:25:42</t>
  </si>
  <si>
    <t>Muhammad Sanchez</t>
  </si>
  <si>
    <t>muhammad.sanchez18@gmail.com</t>
  </si>
  <si>
    <t>+1-537-559-9883</t>
  </si>
  <si>
    <t>Anti-Aging Serum 1oz x2 | Scented Soy Candle Set x1</t>
  </si>
  <si>
    <t>#ORD-10295</t>
  </si>
  <si>
    <t>13:40:04</t>
  </si>
  <si>
    <t>Isabella Wilson</t>
  </si>
  <si>
    <t>isabella.wilson18@outlook.com</t>
  </si>
  <si>
    <t>+1-770-645-2939</t>
  </si>
  <si>
    <t>Yoga Mat Premium x1 | Sunscreen SPF 50 Face x1 | Leather Wallet Slim x3</t>
  </si>
  <si>
    <t>#ORD-10296</t>
  </si>
  <si>
    <t>19:25:25</t>
  </si>
  <si>
    <t>Logan Lee</t>
  </si>
  <si>
    <t>logan.lee19@outlook.com</t>
  </si>
  <si>
    <t>+1-780-727-4783</t>
  </si>
  <si>
    <t>Multivitamin Daily Pack x2 | Yoga Mat Premium x1 | Organic Green Tea 100ct x2 | Men's Grooming Kit x1 | Bamboo Sunglasses x1</t>
  </si>
  <si>
    <t>#ORD-10297</t>
  </si>
  <si>
    <t>victoria.anderson88@gmail.com</t>
  </si>
  <si>
    <t>+1-397-331-1528</t>
  </si>
  <si>
    <t>Stainless Steel Cookware Set x1 | Mechanical Keyboard x1</t>
  </si>
  <si>
    <t>#ORD-10298</t>
  </si>
  <si>
    <t>17:20:01</t>
  </si>
  <si>
    <t>Sofia Smith</t>
  </si>
  <si>
    <t>sofia.smith35@yahoo.com</t>
  </si>
  <si>
    <t>+1-937-420-7457</t>
  </si>
  <si>
    <t>Classic Fit Polo Shirt x3 | Running Shoes - Women's x1 | USB-C Fast Charger 65W x1 | Running Shoes - Men's x1 | Bamboo Sunglasses x2</t>
  </si>
  <si>
    <t>#ORD-10299</t>
  </si>
  <si>
    <t>14:37:29</t>
  </si>
  <si>
    <t>Benjamin Nguyen</t>
  </si>
  <si>
    <t>benjamin.nguyen69@outlook.com</t>
  </si>
  <si>
    <t>+1-596-628-1807</t>
  </si>
  <si>
    <t>2024-11-06</t>
  </si>
  <si>
    <t>#ORD-10300</t>
  </si>
  <si>
    <t>00:55:01</t>
  </si>
  <si>
    <t>Charlotte Jackson</t>
  </si>
  <si>
    <t>charlotte.jackson51@outlook.com</t>
  </si>
  <si>
    <t>+1-384-897-9952</t>
  </si>
  <si>
    <t>Multivitamin Daily Pack x1 | Yoga Mat Premium x1</t>
  </si>
  <si>
    <t>#ORD-10301</t>
  </si>
  <si>
    <t>11:16:09</t>
  </si>
  <si>
    <t>Isabella Sanchez</t>
  </si>
  <si>
    <t>isabella.sanchez42@gmail.com</t>
  </si>
  <si>
    <t>+1-293-216-8362</t>
  </si>
  <si>
    <t>Leather Wallet Slim x2 | Sunscreen SPF 50 Face x2</t>
  </si>
  <si>
    <t>2024-03-11</t>
  </si>
  <si>
    <t>#ORD-10302</t>
  </si>
  <si>
    <t>05:16:30</t>
  </si>
  <si>
    <t>Alexander Garcia</t>
  </si>
  <si>
    <t>alexander.garcia91@gmail.com</t>
  </si>
  <si>
    <t>+1-947-887-8311</t>
  </si>
  <si>
    <t>Scented Soy Candle Set x2 | Running Shoes - Men's x2 | Protein Powder Chocolate 2lb x1 | Coffee Maker Programmable x1 | Portable Bluetooth Speaker x1</t>
  </si>
  <si>
    <t>#ORD-10303</t>
  </si>
  <si>
    <t>06:00:21</t>
  </si>
  <si>
    <t>Evelyn Lopez</t>
  </si>
  <si>
    <t>evelyn.lopez17@yahoo.com</t>
  </si>
  <si>
    <t>+1-664-519-8239</t>
  </si>
  <si>
    <t>#ORD-10304</t>
  </si>
  <si>
    <t>13:35:36</t>
  </si>
  <si>
    <t>Ethan Flores</t>
  </si>
  <si>
    <t>ethan.flores1@gmail.com</t>
  </si>
  <si>
    <t>+1-233-783-5889</t>
  </si>
  <si>
    <t>#ORD-10305</t>
  </si>
  <si>
    <t>05:23:43</t>
  </si>
  <si>
    <t>Muhammad Garcia</t>
  </si>
  <si>
    <t>muhammad.garcia14@gmail.com</t>
  </si>
  <si>
    <t>+1-986-406-6289</t>
  </si>
  <si>
    <t>#ORD-10306</t>
  </si>
  <si>
    <t>05:09:10</t>
  </si>
  <si>
    <t>Alexander Harris</t>
  </si>
  <si>
    <t>alexander.harris9@outlook.com</t>
  </si>
  <si>
    <t>+1-259-211-9666</t>
  </si>
  <si>
    <t>#ORD-10307</t>
  </si>
  <si>
    <t>11:54:21</t>
  </si>
  <si>
    <t>Ethan Young</t>
  </si>
  <si>
    <t>ethan.young89@outlook.com</t>
  </si>
  <si>
    <t>+1-704-927-3947</t>
  </si>
  <si>
    <t>Scented Soy Candle Set x2</t>
  </si>
  <si>
    <t>#ORD-10308</t>
  </si>
  <si>
    <t>2024-01-10</t>
  </si>
  <si>
    <t>07:34:23</t>
  </si>
  <si>
    <t>Benjamin Anderson</t>
  </si>
  <si>
    <t>benjamin.anderson38@yahoo.com</t>
  </si>
  <si>
    <t>+1-211-755-4296</t>
  </si>
  <si>
    <t>High-Waist Leggings x2 | Smart LED Desk Lamp x1</t>
  </si>
  <si>
    <t>#ORD-10309</t>
  </si>
  <si>
    <t>18:41:22</t>
  </si>
  <si>
    <t>evelyn.taylor9@gmail.com</t>
  </si>
  <si>
    <t>+1-538-953-6536</t>
  </si>
  <si>
    <t>Classic Fit Polo Shirt x1 | Wireless Noise-Cancelling Headphones x1</t>
  </si>
  <si>
    <t>#ORD-10310</t>
  </si>
  <si>
    <t>2024-08-31</t>
  </si>
  <si>
    <t>13:55:56</t>
  </si>
  <si>
    <t>Ella Young</t>
  </si>
  <si>
    <t>ella.young5@yahoo.com</t>
  </si>
  <si>
    <t>+1-748-119-4412</t>
  </si>
  <si>
    <t>Canvas Backpack 25L x2 | Coffee Maker Programmable x1</t>
  </si>
  <si>
    <t>#ORD-10311</t>
  </si>
  <si>
    <t>2024-02-27</t>
  </si>
  <si>
    <t>23:37:21</t>
  </si>
  <si>
    <t>Chloe Perez</t>
  </si>
  <si>
    <t>chloe.perez46@gmail.com</t>
  </si>
  <si>
    <t>+1-391-709-2914</t>
  </si>
  <si>
    <t>#ORD-10312</t>
  </si>
  <si>
    <t>17:00:50</t>
  </si>
  <si>
    <t>Aiden Lee</t>
  </si>
  <si>
    <t>aiden.lee5@gmail.com</t>
  </si>
  <si>
    <t>+1-294-554-9290</t>
  </si>
  <si>
    <t>Casual Sneakers x1 | Insulated Water Bottle 32oz x3</t>
  </si>
  <si>
    <t>#ORD-10313</t>
  </si>
  <si>
    <t>02:06:35</t>
  </si>
  <si>
    <t>Liam Young</t>
  </si>
  <si>
    <t>liam.young65@gmail.com</t>
  </si>
  <si>
    <t>+1-596-830-9558</t>
  </si>
  <si>
    <t>Men's Grooming Kit x2 | Canvas Backpack 25L x1 | Air Fryer 5.8Qt x2 | Yoga Mat Premium x2</t>
  </si>
  <si>
    <t>#ORD-10314</t>
  </si>
  <si>
    <t>19:36:22</t>
  </si>
  <si>
    <t>Mason Smith</t>
  </si>
  <si>
    <t>mason.smith6@outlook.com</t>
  </si>
  <si>
    <t>+1-405-297-5695</t>
  </si>
  <si>
    <t>2024-02-06</t>
  </si>
  <si>
    <t>#ORD-10315</t>
  </si>
  <si>
    <t>16:35:07</t>
  </si>
  <si>
    <t>elijah.scott99@gmail.com</t>
  </si>
  <si>
    <t>+1-921-923-5641</t>
  </si>
  <si>
    <t>2024-02-17</t>
  </si>
  <si>
    <t>#ORD-10316</t>
  </si>
  <si>
    <t>12:18:30</t>
  </si>
  <si>
    <t>Chloe Thomas</t>
  </si>
  <si>
    <t>chloe.thomas10@gmail.com</t>
  </si>
  <si>
    <t>+1-601-283-8304</t>
  </si>
  <si>
    <t>#ORD-10317</t>
  </si>
  <si>
    <t>12:57:50</t>
  </si>
  <si>
    <t>Benjamin Thompson</t>
  </si>
  <si>
    <t>benjamin.thompson43@outlook.com</t>
  </si>
  <si>
    <t>+1-681-337-4666</t>
  </si>
  <si>
    <t>USB-C Fast Charger 65W x2 | Bamboo Sunglasses x1 | Classic Fit Polo Shirt x1</t>
  </si>
  <si>
    <t>#ORD-10318</t>
  </si>
  <si>
    <t>16:52:51</t>
  </si>
  <si>
    <t>James Green</t>
  </si>
  <si>
    <t>james.green47@gmail.com</t>
  </si>
  <si>
    <t>+1-788-230-9322</t>
  </si>
  <si>
    <t>Resistance Band Set x1 | High-Waist Leggings x1 | Canvas Backpack 25L x1 | Leather Wallet Slim x1</t>
  </si>
  <si>
    <t>#ORD-10319</t>
  </si>
  <si>
    <t>05:19:33</t>
  </si>
  <si>
    <t>Sophia Sanchez</t>
  </si>
  <si>
    <t>sophia.sanchez92@yahoo.com</t>
  </si>
  <si>
    <t>+1-593-167-6582</t>
  </si>
  <si>
    <t>#ORD-10320</t>
  </si>
  <si>
    <t>13:47:23</t>
  </si>
  <si>
    <t>lucas.hill56@yahoo.com</t>
  </si>
  <si>
    <t>+1-655-280-6046</t>
  </si>
  <si>
    <t>2024-09-27</t>
  </si>
  <si>
    <t>#ORD-10321</t>
  </si>
  <si>
    <t>2024-11-14</t>
  </si>
  <si>
    <t>09:42:08</t>
  </si>
  <si>
    <t>henry.jones14@outlook.com</t>
  </si>
  <si>
    <t>+1-876-252-8421</t>
  </si>
  <si>
    <t>#ORD-10322</t>
  </si>
  <si>
    <t>2024-09-21</t>
  </si>
  <si>
    <t>16:11:48</t>
  </si>
  <si>
    <t>Grace Jackson</t>
  </si>
  <si>
    <t>grace.jackson79@yahoo.com</t>
  </si>
  <si>
    <t>+1-208-726-9362</t>
  </si>
  <si>
    <t>Yoga Mat Premium x2 | Linen Throw Blanket x1 | High-Waist Leggings x3</t>
  </si>
  <si>
    <t>#ORD-10323</t>
  </si>
  <si>
    <t>22:38:03</t>
  </si>
  <si>
    <t>Henry Rodriguez</t>
  </si>
  <si>
    <t>henry.rodriguez38@gmail.com</t>
  </si>
  <si>
    <t>+1-919-704-7459</t>
  </si>
  <si>
    <t>Portable Bluetooth Speaker x2 | Wireless Noise-Cancelling Headphones x2</t>
  </si>
  <si>
    <t>2024-12-19</t>
  </si>
  <si>
    <t>#ORD-10324</t>
  </si>
  <si>
    <t>00:40:35</t>
  </si>
  <si>
    <t>abigail.harris49@gmail.com</t>
  </si>
  <si>
    <t>+1-211-173-1257</t>
  </si>
  <si>
    <t>#ORD-10325</t>
  </si>
  <si>
    <t>06:59:08</t>
  </si>
  <si>
    <t>James Allen</t>
  </si>
  <si>
    <t>james.allen56@yahoo.com</t>
  </si>
  <si>
    <t>+1-765-939-8373</t>
  </si>
  <si>
    <t>Multivitamin Daily Pack x1 | Canvas Backpack 25L x2</t>
  </si>
  <si>
    <t>#ORD-10326</t>
  </si>
  <si>
    <t>21:15:09</t>
  </si>
  <si>
    <t>Elizabeth Thompson</t>
  </si>
  <si>
    <t>elizabeth.thompson24@gmail.com</t>
  </si>
  <si>
    <t>+1-694-821-7038</t>
  </si>
  <si>
    <t>Canvas Backpack 25L x1 | Men's Grooming Kit x1</t>
  </si>
  <si>
    <t>#ORD-10327</t>
  </si>
  <si>
    <t>2024-10-10</t>
  </si>
  <si>
    <t>13:49:18</t>
  </si>
  <si>
    <t>Mason Hill</t>
  </si>
  <si>
    <t>mason.hill89@gmail.com</t>
  </si>
  <si>
    <t>+1-793-419-1864</t>
  </si>
  <si>
    <t>Canvas Backpack 25L x1 | Classic Fit Polo Shirt x1 | Hiking Boots x2</t>
  </si>
  <si>
    <t>#ORD-10328</t>
  </si>
  <si>
    <t>2024-07-18</t>
  </si>
  <si>
    <t>02:21:59</t>
  </si>
  <si>
    <t>Muhammad Scott</t>
  </si>
  <si>
    <t>muhammad.scott2@gmail.com</t>
  </si>
  <si>
    <t>+1-844-584-3770</t>
  </si>
  <si>
    <t>Linen Throw Blanket x1 | Men's Grooming Kit x3 | Resistance Band Set x1 | Multivitamin Daily Pack x1</t>
  </si>
  <si>
    <t>#ORD-10329</t>
  </si>
  <si>
    <t>09:18:56</t>
  </si>
  <si>
    <t>Chloe Brown</t>
  </si>
  <si>
    <t>chloe.brown38@outlook.com</t>
  </si>
  <si>
    <t>+1-959-214-3860</t>
  </si>
  <si>
    <t>Mechanical Keyboard x1 | Air Fryer 5.8Qt x2</t>
  </si>
  <si>
    <t>#ORD-10330</t>
  </si>
  <si>
    <t>02:50:26</t>
  </si>
  <si>
    <t>Daniel Martinez</t>
  </si>
  <si>
    <t>daniel.martinez58@gmail.com</t>
  </si>
  <si>
    <t>+1-970-522-7277</t>
  </si>
  <si>
    <t>#ORD-10331</t>
  </si>
  <si>
    <t>09:05:21</t>
  </si>
  <si>
    <t>Oliver Robinson</t>
  </si>
  <si>
    <t>oliver.robinson82@gmail.com</t>
  </si>
  <si>
    <t>+1-588-799-7390</t>
  </si>
  <si>
    <t>Insulated Water Bottle 32oz x1 | Portable Bluetooth Speaker x2 | Essential Oil Diffuser x1</t>
  </si>
  <si>
    <t>2024-08-14</t>
  </si>
  <si>
    <t>#ORD-10332</t>
  </si>
  <si>
    <t>02:20:25</t>
  </si>
  <si>
    <t>Ella Taylor</t>
  </si>
  <si>
    <t>ella.taylor68@yahoo.com</t>
  </si>
  <si>
    <t>+1-476-373-2610</t>
  </si>
  <si>
    <t>Protein Powder Chocolate 2lb x3 | Anti-Aging Serum 1oz x1 | Resistance Band Set x1</t>
  </si>
  <si>
    <t>#ORD-10333</t>
  </si>
  <si>
    <t>2024-10-12</t>
  </si>
  <si>
    <t>04:17:50</t>
  </si>
  <si>
    <t>Harper Hill</t>
  </si>
  <si>
    <t>harper.hill60@outlook.com</t>
  </si>
  <si>
    <t>+1-621-200-9605</t>
  </si>
  <si>
    <t>Classic Fit Polo Shirt x1 | Running Shoes - Women's x1</t>
  </si>
  <si>
    <t>#ORD-10334</t>
  </si>
  <si>
    <t>2024-01-14</t>
  </si>
  <si>
    <t>05:17:32</t>
  </si>
  <si>
    <t>Sophia Robinson</t>
  </si>
  <si>
    <t>sophia.robinson29@yahoo.com</t>
  </si>
  <si>
    <t>+1-819-233-7159</t>
  </si>
  <si>
    <t>#ORD-10335</t>
  </si>
  <si>
    <t>08:20:29</t>
  </si>
  <si>
    <t>Chloe Lopez</t>
  </si>
  <si>
    <t>chloe.lopez15@yahoo.com</t>
  </si>
  <si>
    <t>+1-365-899-2212</t>
  </si>
  <si>
    <t>USB-C Fast Charger 65W x1 | Essential Oil Diffuser x3</t>
  </si>
  <si>
    <t>2024-07-03</t>
  </si>
  <si>
    <t>#ORD-10336</t>
  </si>
  <si>
    <t>07:47:13</t>
  </si>
  <si>
    <t>Elijah Brown</t>
  </si>
  <si>
    <t>elijah.brown50@gmail.com</t>
  </si>
  <si>
    <t>+1-382-760-9061</t>
  </si>
  <si>
    <t>#ORD-10337</t>
  </si>
  <si>
    <t>2024-08-26</t>
  </si>
  <si>
    <t>10:34:50</t>
  </si>
  <si>
    <t>Sophia Martinez</t>
  </si>
  <si>
    <t>sophia.martinez99@gmail.com</t>
  </si>
  <si>
    <t>+1-352-768-1014</t>
  </si>
  <si>
    <t>Bamboo Sunglasses x2 | Organic Green Tea 100ct x1</t>
  </si>
  <si>
    <t>#ORD-10338</t>
  </si>
  <si>
    <t>04:02:07</t>
  </si>
  <si>
    <t>Olivia Harris</t>
  </si>
  <si>
    <t>olivia.harris20@outlook.com</t>
  </si>
  <si>
    <t>+1-431-103-7298</t>
  </si>
  <si>
    <t>Sunscreen SPF 50 Face x3</t>
  </si>
  <si>
    <t>#ORD-10339</t>
  </si>
  <si>
    <t>19:10:10</t>
  </si>
  <si>
    <t>ella.davis69@yahoo.com</t>
  </si>
  <si>
    <t>+1-978-884-5750</t>
  </si>
  <si>
    <t>#ORD-10340</t>
  </si>
  <si>
    <t>01:40:24</t>
  </si>
  <si>
    <t>charlotte.lopez6@outlook.com</t>
  </si>
  <si>
    <t>+1-444-600-7369</t>
  </si>
  <si>
    <t>Leather Wallet Slim x1 | Smart LED Desk Lamp x1</t>
  </si>
  <si>
    <t>#ORD-10341</t>
  </si>
  <si>
    <t>2024-11-19</t>
  </si>
  <si>
    <t>23:46:34</t>
  </si>
  <si>
    <t>ava.scott40@gmail.com</t>
  </si>
  <si>
    <t>+1-894-991-9791</t>
  </si>
  <si>
    <t>Wireless Noise-Cancelling Headphones x1 | Portable Bluetooth Speaker x2 | Resistance Band Set x1</t>
  </si>
  <si>
    <t>#ORD-10342</t>
  </si>
  <si>
    <t>23:43:07</t>
  </si>
  <si>
    <t>James Hill</t>
  </si>
  <si>
    <t>james.hill10@gmail.com</t>
  </si>
  <si>
    <t>+1-299-567-3796</t>
  </si>
  <si>
    <t>Wireless Noise-Cancelling Headphones x2 | Stainless Steel Cookware Set x1</t>
  </si>
  <si>
    <t>#ORD-10343</t>
  </si>
  <si>
    <t>01:35:28</t>
  </si>
  <si>
    <t>daniel.jones14@gmail.com</t>
  </si>
  <si>
    <t>+1-529-956-4493</t>
  </si>
  <si>
    <t>Casual Sneakers x1 | USB-C Fast Charger 65W x1 | High-Waist Leggings x2</t>
  </si>
  <si>
    <t>#ORD-10344</t>
  </si>
  <si>
    <t>08:52:16</t>
  </si>
  <si>
    <t>Olivia Hill</t>
  </si>
  <si>
    <t>olivia.hill43@gmail.com</t>
  </si>
  <si>
    <t>+1-847-727-7162</t>
  </si>
  <si>
    <t>#ORD-10345</t>
  </si>
  <si>
    <t>19:19:57</t>
  </si>
  <si>
    <t>Mia Johnson</t>
  </si>
  <si>
    <t>mia.johnson63@gmail.com</t>
  </si>
  <si>
    <t>+1-908-229-4377</t>
  </si>
  <si>
    <t>USB-C Fast Charger 65W x2</t>
  </si>
  <si>
    <t>#ORD-10346</t>
  </si>
  <si>
    <t>07:37:44</t>
  </si>
  <si>
    <t>James Moore</t>
  </si>
  <si>
    <t>james.moore58@gmail.com</t>
  </si>
  <si>
    <t>+1-628-104-4860</t>
  </si>
  <si>
    <t>#ORD-10347</t>
  </si>
  <si>
    <t>14:34:52</t>
  </si>
  <si>
    <t>charlotte.davis13@outlook.com</t>
  </si>
  <si>
    <t>+1-709-280-3617</t>
  </si>
  <si>
    <t>Organic Green Tea 100ct x1 | Classic Fit Polo Shirt x1</t>
  </si>
  <si>
    <t>#ORD-10348</t>
  </si>
  <si>
    <t>19:26:00</t>
  </si>
  <si>
    <t>Olivia Brown</t>
  </si>
  <si>
    <t>olivia.brown47@gmail.com</t>
  </si>
  <si>
    <t>+1-229-596-9436</t>
  </si>
  <si>
    <t>#ORD-10349</t>
  </si>
  <si>
    <t>14:16:55</t>
  </si>
  <si>
    <t>Mason Jones</t>
  </si>
  <si>
    <t>mason.jones31@outlook.com</t>
  </si>
  <si>
    <t>+1-404-484-4615</t>
  </si>
  <si>
    <t>#ORD-10350</t>
  </si>
  <si>
    <t>06:33:24</t>
  </si>
  <si>
    <t>Ava Young</t>
  </si>
  <si>
    <t>ava.young63@gmail.com</t>
  </si>
  <si>
    <t>+1-407-443-3084</t>
  </si>
  <si>
    <t>#ORD-10351</t>
  </si>
  <si>
    <t>17:57:57</t>
  </si>
  <si>
    <t>olivia.nguyen36@gmail.com</t>
  </si>
  <si>
    <t>+1-766-975-4763</t>
  </si>
  <si>
    <t>Multivitamin Daily Pack x2 | Running Shoes - Men's x1</t>
  </si>
  <si>
    <t>#ORD-10352</t>
  </si>
  <si>
    <t>01:23:28</t>
  </si>
  <si>
    <t>Ethan Clark</t>
  </si>
  <si>
    <t>ethan.clark67@gmail.com</t>
  </si>
  <si>
    <t>+1-205-527-1724</t>
  </si>
  <si>
    <t>Denim Jacket x1 | Organic Green Tea 100ct x2</t>
  </si>
  <si>
    <t>#ORD-10353</t>
  </si>
  <si>
    <t>03:19:48</t>
  </si>
  <si>
    <t>Olivia Young</t>
  </si>
  <si>
    <t>olivia.young99@yahoo.com</t>
  </si>
  <si>
    <t>+1-423-235-6872</t>
  </si>
  <si>
    <t>High-Waist Leggings x2 | Sunscreen SPF 50 Face x1</t>
  </si>
  <si>
    <t>#ORD-10354</t>
  </si>
  <si>
    <t>19:51:49</t>
  </si>
  <si>
    <t>Evelyn Thomas</t>
  </si>
  <si>
    <t>evelyn.thomas12@gmail.com</t>
  </si>
  <si>
    <t>+1-389-908-7068</t>
  </si>
  <si>
    <t>#ORD-10355</t>
  </si>
  <si>
    <t>23:24:45</t>
  </si>
  <si>
    <t>Sebastian Smith</t>
  </si>
  <si>
    <t>sebastian.smith81@gmail.com</t>
  </si>
  <si>
    <t>+1-543-853-1898</t>
  </si>
  <si>
    <t>Air Fryer 5.8Qt x1 | Portable Bluetooth Speaker x2</t>
  </si>
  <si>
    <t>#ORD-10356</t>
  </si>
  <si>
    <t>2024-05-21</t>
  </si>
  <si>
    <t>23:33:13</t>
  </si>
  <si>
    <t>Scarlett White</t>
  </si>
  <si>
    <t>scarlett.white7@gmail.com</t>
  </si>
  <si>
    <t>+1-752-216-8839</t>
  </si>
  <si>
    <t>Portable Bluetooth Speaker x1 | Insulated Water Bottle 32oz x1</t>
  </si>
  <si>
    <t>2024-05-23</t>
  </si>
  <si>
    <t>#ORD-10357</t>
  </si>
  <si>
    <t>17:20:33</t>
  </si>
  <si>
    <t>Daniel Wilson</t>
  </si>
  <si>
    <t>daniel.wilson96@yahoo.com</t>
  </si>
  <si>
    <t>+1-681-826-9714</t>
  </si>
  <si>
    <t>#ORD-10358</t>
  </si>
  <si>
    <t>11:40:16</t>
  </si>
  <si>
    <t>grace.jackson80@gmail.com</t>
  </si>
  <si>
    <t>+1-354-995-4346</t>
  </si>
  <si>
    <t>High-Waist Leggings x2 | Leather Wallet Slim x1 | USB-C Fast Charger 65W x1 | Running Shoes - Women's x2</t>
  </si>
  <si>
    <t>#ORD-10359</t>
  </si>
  <si>
    <t>06:35:03</t>
  </si>
  <si>
    <t>Owen Johnson</t>
  </si>
  <si>
    <t>owen.johnson54@outlook.com</t>
  </si>
  <si>
    <t>+1-621-692-6616</t>
  </si>
  <si>
    <t>Multivitamin Daily Pack x2 | Organic Green Tea 100ct x1</t>
  </si>
  <si>
    <t>#ORD-10360</t>
  </si>
  <si>
    <t>22:05:22</t>
  </si>
  <si>
    <t>Abigail Allen</t>
  </si>
  <si>
    <t>abigail.allen86@outlook.com</t>
  </si>
  <si>
    <t>+1-561-391-8469</t>
  </si>
  <si>
    <t>Linen Throw Blanket x2 | Mechanical Keyboard x1</t>
  </si>
  <si>
    <t>2024-06-23</t>
  </si>
  <si>
    <t>#ORD-10361</t>
  </si>
  <si>
    <t>02:28:03</t>
  </si>
  <si>
    <t>Mia Green</t>
  </si>
  <si>
    <t>mia.green21@yahoo.com</t>
  </si>
  <si>
    <t>+1-775-824-1568</t>
  </si>
  <si>
    <t>Sunscreen SPF 50 Face x2 | Leather Wallet Slim x1 | Anti-Aging Serum 1oz x1</t>
  </si>
  <si>
    <t>#ORD-10362</t>
  </si>
  <si>
    <t>03:31:10</t>
  </si>
  <si>
    <t>abigail.thompson48@gmail.com</t>
  </si>
  <si>
    <t>+1-539-762-5842</t>
  </si>
  <si>
    <t>Smart LED Desk Lamp x1 | Bamboo Sunglasses x3</t>
  </si>
  <si>
    <t>#ORD-10363</t>
  </si>
  <si>
    <t>22:31:12</t>
  </si>
  <si>
    <t>Ella Jackson</t>
  </si>
  <si>
    <t>ella.jackson74@outlook.com</t>
  </si>
  <si>
    <t>+1-565-194-6347</t>
  </si>
  <si>
    <t>Organic Green Tea 100ct x2 | Resistance Band Set x2 | Sunscreen SPF 50 Face x1 | Smart LED Desk Lamp x1</t>
  </si>
  <si>
    <t>#ORD-10364</t>
  </si>
  <si>
    <t>09:01:50</t>
  </si>
  <si>
    <t>Noah Flores</t>
  </si>
  <si>
    <t>noah.flores25@yahoo.com</t>
  </si>
  <si>
    <t>+1-882-469-7513</t>
  </si>
  <si>
    <t>Running Shoes - Women's x1 | Wireless Noise-Cancelling Headphones x1 | USB-C Fast Charger 65W x1</t>
  </si>
  <si>
    <t>#ORD-10365</t>
  </si>
  <si>
    <t>13:08:01</t>
  </si>
  <si>
    <t>James Lewis</t>
  </si>
  <si>
    <t>james.lewis50@gmail.com</t>
  </si>
  <si>
    <t>+1-653-395-3683</t>
  </si>
  <si>
    <t>Yoga Mat Premium x3</t>
  </si>
  <si>
    <t>#ORD-10366</t>
  </si>
  <si>
    <t>18:19:08</t>
  </si>
  <si>
    <t>Jack Clark</t>
  </si>
  <si>
    <t>jack.clark76@yahoo.com</t>
  </si>
  <si>
    <t>+1-379-669-8571</t>
  </si>
  <si>
    <t>Canvas Backpack 25L x3 | Air Fryer 5.8Qt x1</t>
  </si>
  <si>
    <t>#ORD-10367</t>
  </si>
  <si>
    <t>12:35:21</t>
  </si>
  <si>
    <t>Chloe Rodriguez</t>
  </si>
  <si>
    <t>chloe.rodriguez24@yahoo.com</t>
  </si>
  <si>
    <t>+1-357-368-5917</t>
  </si>
  <si>
    <t>#ORD-10368</t>
  </si>
  <si>
    <t>00:42:52</t>
  </si>
  <si>
    <t>ella.davis86@yahoo.com</t>
  </si>
  <si>
    <t>+1-910-937-2959</t>
  </si>
  <si>
    <t>Essential Oil Diffuser x2 | Casual Sneakers x1 | Wireless Noise-Cancelling Headphones x3 | Smart LED Desk Lamp x1</t>
  </si>
  <si>
    <t>2024-07-14</t>
  </si>
  <si>
    <t>#ORD-10369</t>
  </si>
  <si>
    <t>19:03:42</t>
  </si>
  <si>
    <t>alexander.king74@gmail.com</t>
  </si>
  <si>
    <t>+1-851-464-1798</t>
  </si>
  <si>
    <t>#ORD-10370</t>
  </si>
  <si>
    <t>15:45:40</t>
  </si>
  <si>
    <t>Evelyn Jackson</t>
  </si>
  <si>
    <t>evelyn.jackson82@outlook.com</t>
  </si>
  <si>
    <t>+1-747-693-6761</t>
  </si>
  <si>
    <t>Classic Fit Polo Shirt x1 | Smart LED Desk Lamp x1</t>
  </si>
  <si>
    <t>#ORD-10371</t>
  </si>
  <si>
    <t>11:00:54</t>
  </si>
  <si>
    <t>james.smith67@gmail.com</t>
  </si>
  <si>
    <t>+1-929-664-2867</t>
  </si>
  <si>
    <t>Resistance Band Set x2 | Bamboo Sunglasses x1</t>
  </si>
  <si>
    <t>#ORD-10372</t>
  </si>
  <si>
    <t>23:10:20</t>
  </si>
  <si>
    <t>Sofia Walker</t>
  </si>
  <si>
    <t>sofia.walker10@gmail.com</t>
  </si>
  <si>
    <t>+1-331-977-3332</t>
  </si>
  <si>
    <t>Stainless Steel Cookware Set x1 | Insulated Water Bottle 32oz x2 | Yoga Mat Premium x2 | Sunscreen SPF 50 Face x1</t>
  </si>
  <si>
    <t>2024-02-22</t>
  </si>
  <si>
    <t>#ORD-10373</t>
  </si>
  <si>
    <t>12:39:04</t>
  </si>
  <si>
    <t>amelia.martin27@gmail.com</t>
  </si>
  <si>
    <t>+1-875-625-1971</t>
  </si>
  <si>
    <t>Classic Fit Polo Shirt x2</t>
  </si>
  <si>
    <t>#ORD-10374</t>
  </si>
  <si>
    <t>03:32:33</t>
  </si>
  <si>
    <t>ella.davis33@gmail.com</t>
  </si>
  <si>
    <t>+1-292-249-5544</t>
  </si>
  <si>
    <t>Classic Fit Polo Shirt x2 | Smart LED Desk Lamp x3</t>
  </si>
  <si>
    <t>2024-04-28</t>
  </si>
  <si>
    <t>#ORD-10375</t>
  </si>
  <si>
    <t>01:10:04</t>
  </si>
  <si>
    <t>Daniel Thompson</t>
  </si>
  <si>
    <t>daniel.thompson21@outlook.com</t>
  </si>
  <si>
    <t>+1-972-650-1070</t>
  </si>
  <si>
    <t>#ORD-10376</t>
  </si>
  <si>
    <t>03:04:13</t>
  </si>
  <si>
    <t>Sophia Wilson</t>
  </si>
  <si>
    <t>sophia.wilson65@yahoo.com</t>
  </si>
  <si>
    <t>+1-315-879-6149</t>
  </si>
  <si>
    <t>Organic Green Tea 100ct x3 | Anti-Aging Serum 1oz x1</t>
  </si>
  <si>
    <t>#ORD-10377</t>
  </si>
  <si>
    <t>00:54:20</t>
  </si>
  <si>
    <t>Mason Walker</t>
  </si>
  <si>
    <t>mason.walker67@gmail.com</t>
  </si>
  <si>
    <t>+1-814-853-6111</t>
  </si>
  <si>
    <t>#ORD-10378</t>
  </si>
  <si>
    <t>2024-11-28</t>
  </si>
  <si>
    <t>04:35:09</t>
  </si>
  <si>
    <t>avery.anderson53@gmail.com</t>
  </si>
  <si>
    <t>+1-648-635-2392</t>
  </si>
  <si>
    <t>#ORD-10379</t>
  </si>
  <si>
    <t>22:38:54</t>
  </si>
  <si>
    <t>mason.martinez52@outlook.com</t>
  </si>
  <si>
    <t>+1-564-587-7626</t>
  </si>
  <si>
    <t>Running Shoes - Men's x1 | USB-C Fast Charger 65W x1 | Insulated Water Bottle 32oz x3 | Running Shoes - Women's x1</t>
  </si>
  <si>
    <t>#ORD-10380</t>
  </si>
  <si>
    <t>08:35:55</t>
  </si>
  <si>
    <t>Michael King</t>
  </si>
  <si>
    <t>michael.king19@yahoo.com</t>
  </si>
  <si>
    <t>+1-819-795-6356</t>
  </si>
  <si>
    <t>Casual Sneakers x3 | Essential Oil Diffuser x1</t>
  </si>
  <si>
    <t>#ORD-10381</t>
  </si>
  <si>
    <t>17:11:33</t>
  </si>
  <si>
    <t>James Martin</t>
  </si>
  <si>
    <t>james.martin80@gmail.com</t>
  </si>
  <si>
    <t>+1-753-659-1289</t>
  </si>
  <si>
    <t>Air Fryer 5.8Qt x1 | Classic Fit Polo Shirt x1</t>
  </si>
  <si>
    <t>#ORD-10382</t>
  </si>
  <si>
    <t>03:54:15</t>
  </si>
  <si>
    <t>Olivia Lewis</t>
  </si>
  <si>
    <t>olivia.lewis16@gmail.com</t>
  </si>
  <si>
    <t>+1-699-882-2792</t>
  </si>
  <si>
    <t>Organic Green Tea 100ct x1 | Portable Bluetooth Speaker x2 | Running Shoes - Men's x1</t>
  </si>
  <si>
    <t>#ORD-10383</t>
  </si>
  <si>
    <t>19:48:45</t>
  </si>
  <si>
    <t>Chloe Allen</t>
  </si>
  <si>
    <t>chloe.allen71@outlook.com</t>
  </si>
  <si>
    <t>+1-262-128-1739</t>
  </si>
  <si>
    <t>Running Shoes - Men's x1 | Air Fryer 5.8Qt x1</t>
  </si>
  <si>
    <t>2024-07-06</t>
  </si>
  <si>
    <t>#ORD-10384</t>
  </si>
  <si>
    <t>18:50:53</t>
  </si>
  <si>
    <t>Isabella White</t>
  </si>
  <si>
    <t>isabella.white95@outlook.com</t>
  </si>
  <si>
    <t>+1-806-186-2073</t>
  </si>
  <si>
    <t>#ORD-10385</t>
  </si>
  <si>
    <t>15:37:45</t>
  </si>
  <si>
    <t>Aiden Davis</t>
  </si>
  <si>
    <t>aiden.davis22@gmail.com</t>
  </si>
  <si>
    <t>+1-802-122-6185</t>
  </si>
  <si>
    <t>Anti-Aging Serum 1oz x2</t>
  </si>
  <si>
    <t>#ORD-10386</t>
  </si>
  <si>
    <t>20:35:45</t>
  </si>
  <si>
    <t>Elizabeth Nguyen</t>
  </si>
  <si>
    <t>elizabeth.nguyen42@outlook.com</t>
  </si>
  <si>
    <t>+1-406-608-2234</t>
  </si>
  <si>
    <t>Running Shoes - Women's x1 | Resistance Band Set x2</t>
  </si>
  <si>
    <t>#ORD-10387</t>
  </si>
  <si>
    <t>2024-08-10</t>
  </si>
  <si>
    <t>17:36:01</t>
  </si>
  <si>
    <t>Grace Wilson</t>
  </si>
  <si>
    <t>grace.wilson34@gmail.com</t>
  </si>
  <si>
    <t>+1-637-314-6690</t>
  </si>
  <si>
    <t>#ORD-10388</t>
  </si>
  <si>
    <t>16:40:34</t>
  </si>
  <si>
    <t>Ava Martin</t>
  </si>
  <si>
    <t>ava.martin39@gmail.com</t>
  </si>
  <si>
    <t>+1-391-690-9178</t>
  </si>
  <si>
    <t>#ORD-10389</t>
  </si>
  <si>
    <t>16:42:36</t>
  </si>
  <si>
    <t>Lucas Walker</t>
  </si>
  <si>
    <t>lucas.walker82@outlook.com</t>
  </si>
  <si>
    <t>+1-622-373-5702</t>
  </si>
  <si>
    <t>Bamboo Sunglasses x1 | Linen Throw Blanket x1 | Men's Grooming Kit x1 | Essential Oil Diffuser x1</t>
  </si>
  <si>
    <t>#ORD-10390</t>
  </si>
  <si>
    <t>14:49:35</t>
  </si>
  <si>
    <t>mia.taylor77@gmail.com</t>
  </si>
  <si>
    <t>+1-363-379-3235</t>
  </si>
  <si>
    <t>#ORD-10391</t>
  </si>
  <si>
    <t>02:04:18</t>
  </si>
  <si>
    <t>Liam Taylor</t>
  </si>
  <si>
    <t>liam.taylor36@yahoo.com</t>
  </si>
  <si>
    <t>+1-572-787-2479</t>
  </si>
  <si>
    <t>#ORD-10392</t>
  </si>
  <si>
    <t>2024-02-16</t>
  </si>
  <si>
    <t>20:28:14</t>
  </si>
  <si>
    <t>henry.rodriguez15@outlook.com</t>
  </si>
  <si>
    <t>+1-537-952-7388</t>
  </si>
  <si>
    <t>Denim Jacket x3 | Linen Throw Blanket x3</t>
  </si>
  <si>
    <t>#ORD-10393</t>
  </si>
  <si>
    <t>2024-03-24</t>
  </si>
  <si>
    <t>03:38:13</t>
  </si>
  <si>
    <t>Oliver Lewis</t>
  </si>
  <si>
    <t>oliver.lewis19@gmail.com</t>
  </si>
  <si>
    <t>+1-686-832-7025</t>
  </si>
  <si>
    <t>Organic Green Tea 100ct x1 | Multivitamin Daily Pack x1 | Hiking Boots x1 | Canvas Backpack 25L x1 | Linen Throw Blanket x1</t>
  </si>
  <si>
    <t>#ORD-10394</t>
  </si>
  <si>
    <t>04:10:15</t>
  </si>
  <si>
    <t>Aiden Johnson</t>
  </si>
  <si>
    <t>aiden.johnson78@gmail.com</t>
  </si>
  <si>
    <t>+1-747-987-4872</t>
  </si>
  <si>
    <t>Portable Bluetooth Speaker x2 | Sunscreen SPF 50 Face x1</t>
  </si>
  <si>
    <t>#ORD-10395</t>
  </si>
  <si>
    <t>20:28:51</t>
  </si>
  <si>
    <t>Avery Harris</t>
  </si>
  <si>
    <t>avery.harris51@outlook.com</t>
  </si>
  <si>
    <t>+1-846-424-7656</t>
  </si>
  <si>
    <t>#ORD-10396</t>
  </si>
  <si>
    <t>22:53:20</t>
  </si>
  <si>
    <t>Olivia Moore</t>
  </si>
  <si>
    <t>olivia.moore11@outlook.com</t>
  </si>
  <si>
    <t>+1-816-846-9973</t>
  </si>
  <si>
    <t>Bamboo Sunglasses x2 | Denim Jacket x2 | Resistance Band Set x2</t>
  </si>
  <si>
    <t>#ORD-10397</t>
  </si>
  <si>
    <t>08:34:38</t>
  </si>
  <si>
    <t>Abigail Walker</t>
  </si>
  <si>
    <t>abigail.walker4@outlook.com</t>
  </si>
  <si>
    <t>+1-930-886-3131</t>
  </si>
  <si>
    <t>High-Waist Leggings x1 | Essential Oil Diffuser x1</t>
  </si>
  <si>
    <t>2024-03-17</t>
  </si>
  <si>
    <t>#ORD-10398</t>
  </si>
  <si>
    <t>2024-12-05</t>
  </si>
  <si>
    <t>05:39:52</t>
  </si>
  <si>
    <t>Victoria Clark</t>
  </si>
  <si>
    <t>victoria.clark41@gmail.com</t>
  </si>
  <si>
    <t>+1-784-329-1339</t>
  </si>
  <si>
    <t>Hiking Boots x1 | Running Shoes - Men's x1 | Anti-Aging Serum 1oz x1</t>
  </si>
  <si>
    <t>#ORD-10399</t>
  </si>
  <si>
    <t>14:06:44</t>
  </si>
  <si>
    <t>Liam Torres</t>
  </si>
  <si>
    <t>liam.torres79@outlook.com</t>
  </si>
  <si>
    <t>+1-374-680-2922</t>
  </si>
  <si>
    <t>Sunscreen SPF 50 Face x2</t>
  </si>
  <si>
    <t>#ORD-10400</t>
  </si>
  <si>
    <t>14:30:02</t>
  </si>
  <si>
    <t>Emma Wright</t>
  </si>
  <si>
    <t>emma.wright99@yahoo.com</t>
  </si>
  <si>
    <t>+1-411-714-4531</t>
  </si>
  <si>
    <t>Casual Sneakers x1 | Sunscreen SPF 50 Face x3</t>
  </si>
  <si>
    <t>#ORD-10401</t>
  </si>
  <si>
    <t>16:17:09</t>
  </si>
  <si>
    <t>Evelyn Gonzalez</t>
  </si>
  <si>
    <t>evelyn.gonzalez24@gmail.com</t>
  </si>
  <si>
    <t>+1-287-110-8682</t>
  </si>
  <si>
    <t>#ORD-10402</t>
  </si>
  <si>
    <t>2024-10-02</t>
  </si>
  <si>
    <t>03:15:43</t>
  </si>
  <si>
    <t>Isabella Lee</t>
  </si>
  <si>
    <t>isabella.lee51@outlook.com</t>
  </si>
  <si>
    <t>+1-886-921-1745</t>
  </si>
  <si>
    <t>#ORD-10403</t>
  </si>
  <si>
    <t>06:50:27</t>
  </si>
  <si>
    <t>Emma Taylor</t>
  </si>
  <si>
    <t>emma.taylor80@gmail.com</t>
  </si>
  <si>
    <t>+1-335-191-6198</t>
  </si>
  <si>
    <t>Mechanical Keyboard x1 | Leather Wallet Slim x1</t>
  </si>
  <si>
    <t>#ORD-10404</t>
  </si>
  <si>
    <t>03:37:16</t>
  </si>
  <si>
    <t>Owen Lewis</t>
  </si>
  <si>
    <t>owen.lewis34@gmail.com</t>
  </si>
  <si>
    <t>+1-982-254-8208</t>
  </si>
  <si>
    <t>Stainless Steel Cookware Set x1 | Canvas Backpack 25L x1 | Denim Jacket x2 | Hiking Boots x1 | Men's Grooming Kit x2</t>
  </si>
  <si>
    <t>#ORD-10405</t>
  </si>
  <si>
    <t>22:15:37</t>
  </si>
  <si>
    <t>Noah Gonzalez</t>
  </si>
  <si>
    <t>noah.gonzalez7@gmail.com</t>
  </si>
  <si>
    <t>+1-668-604-2843</t>
  </si>
  <si>
    <t>#ORD-10406</t>
  </si>
  <si>
    <t>08:09:26</t>
  </si>
  <si>
    <t>James Davis</t>
  </si>
  <si>
    <t>james.davis12@gmail.com</t>
  </si>
  <si>
    <t>+1-985-684-3958</t>
  </si>
  <si>
    <t>2024-04-25</t>
  </si>
  <si>
    <t>#ORD-10407</t>
  </si>
  <si>
    <t>14:59:18</t>
  </si>
  <si>
    <t>Sofia Jones</t>
  </si>
  <si>
    <t>sofia.jones99@gmail.com</t>
  </si>
  <si>
    <t>+1-664-743-5412</t>
  </si>
  <si>
    <t>Wireless Noise-Cancelling Headphones x1 | Yoga Mat Premium x1 | Anti-Aging Serum 1oz x3 | Smart LED Desk Lamp x2</t>
  </si>
  <si>
    <t>#ORD-10408</t>
  </si>
  <si>
    <t>04:25:53</t>
  </si>
  <si>
    <t>Victoria Smith</t>
  </si>
  <si>
    <t>victoria.smith6@outlook.com</t>
  </si>
  <si>
    <t>+1-294-508-5180</t>
  </si>
  <si>
    <t>Men's Grooming Kit x1 | Bamboo Sunglasses x2 | High-Waist Leggings x2 | Linen Throw Blanket x1</t>
  </si>
  <si>
    <t>#ORD-10409</t>
  </si>
  <si>
    <t>00:26:20</t>
  </si>
  <si>
    <t>Logan Thomas</t>
  </si>
  <si>
    <t>logan.thomas52@gmail.com</t>
  </si>
  <si>
    <t>+1-702-920-8083</t>
  </si>
  <si>
    <t>#ORD-10410</t>
  </si>
  <si>
    <t>02:16:27</t>
  </si>
  <si>
    <t>Aiden Flores</t>
  </si>
  <si>
    <t>aiden.flores46@outlook.com</t>
  </si>
  <si>
    <t>+1-577-728-4053</t>
  </si>
  <si>
    <t>Organic Green Tea 100ct x2</t>
  </si>
  <si>
    <t>#ORD-10411</t>
  </si>
  <si>
    <t>2024-09-19</t>
  </si>
  <si>
    <t>16:52:41</t>
  </si>
  <si>
    <t>Jack Lewis</t>
  </si>
  <si>
    <t>jack.lewis6@outlook.com</t>
  </si>
  <si>
    <t>+1-647-181-8825</t>
  </si>
  <si>
    <t>#ORD-10412</t>
  </si>
  <si>
    <t>2024-07-22</t>
  </si>
  <si>
    <t>03:34:16</t>
  </si>
  <si>
    <t>Aiden Martinez</t>
  </si>
  <si>
    <t>aiden.martinez88@outlook.com</t>
  </si>
  <si>
    <t>+1-876-837-5151</t>
  </si>
  <si>
    <t>#ORD-10413</t>
  </si>
  <si>
    <t>14:06:39</t>
  </si>
  <si>
    <t>Emily Taylor</t>
  </si>
  <si>
    <t>emily.taylor11@yahoo.com</t>
  </si>
  <si>
    <t>+1-975-786-8371</t>
  </si>
  <si>
    <t>Running Shoes - Men's x1 | High-Waist Leggings x1</t>
  </si>
  <si>
    <t>#ORD-10414</t>
  </si>
  <si>
    <t>09:04:05</t>
  </si>
  <si>
    <t>Benjamin Taylor</t>
  </si>
  <si>
    <t>benjamin.taylor24@gmail.com</t>
  </si>
  <si>
    <t>+1-908-514-8974</t>
  </si>
  <si>
    <t>Scented Soy Candle Set x1 | Hiking Boots x1 | Canvas Backpack 25L x1</t>
  </si>
  <si>
    <t>#ORD-10415</t>
  </si>
  <si>
    <t>16:18:01</t>
  </si>
  <si>
    <t>Aiden Green</t>
  </si>
  <si>
    <t>aiden.green79@gmail.com</t>
  </si>
  <si>
    <t>+1-841-978-9824</t>
  </si>
  <si>
    <t>Anti-Aging Serum 1oz x1 | Protein Powder Chocolate 2lb x1 | High-Waist Leggings x1 | Yoga Mat Premium x1 | USB-C Fast Charger 65W x3</t>
  </si>
  <si>
    <t>#ORD-10416</t>
  </si>
  <si>
    <t>01:53:54</t>
  </si>
  <si>
    <t>Charlotte Garcia</t>
  </si>
  <si>
    <t>charlotte.garcia99@gmail.com</t>
  </si>
  <si>
    <t>+1-501-683-7418</t>
  </si>
  <si>
    <t>#ORD-10417</t>
  </si>
  <si>
    <t>10:28:24</t>
  </si>
  <si>
    <t>Noah Perez</t>
  </si>
  <si>
    <t>noah.perez14@outlook.com</t>
  </si>
  <si>
    <t>+1-437-831-1994</t>
  </si>
  <si>
    <t>Men's Grooming Kit x2 | Linen Throw Blanket x3 | Scented Soy Candle Set x1</t>
  </si>
  <si>
    <t>#ORD-10418</t>
  </si>
  <si>
    <t>15:57:41</t>
  </si>
  <si>
    <t>owen.johnson74@gmail.com</t>
  </si>
  <si>
    <t>+1-914-546-1340</t>
  </si>
  <si>
    <t>#ORD-10419</t>
  </si>
  <si>
    <t>03:29:15</t>
  </si>
  <si>
    <t>Mia Jackson</t>
  </si>
  <si>
    <t>mia.jackson25@gmail.com</t>
  </si>
  <si>
    <t>+1-626-953-6902</t>
  </si>
  <si>
    <t>#ORD-10420</t>
  </si>
  <si>
    <t>23:33:22</t>
  </si>
  <si>
    <t>Ella Hernandez</t>
  </si>
  <si>
    <t>ella.hernandez27@gmail.com</t>
  </si>
  <si>
    <t>+1-705-410-4845</t>
  </si>
  <si>
    <t>#ORD-10421</t>
  </si>
  <si>
    <t>06:54:24</t>
  </si>
  <si>
    <t>Lucas Torres</t>
  </si>
  <si>
    <t>lucas.torres3@gmail.com</t>
  </si>
  <si>
    <t>+1-775-329-8968</t>
  </si>
  <si>
    <t>#ORD-10422</t>
  </si>
  <si>
    <t>07:49:28</t>
  </si>
  <si>
    <t>Harper Perez</t>
  </si>
  <si>
    <t>harper.perez46@outlook.com</t>
  </si>
  <si>
    <t>+1-668-961-2817</t>
  </si>
  <si>
    <t>#ORD-10423</t>
  </si>
  <si>
    <t>22:30:09</t>
  </si>
  <si>
    <t>Sophia Green</t>
  </si>
  <si>
    <t>sophia.green14@yahoo.com</t>
  </si>
  <si>
    <t>+1-950-991-2626</t>
  </si>
  <si>
    <t>Smart LED Desk Lamp x2</t>
  </si>
  <si>
    <t>#ORD-10424</t>
  </si>
  <si>
    <t>09:45:15</t>
  </si>
  <si>
    <t>James White</t>
  </si>
  <si>
    <t>james.white18@gmail.com</t>
  </si>
  <si>
    <t>+1-581-832-7799</t>
  </si>
  <si>
    <t>Multivitamin Daily Pack x2</t>
  </si>
  <si>
    <t>#ORD-10425</t>
  </si>
  <si>
    <t>14:48:37</t>
  </si>
  <si>
    <t>Alexander Thomas</t>
  </si>
  <si>
    <t>alexander.thomas97@yahoo.com</t>
  </si>
  <si>
    <t>+1-349-888-1162</t>
  </si>
  <si>
    <t>#ORD-10426</t>
  </si>
  <si>
    <t>2024-10-26</t>
  </si>
  <si>
    <t>23:02:05</t>
  </si>
  <si>
    <t>Owen Jones</t>
  </si>
  <si>
    <t>owen.jones44@gmail.com</t>
  </si>
  <si>
    <t>+1-629-511-5986</t>
  </si>
  <si>
    <t>#ORD-10427</t>
  </si>
  <si>
    <t>00:51:04</t>
  </si>
  <si>
    <t>abigail.thompson36@outlook.com</t>
  </si>
  <si>
    <t>+1-994-302-5940</t>
  </si>
  <si>
    <t>Organic Green Tea 100ct x1 | Essential Oil Diffuser x1</t>
  </si>
  <si>
    <t>#ORD-10428</t>
  </si>
  <si>
    <t>04:27:08</t>
  </si>
  <si>
    <t>Ethan Williams</t>
  </si>
  <si>
    <t>ethan.williams43@gmail.com</t>
  </si>
  <si>
    <t>+1-806-364-4954</t>
  </si>
  <si>
    <t>Mechanical Keyboard x1 | Air Fryer 5.8Qt x1 | Coffee Maker Programmable x1</t>
  </si>
  <si>
    <t>#ORD-10429</t>
  </si>
  <si>
    <t>21:06:20</t>
  </si>
  <si>
    <t>Aiden Lewis</t>
  </si>
  <si>
    <t>aiden.lewis15@outlook.com</t>
  </si>
  <si>
    <t>+1-963-695-9737</t>
  </si>
  <si>
    <t>#ORD-10430</t>
  </si>
  <si>
    <t>18:45:57</t>
  </si>
  <si>
    <t>victoria.anderson39@gmail.com</t>
  </si>
  <si>
    <t>+1-300-250-7974</t>
  </si>
  <si>
    <t>Linen Throw Blanket x2 | Anti-Aging Serum 1oz x1 | Mechanical Keyboard x1</t>
  </si>
  <si>
    <t>2024-11-04</t>
  </si>
  <si>
    <t>#ORD-10431</t>
  </si>
  <si>
    <t>12:16:40</t>
  </si>
  <si>
    <t>Sofia Garcia</t>
  </si>
  <si>
    <t>sofia.garcia8@gmail.com</t>
  </si>
  <si>
    <t>+1-905-601-7830</t>
  </si>
  <si>
    <t>Organic Green Tea 100ct x1 | USB-C Fast Charger 65W x1</t>
  </si>
  <si>
    <t>#ORD-10432</t>
  </si>
  <si>
    <t>2024-06-26</t>
  </si>
  <si>
    <t>18:11:33</t>
  </si>
  <si>
    <t>Mia Martinez</t>
  </si>
  <si>
    <t>mia.martinez17@gmail.com</t>
  </si>
  <si>
    <t>+1-578-221-7694</t>
  </si>
  <si>
    <t>#ORD-10433</t>
  </si>
  <si>
    <t>00:38:22</t>
  </si>
  <si>
    <t>Mason Davis</t>
  </si>
  <si>
    <t>mason.davis74@gmail.com</t>
  </si>
  <si>
    <t>+1-631-149-5999</t>
  </si>
  <si>
    <t>#ORD-10434</t>
  </si>
  <si>
    <t>12:10:43</t>
  </si>
  <si>
    <t>evelyn.wilson95@gmail.com</t>
  </si>
  <si>
    <t>+1-686-954-3175</t>
  </si>
  <si>
    <t>USB-C Fast Charger 65W x1 | Canvas Backpack 25L x1</t>
  </si>
  <si>
    <t>#ORD-10435</t>
  </si>
  <si>
    <t>20:37:06</t>
  </si>
  <si>
    <t>Isabella King</t>
  </si>
  <si>
    <t>isabella.king59@outlook.com</t>
  </si>
  <si>
    <t>+1-953-384-2450</t>
  </si>
  <si>
    <t>Resistance Band Set x1 | USB-C Fast Charger 65W x1 | High-Waist Leggings x1</t>
  </si>
  <si>
    <t>#ORD-10436</t>
  </si>
  <si>
    <t>21:18:44</t>
  </si>
  <si>
    <t>mia.johnson81@outlook.com</t>
  </si>
  <si>
    <t>+1-968-587-9235</t>
  </si>
  <si>
    <t>Essential Oil Diffuser x1 | Coffee Maker Programmable x3</t>
  </si>
  <si>
    <t>2024-08-07</t>
  </si>
  <si>
    <t>#ORD-10437</t>
  </si>
  <si>
    <t>08:50:47</t>
  </si>
  <si>
    <t>Liam Davis</t>
  </si>
  <si>
    <t>liam.davis69@gmail.com</t>
  </si>
  <si>
    <t>+1-803-146-9052</t>
  </si>
  <si>
    <t>#ORD-10438</t>
  </si>
  <si>
    <t>20:30:14</t>
  </si>
  <si>
    <t>liam.perez24@gmail.com</t>
  </si>
  <si>
    <t>+1-514-517-3772</t>
  </si>
  <si>
    <t>Protein Powder Chocolate 2lb x1 | Hiking Boots x3</t>
  </si>
  <si>
    <t>#ORD-10439</t>
  </si>
  <si>
    <t>17:16:34</t>
  </si>
  <si>
    <t>Noah Green</t>
  </si>
  <si>
    <t>noah.green24@gmail.com</t>
  </si>
  <si>
    <t>+1-407-345-4874</t>
  </si>
  <si>
    <t>#ORD-10440</t>
  </si>
  <si>
    <t>16:38:10</t>
  </si>
  <si>
    <t>michael.king65@gmail.com</t>
  </si>
  <si>
    <t>+1-767-700-2663</t>
  </si>
  <si>
    <t>#ORD-10441</t>
  </si>
  <si>
    <t>2024-06-06</t>
  </si>
  <si>
    <t>23:08:48</t>
  </si>
  <si>
    <t>oliver.torres17@gmail.com</t>
  </si>
  <si>
    <t>+1-633-668-8401</t>
  </si>
  <si>
    <t>#ORD-10442</t>
  </si>
  <si>
    <t>14:56:58</t>
  </si>
  <si>
    <t>Olivia Smith</t>
  </si>
  <si>
    <t>olivia.smith60@outlook.com</t>
  </si>
  <si>
    <t>+1-271-407-2469</t>
  </si>
  <si>
    <t>Wireless Noise-Cancelling Headphones x1 | Portable Bluetooth Speaker x2 | Bamboo Sunglasses x1 | Stainless Steel Cookware Set x1 | Hiking Boots x1</t>
  </si>
  <si>
    <t>#ORD-10443</t>
  </si>
  <si>
    <t>02:09:22</t>
  </si>
  <si>
    <t>Henry Davis</t>
  </si>
  <si>
    <t>henry.davis18@outlook.com</t>
  </si>
  <si>
    <t>+1-479-351-6269</t>
  </si>
  <si>
    <t>#ORD-10444</t>
  </si>
  <si>
    <t>2024-12-20</t>
  </si>
  <si>
    <t>23:16:02</t>
  </si>
  <si>
    <t>Muhammad Wilson</t>
  </si>
  <si>
    <t>muhammad.wilson77@gmail.com</t>
  </si>
  <si>
    <t>+1-980-502-9816</t>
  </si>
  <si>
    <t>Essential Oil Diffuser x1 | Bamboo Sunglasses x1</t>
  </si>
  <si>
    <t>#ORD-10445</t>
  </si>
  <si>
    <t>21:20:53</t>
  </si>
  <si>
    <t>Ethan Jones</t>
  </si>
  <si>
    <t>ethan.jones4@outlook.com</t>
  </si>
  <si>
    <t>+1-673-479-4161</t>
  </si>
  <si>
    <t>Insulated Water Bottle 32oz x1 | Denim Jacket x1</t>
  </si>
  <si>
    <t>#ORD-10446</t>
  </si>
  <si>
    <t>2024-04-19</t>
  </si>
  <si>
    <t>04:21:47</t>
  </si>
  <si>
    <t>Avery Smith</t>
  </si>
  <si>
    <t>avery.smith96@gmail.com</t>
  </si>
  <si>
    <t>+1-704-820-4425</t>
  </si>
  <si>
    <t>Sunscreen SPF 50 Face x1 | Insulated Water Bottle 32oz x2</t>
  </si>
  <si>
    <t>#ORD-10447</t>
  </si>
  <si>
    <t>20:12:25</t>
  </si>
  <si>
    <t>Emma Gonzalez</t>
  </si>
  <si>
    <t>emma.gonzalez82@gmail.com</t>
  </si>
  <si>
    <t>+1-802-231-2065</t>
  </si>
  <si>
    <t>#ORD-10448</t>
  </si>
  <si>
    <t>01:49:47</t>
  </si>
  <si>
    <t>Isabella Taylor</t>
  </si>
  <si>
    <t>isabella.taylor73@outlook.com</t>
  </si>
  <si>
    <t>+1-856-789-1849</t>
  </si>
  <si>
    <t>Running Shoes - Women's x1 | Canvas Backpack 25L x3 | Anti-Aging Serum 1oz x1</t>
  </si>
  <si>
    <t>#ORD-10449</t>
  </si>
  <si>
    <t>03:40:34</t>
  </si>
  <si>
    <t>Abigail Lewis</t>
  </si>
  <si>
    <t>abigail.lewis53@gmail.com</t>
  </si>
  <si>
    <t>+1-523-105-7420</t>
  </si>
  <si>
    <t>#ORD-10450</t>
  </si>
  <si>
    <t>15:00:19</t>
  </si>
  <si>
    <t>Charlotte Perez</t>
  </si>
  <si>
    <t>charlotte.perez74@outlook.com</t>
  </si>
  <si>
    <t>+1-310-584-4905</t>
  </si>
  <si>
    <t>Multivitamin Daily Pack x1 | USB-C Fast Charger 65W x1 | Bamboo Sunglasses x1 | Casual Sneakers x1 | Running Shoes - Women's x1</t>
  </si>
  <si>
    <t>#ORD-10451</t>
  </si>
  <si>
    <t>07:34:41</t>
  </si>
  <si>
    <t>Muhammad Brown</t>
  </si>
  <si>
    <t>muhammad.brown43@yahoo.com</t>
  </si>
  <si>
    <t>+1-263-921-8240</t>
  </si>
  <si>
    <t>Scented Soy Candle Set x1 | Organic Green Tea 100ct x1 | Classic Fit Polo Shirt x1</t>
  </si>
  <si>
    <t>#ORD-10452</t>
  </si>
  <si>
    <t>2024-02-09</t>
  </si>
  <si>
    <t>13:06:06</t>
  </si>
  <si>
    <t>Noah Martin</t>
  </si>
  <si>
    <t>noah.martin81@gmail.com</t>
  </si>
  <si>
    <t>+1-593-575-8014</t>
  </si>
  <si>
    <t>Coffee Maker Programmable x1 | Portable Bluetooth Speaker x1</t>
  </si>
  <si>
    <t>#ORD-10453</t>
  </si>
  <si>
    <t>2024-01-11</t>
  </si>
  <si>
    <t>02:04:38</t>
  </si>
  <si>
    <t>Benjamin Green</t>
  </si>
  <si>
    <t>benjamin.green44@outlook.com</t>
  </si>
  <si>
    <t>+1-462-463-7897</t>
  </si>
  <si>
    <t>Resistance Band Set x1 | Linen Throw Blanket x1</t>
  </si>
  <si>
    <t>2024-01-16</t>
  </si>
  <si>
    <t>#ORD-10454</t>
  </si>
  <si>
    <t>2024-11-05</t>
  </si>
  <si>
    <t>12:49:00</t>
  </si>
  <si>
    <t>Ella Green</t>
  </si>
  <si>
    <t>ella.green24@gmail.com</t>
  </si>
  <si>
    <t>+1-754-894-3385</t>
  </si>
  <si>
    <t>#ORD-10455</t>
  </si>
  <si>
    <t>05:44:40</t>
  </si>
  <si>
    <t>James Young</t>
  </si>
  <si>
    <t>james.young78@gmail.com</t>
  </si>
  <si>
    <t>+1-883-587-8657</t>
  </si>
  <si>
    <t>Air Fryer 5.8Qt x1 | Linen Throw Blanket x2 | Anti-Aging Serum 1oz x1 | Mechanical Keyboard x1 | Portable Bluetooth Speaker x1</t>
  </si>
  <si>
    <t>#ORD-10456</t>
  </si>
  <si>
    <t>08:46:07</t>
  </si>
  <si>
    <t>Victoria Perez</t>
  </si>
  <si>
    <t>victoria.perez75@yahoo.com</t>
  </si>
  <si>
    <t>+1-838-318-4916</t>
  </si>
  <si>
    <t>#ORD-10457</t>
  </si>
  <si>
    <t>11:11:00</t>
  </si>
  <si>
    <t>Ella Perez</t>
  </si>
  <si>
    <t>ella.perez95@gmail.com</t>
  </si>
  <si>
    <t>+1-399-746-6896</t>
  </si>
  <si>
    <t>#ORD-10458</t>
  </si>
  <si>
    <t>00:42:56</t>
  </si>
  <si>
    <t>Olivia Johnson</t>
  </si>
  <si>
    <t>olivia.johnson26@gmail.com</t>
  </si>
  <si>
    <t>+1-415-412-8474</t>
  </si>
  <si>
    <t>Men's Grooming Kit x1 | Running Shoes - Men's x1 | Resistance Band Set x1 | Canvas Backpack 25L x2</t>
  </si>
  <si>
    <t>#ORD-10459</t>
  </si>
  <si>
    <t>07:25:57</t>
  </si>
  <si>
    <t>oliver.white48@outlook.com</t>
  </si>
  <si>
    <t>+1-981-730-4098</t>
  </si>
  <si>
    <t>Leather Wallet Slim x1 | Multivitamin Daily Pack x3 | Sunscreen SPF 50 Face x2 | USB-C Fast Charger 65W x1 | Smart LED Desk Lamp x1</t>
  </si>
  <si>
    <t>#ORD-10460</t>
  </si>
  <si>
    <t>16:24:34</t>
  </si>
  <si>
    <t>grace.jackson20@gmail.com</t>
  </si>
  <si>
    <t>+1-879-729-2062</t>
  </si>
  <si>
    <t>Hiking Boots x1 | Canvas Backpack 25L x1</t>
  </si>
  <si>
    <t>#ORD-10461</t>
  </si>
  <si>
    <t>08:24:46</t>
  </si>
  <si>
    <t>Mia King</t>
  </si>
  <si>
    <t>mia.king97@outlook.com</t>
  </si>
  <si>
    <t>+1-853-909-1599</t>
  </si>
  <si>
    <t>Organic Green Tea 100ct x1 | Running Shoes - Men's x1</t>
  </si>
  <si>
    <t>#ORD-10462</t>
  </si>
  <si>
    <t>2024-04-01</t>
  </si>
  <si>
    <t>00:37:21</t>
  </si>
  <si>
    <t>Lucas Anderson</t>
  </si>
  <si>
    <t>lucas.anderson26@gmail.com</t>
  </si>
  <si>
    <t>+1-655-631-6760</t>
  </si>
  <si>
    <t>#ORD-10463</t>
  </si>
  <si>
    <t>05:02:02</t>
  </si>
  <si>
    <t>Amelia Hill</t>
  </si>
  <si>
    <t>amelia.hill60@yahoo.com</t>
  </si>
  <si>
    <t>+1-284-401-9220</t>
  </si>
  <si>
    <t>Multivitamin Daily Pack x2 | Insulated Water Bottle 32oz x1</t>
  </si>
  <si>
    <t>#ORD-10464</t>
  </si>
  <si>
    <t>05:14:21</t>
  </si>
  <si>
    <t>scarlett.scott11@outlook.com</t>
  </si>
  <si>
    <t>+1-922-718-3258</t>
  </si>
  <si>
    <t>#ORD-10465</t>
  </si>
  <si>
    <t>08:28:26</t>
  </si>
  <si>
    <t>Grace Taylor</t>
  </si>
  <si>
    <t>grace.taylor99@gmail.com</t>
  </si>
  <si>
    <t>+1-433-332-4438</t>
  </si>
  <si>
    <t>Protein Powder Chocolate 2lb x3</t>
  </si>
  <si>
    <t>#ORD-10466</t>
  </si>
  <si>
    <t>14:17:04</t>
  </si>
  <si>
    <t>Ella Anderson</t>
  </si>
  <si>
    <t>ella.anderson76@outlook.com</t>
  </si>
  <si>
    <t>+1-342-691-3102</t>
  </si>
  <si>
    <t>Resistance Band Set x1 | High-Waist Leggings x1 | USB-C Fast Charger 65W x2</t>
  </si>
  <si>
    <t>#ORD-10467</t>
  </si>
  <si>
    <t>18:44:10</t>
  </si>
  <si>
    <t>Aiden Smith</t>
  </si>
  <si>
    <t>aiden.smith85@yahoo.com</t>
  </si>
  <si>
    <t>+1-357-438-7404</t>
  </si>
  <si>
    <t>#ORD-10468</t>
  </si>
  <si>
    <t>2024-02-12</t>
  </si>
  <si>
    <t>04:34:58</t>
  </si>
  <si>
    <t>Elizabeth Wilson</t>
  </si>
  <si>
    <t>elizabeth.wilson9@yahoo.com</t>
  </si>
  <si>
    <t>+1-700-127-4058</t>
  </si>
  <si>
    <t>#ORD-10469</t>
  </si>
  <si>
    <t>12:05:05</t>
  </si>
  <si>
    <t>Charlotte Jones</t>
  </si>
  <si>
    <t>charlotte.jones50@gmail.com</t>
  </si>
  <si>
    <t>+1-600-260-2814</t>
  </si>
  <si>
    <t>#ORD-10470</t>
  </si>
  <si>
    <t>22:02:45</t>
  </si>
  <si>
    <t>Isabella Scott</t>
  </si>
  <si>
    <t>isabella.scott62@yahoo.com</t>
  </si>
  <si>
    <t>+1-933-801-8519</t>
  </si>
  <si>
    <t>Mechanical Keyboard x1 | Canvas Backpack 25L x2 | Running Shoes - Women's x1</t>
  </si>
  <si>
    <t>#ORD-10471</t>
  </si>
  <si>
    <t>05:40:01</t>
  </si>
  <si>
    <t>Elijah Gonzalez</t>
  </si>
  <si>
    <t>elijah.gonzalez19@gmail.com</t>
  </si>
  <si>
    <t>+1-861-567-6681</t>
  </si>
  <si>
    <t>#ORD-10472</t>
  </si>
  <si>
    <t>17:47:21</t>
  </si>
  <si>
    <t>Aiden Sanchez</t>
  </si>
  <si>
    <t>aiden.sanchez23@gmail.com</t>
  </si>
  <si>
    <t>+1-882-168-4559</t>
  </si>
  <si>
    <t>Men's Grooming Kit x2 | Multivitamin Daily Pack x1 | Organic Green Tea 100ct x1 | Protein Powder Chocolate 2lb x1</t>
  </si>
  <si>
    <t>#ORD-10473</t>
  </si>
  <si>
    <t>04:49:55</t>
  </si>
  <si>
    <t>Michael Clark</t>
  </si>
  <si>
    <t>michael.clark71@gmail.com</t>
  </si>
  <si>
    <t>+1-227-174-8567</t>
  </si>
  <si>
    <t>#ORD-10474</t>
  </si>
  <si>
    <t>2024-01-05</t>
  </si>
  <si>
    <t>04:04:46</t>
  </si>
  <si>
    <t>Elizabeth Perez</t>
  </si>
  <si>
    <t>elizabeth.perez52@yahoo.com</t>
  </si>
  <si>
    <t>+1-343-582-5573</t>
  </si>
  <si>
    <t>#ORD-10475</t>
  </si>
  <si>
    <t>05:10:29</t>
  </si>
  <si>
    <t>mia.hernandez3@yahoo.com</t>
  </si>
  <si>
    <t>+1-421-552-1782</t>
  </si>
  <si>
    <t>Protein Powder Chocolate 2lb x1 | Running Shoes - Men's x2</t>
  </si>
  <si>
    <t>#ORD-10476</t>
  </si>
  <si>
    <t>08:32:44</t>
  </si>
  <si>
    <t>Owen Miller</t>
  </si>
  <si>
    <t>owen.miller89@gmail.com</t>
  </si>
  <si>
    <t>+1-228-114-6523</t>
  </si>
  <si>
    <t>Portable Bluetooth Speaker x1 | Classic Fit Polo Shirt x1</t>
  </si>
  <si>
    <t>#ORD-10477</t>
  </si>
  <si>
    <t>2024-03-06</t>
  </si>
  <si>
    <t>04:46:54</t>
  </si>
  <si>
    <t>charlotte.jones13@outlook.com</t>
  </si>
  <si>
    <t>+1-638-223-4807</t>
  </si>
  <si>
    <t>Portable Bluetooth Speaker x1 | Multivitamin Daily Pack x2</t>
  </si>
  <si>
    <t>#ORD-10478</t>
  </si>
  <si>
    <t>04:12:42</t>
  </si>
  <si>
    <t>Lucas Miller</t>
  </si>
  <si>
    <t>lucas.miller42@gmail.com</t>
  </si>
  <si>
    <t>+1-508-885-9185</t>
  </si>
  <si>
    <t>Wireless Noise-Cancelling Headphones x1 | Protein Powder Chocolate 2lb x1</t>
  </si>
  <si>
    <t>#ORD-10479</t>
  </si>
  <si>
    <t>19:05:00</t>
  </si>
  <si>
    <t>Sophia Scott</t>
  </si>
  <si>
    <t>sophia.scott73@gmail.com</t>
  </si>
  <si>
    <t>+1-269-443-1289</t>
  </si>
  <si>
    <t>Essential Oil Diffuser x1 | Sunscreen SPF 50 Face x3</t>
  </si>
  <si>
    <t>#ORD-10480</t>
  </si>
  <si>
    <t>12:12:53</t>
  </si>
  <si>
    <t>Victoria Hill</t>
  </si>
  <si>
    <t>victoria.hill49@outlook.com</t>
  </si>
  <si>
    <t>+1-281-161-3253</t>
  </si>
  <si>
    <t>Wireless Noise-Cancelling Headphones x1 | Casual Sneakers x2</t>
  </si>
  <si>
    <t>#ORD-10481</t>
  </si>
  <si>
    <t>09:00:33</t>
  </si>
  <si>
    <t>Alexander Allen</t>
  </si>
  <si>
    <t>alexander.allen26@gmail.com</t>
  </si>
  <si>
    <t>+1-733-910-7797</t>
  </si>
  <si>
    <t>Casual Sneakers x2 | Bamboo Sunglasses x3</t>
  </si>
  <si>
    <t>#ORD-10482</t>
  </si>
  <si>
    <t>01:55:27</t>
  </si>
  <si>
    <t>Evelyn Johnson</t>
  </si>
  <si>
    <t>evelyn.johnson94@gmail.com</t>
  </si>
  <si>
    <t>+1-733-429-4007</t>
  </si>
  <si>
    <t>#ORD-10483</t>
  </si>
  <si>
    <t>17:54:28</t>
  </si>
  <si>
    <t>avery.smith63@gmail.com</t>
  </si>
  <si>
    <t>+1-719-180-7983</t>
  </si>
  <si>
    <t>Mechanical Keyboard x3</t>
  </si>
  <si>
    <t>#ORD-10484</t>
  </si>
  <si>
    <t>16:07:22</t>
  </si>
  <si>
    <t>Sebastian Martin</t>
  </si>
  <si>
    <t>sebastian.martin93@gmail.com</t>
  </si>
  <si>
    <t>+1-281-468-7524</t>
  </si>
  <si>
    <t>#ORD-10485</t>
  </si>
  <si>
    <t>15:57:56</t>
  </si>
  <si>
    <t>Elizabeth Hernandez</t>
  </si>
  <si>
    <t>elizabeth.hernandez57@gmail.com</t>
  </si>
  <si>
    <t>+1-766-844-3878</t>
  </si>
  <si>
    <t>Classic Fit Polo Shirt x3 | Mechanical Keyboard x1 | Denim Jacket x2</t>
  </si>
  <si>
    <t>#ORD-10486</t>
  </si>
  <si>
    <t>16:37:20</t>
  </si>
  <si>
    <t>Harper Harris</t>
  </si>
  <si>
    <t>harper.harris40@gmail.com</t>
  </si>
  <si>
    <t>+1-703-514-7812</t>
  </si>
  <si>
    <t>Stainless Steel Cookware Set x1 | USB-C Fast Charger 65W x2</t>
  </si>
  <si>
    <t>#ORD-10487</t>
  </si>
  <si>
    <t>11:26:14</t>
  </si>
  <si>
    <t>Henry White</t>
  </si>
  <si>
    <t>henry.white63@gmail.com</t>
  </si>
  <si>
    <t>+1-721-826-9005</t>
  </si>
  <si>
    <t>#ORD-10488</t>
  </si>
  <si>
    <t>02:53:32</t>
  </si>
  <si>
    <t>Alexander Brown</t>
  </si>
  <si>
    <t>alexander.brown50@outlook.com</t>
  </si>
  <si>
    <t>+1-897-250-5166</t>
  </si>
  <si>
    <t>Bamboo Sunglasses x1 | Denim Jacket x2</t>
  </si>
  <si>
    <t>#ORD-10489</t>
  </si>
  <si>
    <t>09:58:53</t>
  </si>
  <si>
    <t>oliver.flores85@yahoo.com</t>
  </si>
  <si>
    <t>+1-458-808-5951</t>
  </si>
  <si>
    <t>#ORD-10490</t>
  </si>
  <si>
    <t>05:27:23</t>
  </si>
  <si>
    <t>scarlett.scott49@outlook.com</t>
  </si>
  <si>
    <t>+1-915-415-1105</t>
  </si>
  <si>
    <t>Men's Grooming Kit x1 | Canvas Backpack 25L x1 | USB-C Fast Charger 65W x2</t>
  </si>
  <si>
    <t>#ORD-10491</t>
  </si>
  <si>
    <t>10:08:31</t>
  </si>
  <si>
    <t>Mia Allen</t>
  </si>
  <si>
    <t>mia.allen13@gmail.com</t>
  </si>
  <si>
    <t>+1-386-614-2806</t>
  </si>
  <si>
    <t>#ORD-10492</t>
  </si>
  <si>
    <t>21:45:09</t>
  </si>
  <si>
    <t>Avery Nguyen</t>
  </si>
  <si>
    <t>avery.nguyen28@gmail.com</t>
  </si>
  <si>
    <t>+1-586-227-5534</t>
  </si>
  <si>
    <t>High-Waist Leggings x1 | Classic Fit Polo Shirt x2 | Running Shoes - Women's x1</t>
  </si>
  <si>
    <t>#ORD-10493</t>
  </si>
  <si>
    <t>10:20:20</t>
  </si>
  <si>
    <t>ava.perez75@gmail.com</t>
  </si>
  <si>
    <t>+1-734-910-1118</t>
  </si>
  <si>
    <t>Smart LED Desk Lamp x1 | Wireless Noise-Cancelling Headphones x2</t>
  </si>
  <si>
    <t>#ORD-10494</t>
  </si>
  <si>
    <t>17:09:36</t>
  </si>
  <si>
    <t>Elizabeth Flores</t>
  </si>
  <si>
    <t>elizabeth.flores98@gmail.com</t>
  </si>
  <si>
    <t>+1-825-158-6833</t>
  </si>
  <si>
    <t>Resistance Band Set x1 | Scented Soy Candle Set x1</t>
  </si>
  <si>
    <t>#ORD-10495</t>
  </si>
  <si>
    <t>10:41:22</t>
  </si>
  <si>
    <t>muhammad.miller59@yahoo.com</t>
  </si>
  <si>
    <t>+1-727-523-4079</t>
  </si>
  <si>
    <t>Mechanical Keyboard x2 | Wireless Noise-Cancelling Headphones x1 | Scented Soy Candle Set x1 | Smart LED Desk Lamp x2</t>
  </si>
  <si>
    <t>#ORD-10496</t>
  </si>
  <si>
    <t>18:27:38</t>
  </si>
  <si>
    <t>Emma Lee</t>
  </si>
  <si>
    <t>emma.lee82@gmail.com</t>
  </si>
  <si>
    <t>+1-500-721-4196</t>
  </si>
  <si>
    <t>Men's Grooming Kit x1 | Resistance Band Set x1 | Anti-Aging Serum 1oz x1 | Organic Green Tea 100ct x1 | Casual Sneakers x1</t>
  </si>
  <si>
    <t>#ORD-10497</t>
  </si>
  <si>
    <t>07:53:30</t>
  </si>
  <si>
    <t>James Wright</t>
  </si>
  <si>
    <t>james.wright74@outlook.com</t>
  </si>
  <si>
    <t>+1-878-653-4946</t>
  </si>
  <si>
    <t>#ORD-10498</t>
  </si>
  <si>
    <t>23:02:55</t>
  </si>
  <si>
    <t>Oliver Wilson</t>
  </si>
  <si>
    <t>oliver.wilson97@outlook.com</t>
  </si>
  <si>
    <t>+1-886-226-3224</t>
  </si>
  <si>
    <t>#ORD-10499</t>
  </si>
  <si>
    <t>22:01:30</t>
  </si>
  <si>
    <t>grace.allen89@gmail.com</t>
  </si>
  <si>
    <t>+1-438-328-5244</t>
  </si>
  <si>
    <t>Classic Fit Polo Shirt x1 | Bamboo Sunglasses x1 | Scented Soy Candle Set x2 | USB-C Fast Charger 65W x2</t>
  </si>
  <si>
    <t>#ORD-10500</t>
  </si>
  <si>
    <t>14:43:02</t>
  </si>
  <si>
    <t>mason.jackson15@gmail.com</t>
  </si>
  <si>
    <t>+1-263-704-9775</t>
  </si>
  <si>
    <t>Running Shoes - Women's x3 | Men's Grooming Kit x1</t>
  </si>
  <si>
    <t>#ORD-10501</t>
  </si>
  <si>
    <t>16:48:48</t>
  </si>
  <si>
    <t>Charlotte Harris</t>
  </si>
  <si>
    <t>charlotte.harris41@outlook.com</t>
  </si>
  <si>
    <t>+1-896-566-3415</t>
  </si>
  <si>
    <t>Air Fryer 5.8Qt x1 | Anti-Aging Serum 1oz x1 | Scented Soy Candle Set x1</t>
  </si>
  <si>
    <t>#ORD-10502</t>
  </si>
  <si>
    <t>2024-09-30</t>
  </si>
  <si>
    <t>00:07:32</t>
  </si>
  <si>
    <t>Victoria Jackson</t>
  </si>
  <si>
    <t>victoria.jackson96@outlook.com</t>
  </si>
  <si>
    <t>+1-498-821-7171</t>
  </si>
  <si>
    <t>2024-10-04</t>
  </si>
  <si>
    <t>#ORD-10503</t>
  </si>
  <si>
    <t>12:52:06</t>
  </si>
  <si>
    <t>noah.perez92@gmail.com</t>
  </si>
  <si>
    <t>+1-601-445-7921</t>
  </si>
  <si>
    <t>Casual Sneakers x3 | Sunscreen SPF 50 Face x2 | Men's Grooming Kit x2 | Portable Bluetooth Speaker x2</t>
  </si>
  <si>
    <t>#ORD-10504</t>
  </si>
  <si>
    <t>23:52:00</t>
  </si>
  <si>
    <t>ella.thompson51@gmail.com</t>
  </si>
  <si>
    <t>+1-668-770-3681</t>
  </si>
  <si>
    <t>Yoga Mat Premium x3 | Sunscreen SPF 50 Face x2</t>
  </si>
  <si>
    <t>#ORD-10505</t>
  </si>
  <si>
    <t>10:40:43</t>
  </si>
  <si>
    <t>chloe.rodriguez90@gmail.com</t>
  </si>
  <si>
    <t>+1-585-537-3756</t>
  </si>
  <si>
    <t>#ORD-10506</t>
  </si>
  <si>
    <t>09:04:32</t>
  </si>
  <si>
    <t>Noah Miller</t>
  </si>
  <si>
    <t>noah.miller61@gmail.com</t>
  </si>
  <si>
    <t>+1-450-134-2946</t>
  </si>
  <si>
    <t>#ORD-10507</t>
  </si>
  <si>
    <t>12:30:31</t>
  </si>
  <si>
    <t>Oliver Sanchez</t>
  </si>
  <si>
    <t>oliver.sanchez39@outlook.com</t>
  </si>
  <si>
    <t>+1-319-184-2999</t>
  </si>
  <si>
    <t>Classic Fit Polo Shirt x1 | Sunscreen SPF 50 Face x1 | High-Waist Leggings x1</t>
  </si>
  <si>
    <t>#ORD-10508</t>
  </si>
  <si>
    <t>05:14:55</t>
  </si>
  <si>
    <t>michael.king3@outlook.com</t>
  </si>
  <si>
    <t>+1-505-685-3051</t>
  </si>
  <si>
    <t>#ORD-10509</t>
  </si>
  <si>
    <t>19:17:53</t>
  </si>
  <si>
    <t>Sophia Lee</t>
  </si>
  <si>
    <t>sophia.lee92@outlook.com</t>
  </si>
  <si>
    <t>+1-874-220-3960</t>
  </si>
  <si>
    <t>#ORD-10510</t>
  </si>
  <si>
    <t>01:27:06</t>
  </si>
  <si>
    <t>Victoria Lopez</t>
  </si>
  <si>
    <t>victoria.lopez72@gmail.com</t>
  </si>
  <si>
    <t>+1-327-618-5891</t>
  </si>
  <si>
    <t>#ORD-10511</t>
  </si>
  <si>
    <t>2024-04-06</t>
  </si>
  <si>
    <t>10:40:09</t>
  </si>
  <si>
    <t>Alexander Scott</t>
  </si>
  <si>
    <t>alexander.scott55@outlook.com</t>
  </si>
  <si>
    <t>+1-911-420-9563</t>
  </si>
  <si>
    <t>#ORD-10512</t>
  </si>
  <si>
    <t>10:49:55</t>
  </si>
  <si>
    <t>Emily Flores</t>
  </si>
  <si>
    <t>emily.flores66@gmail.com</t>
  </si>
  <si>
    <t>+1-331-846-7914</t>
  </si>
  <si>
    <t>Portable Bluetooth Speaker x1 | Casual Sneakers x1</t>
  </si>
  <si>
    <t>#ORD-10513</t>
  </si>
  <si>
    <t>22:43:15</t>
  </si>
  <si>
    <t>Ava Torres</t>
  </si>
  <si>
    <t>ava.torres34@gmail.com</t>
  </si>
  <si>
    <t>+1-931-481-9379</t>
  </si>
  <si>
    <t>#ORD-10514</t>
  </si>
  <si>
    <t>22:40:46</t>
  </si>
  <si>
    <t>Victoria Hernandez</t>
  </si>
  <si>
    <t>victoria.hernandez20@gmail.com</t>
  </si>
  <si>
    <t>+1-267-437-2457</t>
  </si>
  <si>
    <t>#ORD-10515</t>
  </si>
  <si>
    <t>22:48:23</t>
  </si>
  <si>
    <t>Alexander Perez</t>
  </si>
  <si>
    <t>alexander.perez35@gmail.com</t>
  </si>
  <si>
    <t>+1-739-845-6022</t>
  </si>
  <si>
    <t>#ORD-10516</t>
  </si>
  <si>
    <t>04:53:59</t>
  </si>
  <si>
    <t>daniel.allen68@gmail.com</t>
  </si>
  <si>
    <t>+1-808-970-7597</t>
  </si>
  <si>
    <t>Coffee Maker Programmable x1 | Hiking Boots x1 | Scented Soy Candle Set x1</t>
  </si>
  <si>
    <t>#ORD-10517</t>
  </si>
  <si>
    <t>10:46:35</t>
  </si>
  <si>
    <t>Ella Hill</t>
  </si>
  <si>
    <t>ella.hill34@gmail.com</t>
  </si>
  <si>
    <t>+1-894-723-7852</t>
  </si>
  <si>
    <t>Anti-Aging Serum 1oz x1 | Mechanical Keyboard x1</t>
  </si>
  <si>
    <t>2024-07-20</t>
  </si>
  <si>
    <t>#ORD-10518</t>
  </si>
  <si>
    <t>02:51:23</t>
  </si>
  <si>
    <t>Sebastian Lopez</t>
  </si>
  <si>
    <t>sebastian.lopez46@outlook.com</t>
  </si>
  <si>
    <t>+1-295-269-1940</t>
  </si>
  <si>
    <t>Air Fryer 5.8Qt x2 | Sunscreen SPF 50 Face x1 | Leather Wallet Slim x2 | Bamboo Sunglasses x3</t>
  </si>
  <si>
    <t>#ORD-10519</t>
  </si>
  <si>
    <t>15:48:49</t>
  </si>
  <si>
    <t>Ethan Jackson</t>
  </si>
  <si>
    <t>ethan.jackson64@yahoo.com</t>
  </si>
  <si>
    <t>+1-919-647-6653</t>
  </si>
  <si>
    <t>Bamboo Sunglasses x1 | Men's Grooming Kit x1</t>
  </si>
  <si>
    <t>#ORD-10520</t>
  </si>
  <si>
    <t>05:44:24</t>
  </si>
  <si>
    <t>Oliver Wright</t>
  </si>
  <si>
    <t>oliver.wright78@gmail.com</t>
  </si>
  <si>
    <t>+1-895-355-9832</t>
  </si>
  <si>
    <t>Anti-Aging Serum 1oz x2 | Bamboo Sunglasses x1 | Leather Wallet Slim x1 | Classic Fit Polo Shirt x1 | Air Fryer 5.8Qt x1</t>
  </si>
  <si>
    <t>#ORD-10521</t>
  </si>
  <si>
    <t>17:55:06</t>
  </si>
  <si>
    <t>mason.jackson62@gmail.com</t>
  </si>
  <si>
    <t>+1-832-968-8999</t>
  </si>
  <si>
    <t>#ORD-10522</t>
  </si>
  <si>
    <t>20:49:46</t>
  </si>
  <si>
    <t>noah.thompson79@gmail.com</t>
  </si>
  <si>
    <t>+1-402-186-9668</t>
  </si>
  <si>
    <t>#ORD-10523</t>
  </si>
  <si>
    <t>19:46:17</t>
  </si>
  <si>
    <t>Scarlett Martinez</t>
  </si>
  <si>
    <t>scarlett.martinez16@yahoo.com</t>
  </si>
  <si>
    <t>+1-872-959-8198</t>
  </si>
  <si>
    <t>Casual Sneakers x1 | Stainless Steel Cookware Set x1</t>
  </si>
  <si>
    <t>#ORD-10524</t>
  </si>
  <si>
    <t>12:19:44</t>
  </si>
  <si>
    <t>Mia Rodriguez</t>
  </si>
  <si>
    <t>mia.rodriguez96@gmail.com</t>
  </si>
  <si>
    <t>+1-631-600-9119</t>
  </si>
  <si>
    <t>Sunscreen SPF 50 Face x1 | Running Shoes - Women's x1 | Smart LED Desk Lamp x2 | Yoga Mat Premium x2</t>
  </si>
  <si>
    <t>#ORD-10525</t>
  </si>
  <si>
    <t>22:45:34</t>
  </si>
  <si>
    <t>isabella.lee98@yahoo.com</t>
  </si>
  <si>
    <t>+1-811-855-1131</t>
  </si>
  <si>
    <t>Denim Jacket x3 | Protein Powder Chocolate 2lb x2 | Mechanical Keyboard x1 | Smart LED Desk Lamp x1</t>
  </si>
  <si>
    <t>#ORD-10526</t>
  </si>
  <si>
    <t>2024-10-22</t>
  </si>
  <si>
    <t>12:06:03</t>
  </si>
  <si>
    <t>Jack Young</t>
  </si>
  <si>
    <t>jack.young37@gmail.com</t>
  </si>
  <si>
    <t>+1-882-940-8031</t>
  </si>
  <si>
    <t>#ORD-10527</t>
  </si>
  <si>
    <t>08:47:48</t>
  </si>
  <si>
    <t>Charlotte Young</t>
  </si>
  <si>
    <t>charlotte.young14@outlook.com</t>
  </si>
  <si>
    <t>+1-636-118-4270</t>
  </si>
  <si>
    <t>#ORD-10528</t>
  </si>
  <si>
    <t>21:03:43</t>
  </si>
  <si>
    <t>Ethan Brown</t>
  </si>
  <si>
    <t>ethan.brown53@outlook.com</t>
  </si>
  <si>
    <t>+1-559-828-7849</t>
  </si>
  <si>
    <t>#ORD-10529</t>
  </si>
  <si>
    <t>2024-01-01</t>
  </si>
  <si>
    <t>04:59:42</t>
  </si>
  <si>
    <t>Oliver Lee</t>
  </si>
  <si>
    <t>oliver.lee7@gmail.com</t>
  </si>
  <si>
    <t>+1-703-472-6476</t>
  </si>
  <si>
    <t>#ORD-10530</t>
  </si>
  <si>
    <t>06:51:09</t>
  </si>
  <si>
    <t>aiden.davis86@gmail.com</t>
  </si>
  <si>
    <t>+1-593-189-2742</t>
  </si>
  <si>
    <t>Mechanical Keyboard x2 | Resistance Band Set x1 | Insulated Water Bottle 32oz x2</t>
  </si>
  <si>
    <t>#ORD-10531</t>
  </si>
  <si>
    <t>03:01:55</t>
  </si>
  <si>
    <t>Isabella Flores</t>
  </si>
  <si>
    <t>isabella.flores6@outlook.com</t>
  </si>
  <si>
    <t>+1-938-257-1717</t>
  </si>
  <si>
    <t>Running Shoes - Women's x3 | Sunscreen SPF 50 Face x1 | Organic Green Tea 100ct x1</t>
  </si>
  <si>
    <t>#ORD-10532</t>
  </si>
  <si>
    <t>21:42:10</t>
  </si>
  <si>
    <t>Isabella Gonzalez</t>
  </si>
  <si>
    <t>isabella.gonzalez71@outlook.com</t>
  </si>
  <si>
    <t>+1-370-713-5491</t>
  </si>
  <si>
    <t>Bamboo Sunglasses x2 | Coffee Maker Programmable x1 | Insulated Water Bottle 32oz x2</t>
  </si>
  <si>
    <t>#ORD-10533</t>
  </si>
  <si>
    <t>10:42:56</t>
  </si>
  <si>
    <t>Isabella Jackson</t>
  </si>
  <si>
    <t>isabella.jackson73@gmail.com</t>
  </si>
  <si>
    <t>+1-610-721-5448</t>
  </si>
  <si>
    <t>#ORD-10534</t>
  </si>
  <si>
    <t>10:35:36</t>
  </si>
  <si>
    <t>Lucas Lopez</t>
  </si>
  <si>
    <t>lucas.lopez21@outlook.com</t>
  </si>
  <si>
    <t>+1-246-646-4902</t>
  </si>
  <si>
    <t>High-Waist Leggings x1 | Air Fryer 5.8Qt x2 | Organic Green Tea 100ct x1</t>
  </si>
  <si>
    <t>#ORD-10535</t>
  </si>
  <si>
    <t>15:22:59</t>
  </si>
  <si>
    <t>evelyn.williams19@yahoo.com</t>
  </si>
  <si>
    <t>+1-285-822-9999</t>
  </si>
  <si>
    <t>#ORD-10536</t>
  </si>
  <si>
    <t>05:44:01</t>
  </si>
  <si>
    <t>Harper Rodriguez</t>
  </si>
  <si>
    <t>harper.rodriguez79@gmail.com</t>
  </si>
  <si>
    <t>+1-869-363-4377</t>
  </si>
  <si>
    <t>Wireless Noise-Cancelling Headphones x1 | Denim Jacket x2</t>
  </si>
  <si>
    <t>2024-01-27</t>
  </si>
  <si>
    <t>#ORD-10537</t>
  </si>
  <si>
    <t>14:10:03</t>
  </si>
  <si>
    <t>avery.anderson35@gmail.com</t>
  </si>
  <si>
    <t>+1-393-683-9036</t>
  </si>
  <si>
    <t>Classic Fit Polo Shirt x1 | Protein Powder Chocolate 2lb x2 | Mechanical Keyboard x1</t>
  </si>
  <si>
    <t>2024-09-03</t>
  </si>
  <si>
    <t>#ORD-10538</t>
  </si>
  <si>
    <t>00:36:12</t>
  </si>
  <si>
    <t>Logan Jackson</t>
  </si>
  <si>
    <t>logan.jackson40@gmail.com</t>
  </si>
  <si>
    <t>+1-302-486-7291</t>
  </si>
  <si>
    <t>Anti-Aging Serum 1oz x1 | Scented Soy Candle Set x1 | Running Shoes - Women's x1</t>
  </si>
  <si>
    <t>#ORD-10539</t>
  </si>
  <si>
    <t>23:41:12</t>
  </si>
  <si>
    <t>liam.davis2@outlook.com</t>
  </si>
  <si>
    <t>+1-407-242-8871</t>
  </si>
  <si>
    <t>#ORD-10540</t>
  </si>
  <si>
    <t>23:44:58</t>
  </si>
  <si>
    <t>Chloe Robinson</t>
  </si>
  <si>
    <t>chloe.robinson21@gmail.com</t>
  </si>
  <si>
    <t>+1-723-956-7804</t>
  </si>
  <si>
    <t>#ORD-10541</t>
  </si>
  <si>
    <t>2024-06-14</t>
  </si>
  <si>
    <t>21:11:26</t>
  </si>
  <si>
    <t>james.smith29@gmail.com</t>
  </si>
  <si>
    <t>+1-373-212-4678</t>
  </si>
  <si>
    <t>#ORD-10542</t>
  </si>
  <si>
    <t>13:57:44</t>
  </si>
  <si>
    <t>sophia.jackson10@yahoo.com</t>
  </si>
  <si>
    <t>+1-306-377-9179</t>
  </si>
  <si>
    <t>USB-C Fast Charger 65W x1 | Leather Wallet Slim x1 | Portable Bluetooth Speaker x1 | Scented Soy Candle Set x1</t>
  </si>
  <si>
    <t>#ORD-10543</t>
  </si>
  <si>
    <t>15:45:22</t>
  </si>
  <si>
    <t>Alexander Taylor</t>
  </si>
  <si>
    <t>alexander.taylor92@outlook.com</t>
  </si>
  <si>
    <t>+1-292-430-3089</t>
  </si>
  <si>
    <t>Mechanical Keyboard x1 | Classic Fit Polo Shirt x1 | Essential Oil Diffuser x2 | Resistance Band Set x3</t>
  </si>
  <si>
    <t>#ORD-10544</t>
  </si>
  <si>
    <t>21:56:03</t>
  </si>
  <si>
    <t>Logan Harris</t>
  </si>
  <si>
    <t>logan.harris41@gmail.com</t>
  </si>
  <si>
    <t>+1-745-649-4770</t>
  </si>
  <si>
    <t>Multivitamin Daily Pack x2 | Scented Soy Candle Set x1</t>
  </si>
  <si>
    <t>#ORD-10545</t>
  </si>
  <si>
    <t>10:11:55</t>
  </si>
  <si>
    <t>Elizabeth Garcia</t>
  </si>
  <si>
    <t>elizabeth.garcia92@gmail.com</t>
  </si>
  <si>
    <t>+1-557-469-3283</t>
  </si>
  <si>
    <t>High-Waist Leggings x2 | Men's Grooming Kit x1 | Casual Sneakers x1</t>
  </si>
  <si>
    <t>2024-08-13</t>
  </si>
  <si>
    <t>#ORD-10546</t>
  </si>
  <si>
    <t>04:14:22</t>
  </si>
  <si>
    <t>Evelyn Walker</t>
  </si>
  <si>
    <t>evelyn.walker71@outlook.com</t>
  </si>
  <si>
    <t>+1-580-155-2736</t>
  </si>
  <si>
    <t>#ORD-10547</t>
  </si>
  <si>
    <t>20:19:22</t>
  </si>
  <si>
    <t>daniel.jones77@yahoo.com</t>
  </si>
  <si>
    <t>+1-915-406-8703</t>
  </si>
  <si>
    <t>2024-05-26</t>
  </si>
  <si>
    <t>#ORD-10548</t>
  </si>
  <si>
    <t>12:58:31</t>
  </si>
  <si>
    <t>sofia.perez83@yahoo.com</t>
  </si>
  <si>
    <t>+1-767-828-5227</t>
  </si>
  <si>
    <t>#ORD-10549</t>
  </si>
  <si>
    <t>17:44:43</t>
  </si>
  <si>
    <t>Chloe King</t>
  </si>
  <si>
    <t>chloe.king91@gmail.com</t>
  </si>
  <si>
    <t>+1-819-961-2264</t>
  </si>
  <si>
    <t>#ORD-10550</t>
  </si>
  <si>
    <t>2024-03-05</t>
  </si>
  <si>
    <t>00:16:27</t>
  </si>
  <si>
    <t>Sebastian Young</t>
  </si>
  <si>
    <t>sebastian.young84@outlook.com</t>
  </si>
  <si>
    <t>+1-445-388-3666</t>
  </si>
  <si>
    <t>#ORD-10551</t>
  </si>
  <si>
    <t>01:12:29</t>
  </si>
  <si>
    <t>Grace Miller</t>
  </si>
  <si>
    <t>grace.miller28@outlook.com</t>
  </si>
  <si>
    <t>+1-695-146-1787</t>
  </si>
  <si>
    <t>#ORD-10552</t>
  </si>
  <si>
    <t>14:54:00</t>
  </si>
  <si>
    <t>Abigail Garcia</t>
  </si>
  <si>
    <t>abigail.garcia2@outlook.com</t>
  </si>
  <si>
    <t>+1-993-253-1388</t>
  </si>
  <si>
    <t>Resistance Band Set x1 | Classic Fit Polo Shirt x1</t>
  </si>
  <si>
    <t>#ORD-10553</t>
  </si>
  <si>
    <t>14:42:26</t>
  </si>
  <si>
    <t>Daniel Harris</t>
  </si>
  <si>
    <t>daniel.harris76@yahoo.com</t>
  </si>
  <si>
    <t>+1-728-846-9573</t>
  </si>
  <si>
    <t>#ORD-10554</t>
  </si>
  <si>
    <t>22:23:30</t>
  </si>
  <si>
    <t>Muhammad Robinson</t>
  </si>
  <si>
    <t>muhammad.robinson17@gmail.com</t>
  </si>
  <si>
    <t>+1-780-742-9151</t>
  </si>
  <si>
    <t>Multivitamin Daily Pack x2 | Portable Bluetooth Speaker x2</t>
  </si>
  <si>
    <t>#ORD-10555</t>
  </si>
  <si>
    <t>16:08:54</t>
  </si>
  <si>
    <t>Sophia Smith</t>
  </si>
  <si>
    <t>sophia.smith99@outlook.com</t>
  </si>
  <si>
    <t>+1-927-890-8548</t>
  </si>
  <si>
    <t>USB-C Fast Charger 65W x1 | Stainless Steel Cookware Set x1 | Smart LED Desk Lamp x1</t>
  </si>
  <si>
    <t>#ORD-10556</t>
  </si>
  <si>
    <t>13:03:47</t>
  </si>
  <si>
    <t>Harper Young</t>
  </si>
  <si>
    <t>harper.young98@outlook.com</t>
  </si>
  <si>
    <t>+1-285-798-7769</t>
  </si>
  <si>
    <t>Linen Throw Blanket x2 | Stainless Steel Cookware Set x1 | Portable Bluetooth Speaker x2 | Insulated Water Bottle 32oz x2</t>
  </si>
  <si>
    <t>#ORD-10557</t>
  </si>
  <si>
    <t>01:16:24</t>
  </si>
  <si>
    <t>Scarlett Robinson</t>
  </si>
  <si>
    <t>scarlett.robinson88@gmail.com</t>
  </si>
  <si>
    <t>+1-608-974-2195</t>
  </si>
  <si>
    <t>2024-09-12</t>
  </si>
  <si>
    <t>#ORD-10558</t>
  </si>
  <si>
    <t>22:37:52</t>
  </si>
  <si>
    <t>amelia.harris60@yahoo.com</t>
  </si>
  <si>
    <t>+1-524-450-8967</t>
  </si>
  <si>
    <t>Leather Wallet Slim x1 | Denim Jacket x1</t>
  </si>
  <si>
    <t>#ORD-10559</t>
  </si>
  <si>
    <t>16:31:30</t>
  </si>
  <si>
    <t>Lucas Young</t>
  </si>
  <si>
    <t>lucas.young36@gmail.com</t>
  </si>
  <si>
    <t>+1-263-927-6922</t>
  </si>
  <si>
    <t>#ORD-10560</t>
  </si>
  <si>
    <t>21:50:30</t>
  </si>
  <si>
    <t>jack.young7@gmail.com</t>
  </si>
  <si>
    <t>+1-255-194-8021</t>
  </si>
  <si>
    <t>Anti-Aging Serum 1oz x1 | Multivitamin Daily Pack x1 | Hiking Boots x1 | Essential Oil Diffuser x1</t>
  </si>
  <si>
    <t>#ORD-10561</t>
  </si>
  <si>
    <t>18:18:18</t>
  </si>
  <si>
    <t>Muhammad Martin</t>
  </si>
  <si>
    <t>muhammad.martin26@gmail.com</t>
  </si>
  <si>
    <t>+1-811-303-2274</t>
  </si>
  <si>
    <t>Coffee Maker Programmable x2 | Sunscreen SPF 50 Face x3</t>
  </si>
  <si>
    <t>#ORD-10562</t>
  </si>
  <si>
    <t>04:41:58</t>
  </si>
  <si>
    <t>Daniel Green</t>
  </si>
  <si>
    <t>daniel.green42@outlook.com</t>
  </si>
  <si>
    <t>+1-939-103-8381</t>
  </si>
  <si>
    <t>Men's Grooming Kit x1 | Resistance Band Set x1 | Wireless Noise-Cancelling Headphones x1</t>
  </si>
  <si>
    <t>#ORD-10563</t>
  </si>
  <si>
    <t>21:42:42</t>
  </si>
  <si>
    <t>Isabella Robinson</t>
  </si>
  <si>
    <t>isabella.robinson75@gmail.com</t>
  </si>
  <si>
    <t>+1-572-116-5947</t>
  </si>
  <si>
    <t>Running Shoes - Women's x1 | Multivitamin Daily Pack x1 | Sunscreen SPF 50 Face x1</t>
  </si>
  <si>
    <t>#ORD-10564</t>
  </si>
  <si>
    <t>02:12:16</t>
  </si>
  <si>
    <t>Aiden King</t>
  </si>
  <si>
    <t>aiden.king16@outlook.com</t>
  </si>
  <si>
    <t>+1-638-482-3898</t>
  </si>
  <si>
    <t>#ORD-10565</t>
  </si>
  <si>
    <t>16:39:10</t>
  </si>
  <si>
    <t>William Flores</t>
  </si>
  <si>
    <t>william.flores70@gmail.com</t>
  </si>
  <si>
    <t>+1-621-206-9133</t>
  </si>
  <si>
    <t>Sunscreen SPF 50 Face x1 | Anti-Aging Serum 1oz x2 | Multivitamin Daily Pack x3</t>
  </si>
  <si>
    <t>#ORD-10566</t>
  </si>
  <si>
    <t>17:29:22</t>
  </si>
  <si>
    <t>Benjamin Scott</t>
  </si>
  <si>
    <t>benjamin.scott82@gmail.com</t>
  </si>
  <si>
    <t>+1-675-522-7484</t>
  </si>
  <si>
    <t>Anti-Aging Serum 1oz x1 | Yoga Mat Premium x1 | Canvas Backpack 25L x1</t>
  </si>
  <si>
    <t>#ORD-10567</t>
  </si>
  <si>
    <t>19:21:35</t>
  </si>
  <si>
    <t>Emma White</t>
  </si>
  <si>
    <t>emma.white29@yahoo.com</t>
  </si>
  <si>
    <t>+1-233-115-1430</t>
  </si>
  <si>
    <t>#ORD-10568</t>
  </si>
  <si>
    <t>03:15:52</t>
  </si>
  <si>
    <t>james.white67@outlook.com</t>
  </si>
  <si>
    <t>+1-252-920-8030</t>
  </si>
  <si>
    <t>Linen Throw Blanket x3</t>
  </si>
  <si>
    <t>#ORD-10569</t>
  </si>
  <si>
    <t>13:08:21</t>
  </si>
  <si>
    <t>Isabella Harris</t>
  </si>
  <si>
    <t>isabella.harris23@gmail.com</t>
  </si>
  <si>
    <t>+1-362-430-4338</t>
  </si>
  <si>
    <t>Multivitamin Daily Pack x1 | Casual Sneakers x2</t>
  </si>
  <si>
    <t>#ORD-10570</t>
  </si>
  <si>
    <t>01:13:14</t>
  </si>
  <si>
    <t>Ethan Garcia</t>
  </si>
  <si>
    <t>ethan.garcia56@gmail.com</t>
  </si>
  <si>
    <t>+1-849-746-6867</t>
  </si>
  <si>
    <t>Wireless Noise-Cancelling Headphones x2 | Scented Soy Candle Set x3</t>
  </si>
  <si>
    <t>#ORD-10571</t>
  </si>
  <si>
    <t>22:27:00</t>
  </si>
  <si>
    <t>logan.thomas29@gmail.com</t>
  </si>
  <si>
    <t>+1-670-710-3010</t>
  </si>
  <si>
    <t>Men's Grooming Kit x2 | Classic Fit Polo Shirt x2 | High-Waist Leggings x1</t>
  </si>
  <si>
    <t>#ORD-10572</t>
  </si>
  <si>
    <t>22:41:51</t>
  </si>
  <si>
    <t>sophia.martinez34@yahoo.com</t>
  </si>
  <si>
    <t>+1-584-421-8387</t>
  </si>
  <si>
    <t>Bamboo Sunglasses x1 | Denim Jacket x1 | Running Shoes - Women's x1</t>
  </si>
  <si>
    <t>#ORD-10573</t>
  </si>
  <si>
    <t>03:20:07</t>
  </si>
  <si>
    <t>Mia Lopez</t>
  </si>
  <si>
    <t>mia.lopez2@outlook.com</t>
  </si>
  <si>
    <t>+1-324-297-1484</t>
  </si>
  <si>
    <t>Portable Bluetooth Speaker x3 | Smart LED Desk Lamp x3</t>
  </si>
  <si>
    <t>#ORD-10574</t>
  </si>
  <si>
    <t>17:01:38</t>
  </si>
  <si>
    <t>Grace Johnson</t>
  </si>
  <si>
    <t>grace.johnson66@yahoo.com</t>
  </si>
  <si>
    <t>+1-693-304-2506</t>
  </si>
  <si>
    <t>#ORD-10575</t>
  </si>
  <si>
    <t>04:32:09</t>
  </si>
  <si>
    <t>Emily Torres</t>
  </si>
  <si>
    <t>emily.torres38@gmail.com</t>
  </si>
  <si>
    <t>+1-305-697-6105</t>
  </si>
  <si>
    <t>Air Fryer 5.8Qt x3 | Protein Powder Chocolate 2lb x1</t>
  </si>
  <si>
    <t>#ORD-10576</t>
  </si>
  <si>
    <t>06:29:29</t>
  </si>
  <si>
    <t>Mia Wilson</t>
  </si>
  <si>
    <t>mia.wilson63@gmail.com</t>
  </si>
  <si>
    <t>+1-847-939-2052</t>
  </si>
  <si>
    <t>#ORD-10577</t>
  </si>
  <si>
    <t>03:41:23</t>
  </si>
  <si>
    <t>Avery Hernandez</t>
  </si>
  <si>
    <t>avery.hernandez5@yahoo.com</t>
  </si>
  <si>
    <t>+1-390-466-5019</t>
  </si>
  <si>
    <t>#ORD-10578</t>
  </si>
  <si>
    <t>17:36:08</t>
  </si>
  <si>
    <t>Ava Wilson</t>
  </si>
  <si>
    <t>ava.wilson48@gmail.com</t>
  </si>
  <si>
    <t>+1-775-167-7317</t>
  </si>
  <si>
    <t>#ORD-10579</t>
  </si>
  <si>
    <t>20:30:50</t>
  </si>
  <si>
    <t>Evelyn Flores</t>
  </si>
  <si>
    <t>evelyn.flores68@gmail.com</t>
  </si>
  <si>
    <t>+1-401-150-9092</t>
  </si>
  <si>
    <t>#ORD-10580</t>
  </si>
  <si>
    <t>20:15:47</t>
  </si>
  <si>
    <t>Michael Williams</t>
  </si>
  <si>
    <t>michael.williams54@gmail.com</t>
  </si>
  <si>
    <t>+1-491-234-7599</t>
  </si>
  <si>
    <t>#ORD-10581</t>
  </si>
  <si>
    <t>09:44:41</t>
  </si>
  <si>
    <t>Olivia Scott</t>
  </si>
  <si>
    <t>olivia.scott68@gmail.com</t>
  </si>
  <si>
    <t>+1-281-669-6131</t>
  </si>
  <si>
    <t>#ORD-10582</t>
  </si>
  <si>
    <t>13:00:32</t>
  </si>
  <si>
    <t>Michael Green</t>
  </si>
  <si>
    <t>michael.green51@gmail.com</t>
  </si>
  <si>
    <t>+1-530-982-8138</t>
  </si>
  <si>
    <t>#ORD-10583</t>
  </si>
  <si>
    <t>23:02:49</t>
  </si>
  <si>
    <t>Amelia Hernandez</t>
  </si>
  <si>
    <t>amelia.hernandez25@outlook.com</t>
  </si>
  <si>
    <t>+1-476-815-3790</t>
  </si>
  <si>
    <t>Wireless Noise-Cancelling Headphones x1 | Bamboo Sunglasses x2 | Sunscreen SPF 50 Face x1 | Canvas Backpack 25L x1</t>
  </si>
  <si>
    <t>#ORD-10584</t>
  </si>
  <si>
    <t>17:26:33</t>
  </si>
  <si>
    <t>Isabella Hill</t>
  </si>
  <si>
    <t>isabella.hill16@gmail.com</t>
  </si>
  <si>
    <t>+1-791-589-9029</t>
  </si>
  <si>
    <t>Linen Throw Blanket x2</t>
  </si>
  <si>
    <t>#ORD-10585</t>
  </si>
  <si>
    <t>15:37:55</t>
  </si>
  <si>
    <t>Elijah Lee</t>
  </si>
  <si>
    <t>elijah.lee94@gmail.com</t>
  </si>
  <si>
    <t>+1-706-161-4481</t>
  </si>
  <si>
    <t>Yoga Mat Premium x2</t>
  </si>
  <si>
    <t>#ORD-10586</t>
  </si>
  <si>
    <t>14:20:03</t>
  </si>
  <si>
    <t>Emma Wilson</t>
  </si>
  <si>
    <t>emma.wilson50@gmail.com</t>
  </si>
  <si>
    <t>+1-333-324-6957</t>
  </si>
  <si>
    <t>#ORD-10587</t>
  </si>
  <si>
    <t>23:51:12</t>
  </si>
  <si>
    <t>elizabeth.robinson80@outlook.com</t>
  </si>
  <si>
    <t>+1-216-571-4064</t>
  </si>
  <si>
    <t>#ORD-10588</t>
  </si>
  <si>
    <t>22:52:48</t>
  </si>
  <si>
    <t>Elijah Johnson</t>
  </si>
  <si>
    <t>elijah.johnson85@yahoo.com</t>
  </si>
  <si>
    <t>+1-398-401-4103</t>
  </si>
  <si>
    <t>USB-C Fast Charger 65W x1 | Insulated Water Bottle 32oz x1 | Multivitamin Daily Pack x1 | Running Shoes - Women's x1</t>
  </si>
  <si>
    <t>#ORD-10589</t>
  </si>
  <si>
    <t>09:07:18</t>
  </si>
  <si>
    <t>Henry Lopez</t>
  </si>
  <si>
    <t>henry.lopez36@yahoo.com</t>
  </si>
  <si>
    <t>+1-267-644-2655</t>
  </si>
  <si>
    <t>#ORD-10590</t>
  </si>
  <si>
    <t>13:57:27</t>
  </si>
  <si>
    <t>Elijah Anderson</t>
  </si>
  <si>
    <t>elijah.anderson80@yahoo.com</t>
  </si>
  <si>
    <t>+1-494-851-1050</t>
  </si>
  <si>
    <t>#ORD-10591</t>
  </si>
  <si>
    <t>02:28:18</t>
  </si>
  <si>
    <t>Sophia Lopez</t>
  </si>
  <si>
    <t>sophia.lopez90@outlook.com</t>
  </si>
  <si>
    <t>+1-278-274-1159</t>
  </si>
  <si>
    <t>Casual Sneakers x1 | Running Shoes - Men's x1 | Resistance Band Set x2 | Anti-Aging Serum 1oz x1</t>
  </si>
  <si>
    <t>#ORD-10592</t>
  </si>
  <si>
    <t>02:59:12</t>
  </si>
  <si>
    <t>Victoria Thompson</t>
  </si>
  <si>
    <t>victoria.thompson75@gmail.com</t>
  </si>
  <si>
    <t>+1-302-411-6499</t>
  </si>
  <si>
    <t>#ORD-10593</t>
  </si>
  <si>
    <t>22:26:46</t>
  </si>
  <si>
    <t>Avery Allen</t>
  </si>
  <si>
    <t>avery.allen45@yahoo.com</t>
  </si>
  <si>
    <t>+1-315-376-9508</t>
  </si>
  <si>
    <t>#ORD-10594</t>
  </si>
  <si>
    <t>08:07:57</t>
  </si>
  <si>
    <t>Liam Martinez</t>
  </si>
  <si>
    <t>liam.martinez29@yahoo.com</t>
  </si>
  <si>
    <t>+1-854-210-5487</t>
  </si>
  <si>
    <t>#ORD-10595</t>
  </si>
  <si>
    <t>12:51:56</t>
  </si>
  <si>
    <t>Grace Robinson</t>
  </si>
  <si>
    <t>grace.robinson68@gmail.com</t>
  </si>
  <si>
    <t>+1-325-543-8455</t>
  </si>
  <si>
    <t>Leather Wallet Slim x1 | Resistance Band Set x1</t>
  </si>
  <si>
    <t>#ORD-10596</t>
  </si>
  <si>
    <t>05:34:19</t>
  </si>
  <si>
    <t>Chloe Thompson</t>
  </si>
  <si>
    <t>chloe.thompson15@yahoo.com</t>
  </si>
  <si>
    <t>+1-664-141-4560</t>
  </si>
  <si>
    <t>#ORD-10597</t>
  </si>
  <si>
    <t>2024-01-02</t>
  </si>
  <si>
    <t>23:26:40</t>
  </si>
  <si>
    <t>Evelyn Hill</t>
  </si>
  <si>
    <t>evelyn.hill7@gmail.com</t>
  </si>
  <si>
    <t>+1-358-188-5434</t>
  </si>
  <si>
    <t>2024-01-07</t>
  </si>
  <si>
    <t>#ORD-10598</t>
  </si>
  <si>
    <t>11:32:08</t>
  </si>
  <si>
    <t>james.gonzalez75@yahoo.com</t>
  </si>
  <si>
    <t>+1-811-418-3839</t>
  </si>
  <si>
    <t>Insulated Water Bottle 32oz x2 | Casual Sneakers x1</t>
  </si>
  <si>
    <t>#ORD-10599</t>
  </si>
  <si>
    <t>03:06:47</t>
  </si>
  <si>
    <t>Chloe Lewis</t>
  </si>
  <si>
    <t>chloe.lewis42@yahoo.com</t>
  </si>
  <si>
    <t>+1-758-287-7159</t>
  </si>
  <si>
    <t>#ORD-10600</t>
  </si>
  <si>
    <t>15:47:56</t>
  </si>
  <si>
    <t>Jack Miller</t>
  </si>
  <si>
    <t>jack.miller68@gmail.com</t>
  </si>
  <si>
    <t>+1-290-873-3303</t>
  </si>
  <si>
    <t>Anti-Aging Serum 1oz x1 | Sunscreen SPF 50 Face x1</t>
  </si>
  <si>
    <t>#ORD-10601</t>
  </si>
  <si>
    <t>03:06:42</t>
  </si>
  <si>
    <t>Benjamin Martin</t>
  </si>
  <si>
    <t>benjamin.martin32@yahoo.com</t>
  </si>
  <si>
    <t>+1-255-186-1896</t>
  </si>
  <si>
    <t>Linen Throw Blanket x1 | Leather Wallet Slim x2</t>
  </si>
  <si>
    <t>#ORD-10602</t>
  </si>
  <si>
    <t>20:22:23</t>
  </si>
  <si>
    <t>Elijah Miller</t>
  </si>
  <si>
    <t>elijah.miller77@gmail.com</t>
  </si>
  <si>
    <t>+1-339-328-3535</t>
  </si>
  <si>
    <t>Sunscreen SPF 50 Face x2 | Resistance Band Set x1</t>
  </si>
  <si>
    <t>#ORD-10603</t>
  </si>
  <si>
    <t>22:39:30</t>
  </si>
  <si>
    <t>Aiden Martin</t>
  </si>
  <si>
    <t>aiden.martin1@outlook.com</t>
  </si>
  <si>
    <t>+1-225-952-9287</t>
  </si>
  <si>
    <t>#ORD-10604</t>
  </si>
  <si>
    <t>20:35:33</t>
  </si>
  <si>
    <t>Avery Sanchez</t>
  </si>
  <si>
    <t>avery.sanchez16@gmail.com</t>
  </si>
  <si>
    <t>+1-723-859-9956</t>
  </si>
  <si>
    <t>Denim Jacket x2 | Casual Sneakers x1 | Canvas Backpack 25L x2 | Coffee Maker Programmable x1 | Hiking Boots x1</t>
  </si>
  <si>
    <t>#ORD-10605</t>
  </si>
  <si>
    <t>20:15:03</t>
  </si>
  <si>
    <t>charlotte.young38@gmail.com</t>
  </si>
  <si>
    <t>+1-211-694-5960</t>
  </si>
  <si>
    <t>Stainless Steel Cookware Set x1 | Insulated Water Bottle 32oz x1 | Anti-Aging Serum 1oz x1 | Hiking Boots x1</t>
  </si>
  <si>
    <t>#ORD-10606</t>
  </si>
  <si>
    <t>02:24:10</t>
  </si>
  <si>
    <t>Olivia Green</t>
  </si>
  <si>
    <t>olivia.green6@yahoo.com</t>
  </si>
  <si>
    <t>+1-599-625-2028</t>
  </si>
  <si>
    <t>Men's Grooming Kit x1 | Organic Green Tea 100ct x3</t>
  </si>
  <si>
    <t>#ORD-10607</t>
  </si>
  <si>
    <t>17:58:56</t>
  </si>
  <si>
    <t>Logan Martinez</t>
  </si>
  <si>
    <t>logan.martinez84@yahoo.com</t>
  </si>
  <si>
    <t>+1-925-619-9608</t>
  </si>
  <si>
    <t>Mechanical Keyboard x2 | Hiking Boots x1 | High-Waist Leggings x1</t>
  </si>
  <si>
    <t>#ORD-10608</t>
  </si>
  <si>
    <t>23:52:18</t>
  </si>
  <si>
    <t>harper.rodriguez42@outlook.com</t>
  </si>
  <si>
    <t>+1-531-878-4793</t>
  </si>
  <si>
    <t>Protein Powder Chocolate 2lb x1 | USB-C Fast Charger 65W x2</t>
  </si>
  <si>
    <t>#ORD-10609</t>
  </si>
  <si>
    <t>03:12:25</t>
  </si>
  <si>
    <t>Oliver Miller</t>
  </si>
  <si>
    <t>oliver.miller23@yahoo.com</t>
  </si>
  <si>
    <t>+1-336-752-4272</t>
  </si>
  <si>
    <t>Portable Bluetooth Speaker x1 | Scented Soy Candle Set x2 | Hiking Boots x1 | Smart LED Desk Lamp x1</t>
  </si>
  <si>
    <t>#ORD-10610</t>
  </si>
  <si>
    <t>05:22:32</t>
  </si>
  <si>
    <t>Charlotte Taylor</t>
  </si>
  <si>
    <t>charlotte.taylor57@yahoo.com</t>
  </si>
  <si>
    <t>+1-234-929-3302</t>
  </si>
  <si>
    <t>#ORD-10611</t>
  </si>
  <si>
    <t>07:39:34</t>
  </si>
  <si>
    <t>emma.white53@outlook.com</t>
  </si>
  <si>
    <t>+1-712-460-6840</t>
  </si>
  <si>
    <t>Men's Grooming Kit x3</t>
  </si>
  <si>
    <t>#ORD-10612</t>
  </si>
  <si>
    <t>21:48:34</t>
  </si>
  <si>
    <t>Benjamin Torres</t>
  </si>
  <si>
    <t>benjamin.torres18@yahoo.com</t>
  </si>
  <si>
    <t>+1-223-329-5749</t>
  </si>
  <si>
    <t>#ORD-10613</t>
  </si>
  <si>
    <t>10:43:12</t>
  </si>
  <si>
    <t>harper.harris46@gmail.com</t>
  </si>
  <si>
    <t>+1-833-158-9944</t>
  </si>
  <si>
    <t>#ORD-10614</t>
  </si>
  <si>
    <t>15:47:08</t>
  </si>
  <si>
    <t>mason.hill34@yahoo.com</t>
  </si>
  <si>
    <t>+1-705-174-1579</t>
  </si>
  <si>
    <t>Resistance Band Set x2</t>
  </si>
  <si>
    <t>#ORD-10615</t>
  </si>
  <si>
    <t>16:16:23</t>
  </si>
  <si>
    <t>Emily Jones</t>
  </si>
  <si>
    <t>emily.jones77@outlook.com</t>
  </si>
  <si>
    <t>+1-510-900-4731</t>
  </si>
  <si>
    <t>Mechanical Keyboard x2 | Hiking Boots x1</t>
  </si>
  <si>
    <t>#ORD-10616</t>
  </si>
  <si>
    <t>20:09:10</t>
  </si>
  <si>
    <t>Liam Brown</t>
  </si>
  <si>
    <t>liam.brown26@outlook.com</t>
  </si>
  <si>
    <t>+1-318-548-2933</t>
  </si>
  <si>
    <t>Wireless Noise-Cancelling Headphones x1 | Coffee Maker Programmable x1</t>
  </si>
  <si>
    <t>#ORD-10617</t>
  </si>
  <si>
    <t>2024-12-22</t>
  </si>
  <si>
    <t>13:01:10</t>
  </si>
  <si>
    <t>Benjamin White</t>
  </si>
  <si>
    <t>benjamin.white25@gmail.com</t>
  </si>
  <si>
    <t>+1-246-921-1244</t>
  </si>
  <si>
    <t>#ORD-10618</t>
  </si>
  <si>
    <t>03:15:11</t>
  </si>
  <si>
    <t>oliver.brown8@gmail.com</t>
  </si>
  <si>
    <t>+1-278-356-9907</t>
  </si>
  <si>
    <t>#ORD-10619</t>
  </si>
  <si>
    <t>12:13:29</t>
  </si>
  <si>
    <t>Lucas Allen</t>
  </si>
  <si>
    <t>lucas.allen95@outlook.com</t>
  </si>
  <si>
    <t>+1-715-206-1884</t>
  </si>
  <si>
    <t>#ORD-10620</t>
  </si>
  <si>
    <t>11:10:13</t>
  </si>
  <si>
    <t>Emily Clark</t>
  </si>
  <si>
    <t>emily.clark80@gmail.com</t>
  </si>
  <si>
    <t>+1-942-935-3325</t>
  </si>
  <si>
    <t>#ORD-10621</t>
  </si>
  <si>
    <t>08:46:52</t>
  </si>
  <si>
    <t>olivia.thomas57@yahoo.com</t>
  </si>
  <si>
    <t>+1-593-607-1308</t>
  </si>
  <si>
    <t>#ORD-10622</t>
  </si>
  <si>
    <t>07:35:01</t>
  </si>
  <si>
    <t>elizabeth.harris6@gmail.com</t>
  </si>
  <si>
    <t>+1-971-705-4547</t>
  </si>
  <si>
    <t>#ORD-10623</t>
  </si>
  <si>
    <t>01:02:50</t>
  </si>
  <si>
    <t>liam.perez80@gmail.com</t>
  </si>
  <si>
    <t>+1-366-490-8656</t>
  </si>
  <si>
    <t>Bamboo Sunglasses x1 | Men's Grooming Kit x1 | Classic Fit Polo Shirt x1</t>
  </si>
  <si>
    <t>#ORD-10624</t>
  </si>
  <si>
    <t>02:16:52</t>
  </si>
  <si>
    <t>Oliver Rodriguez</t>
  </si>
  <si>
    <t>oliver.rodriguez2@gmail.com</t>
  </si>
  <si>
    <t>+1-514-682-6259</t>
  </si>
  <si>
    <t>USB-C Fast Charger 65W x1 | Casual Sneakers x1 | Classic Fit Polo Shirt x1 | Coffee Maker Programmable x1</t>
  </si>
  <si>
    <t>#ORD-10625</t>
  </si>
  <si>
    <t>10:40:51</t>
  </si>
  <si>
    <t>Harper Lopez</t>
  </si>
  <si>
    <t>harper.lopez60@gmail.com</t>
  </si>
  <si>
    <t>+1-265-551-3945</t>
  </si>
  <si>
    <t>Insulated Water Bottle 32oz x1 | Stainless Steel Cookware Set x1</t>
  </si>
  <si>
    <t>#ORD-10626</t>
  </si>
  <si>
    <t>19:10:39</t>
  </si>
  <si>
    <t>Harper Moore</t>
  </si>
  <si>
    <t>harper.moore64@gmail.com</t>
  </si>
  <si>
    <t>+1-793-424-1687</t>
  </si>
  <si>
    <t>#ORD-10627</t>
  </si>
  <si>
    <t>06:13:56</t>
  </si>
  <si>
    <t>William Anderson</t>
  </si>
  <si>
    <t>william.anderson92@outlook.com</t>
  </si>
  <si>
    <t>+1-279-342-4343</t>
  </si>
  <si>
    <t>Canvas Backpack 25L x1 | Insulated Water Bottle 32oz x1</t>
  </si>
  <si>
    <t>#ORD-10628</t>
  </si>
  <si>
    <t>06:49:14</t>
  </si>
  <si>
    <t>abigail.nguyen88@gmail.com</t>
  </si>
  <si>
    <t>+1-501-736-1510</t>
  </si>
  <si>
    <t>#ORD-10629</t>
  </si>
  <si>
    <t>22:00:22</t>
  </si>
  <si>
    <t>Mia White</t>
  </si>
  <si>
    <t>mia.white38@outlook.com</t>
  </si>
  <si>
    <t>+1-587-950-1534</t>
  </si>
  <si>
    <t>#ORD-10630</t>
  </si>
  <si>
    <t>00:35:41</t>
  </si>
  <si>
    <t>James Harris</t>
  </si>
  <si>
    <t>james.harris84@gmail.com</t>
  </si>
  <si>
    <t>+1-524-375-4195</t>
  </si>
  <si>
    <t>Casual Sneakers x1 | Linen Throw Blanket x1 | Air Fryer 5.8Qt x2 | Essential Oil Diffuser x2</t>
  </si>
  <si>
    <t>#ORD-10631</t>
  </si>
  <si>
    <t>07:16:30</t>
  </si>
  <si>
    <t>Chloe Jackson</t>
  </si>
  <si>
    <t>chloe.jackson32@gmail.com</t>
  </si>
  <si>
    <t>+1-773-617-2252</t>
  </si>
  <si>
    <t>Insulated Water Bottle 32oz x1 | Casual Sneakers x3 | Organic Green Tea 100ct x1</t>
  </si>
  <si>
    <t>2024-11-09</t>
  </si>
  <si>
    <t>#ORD-10632</t>
  </si>
  <si>
    <t>15:58:01</t>
  </si>
  <si>
    <t>Alexander Young</t>
  </si>
  <si>
    <t>alexander.young30@gmail.com</t>
  </si>
  <si>
    <t>+1-466-914-5700</t>
  </si>
  <si>
    <t>#ORD-10633</t>
  </si>
  <si>
    <t>03:10:58</t>
  </si>
  <si>
    <t>Muhammad Lee</t>
  </si>
  <si>
    <t>muhammad.lee11@gmail.com</t>
  </si>
  <si>
    <t>+1-641-124-3735</t>
  </si>
  <si>
    <t>Linen Throw Blanket x1 | Stainless Steel Cookware Set x1 | Essential Oil Diffuser x1 | Leather Wallet Slim x1 | Classic Fit Polo Shirt x1</t>
  </si>
  <si>
    <t>#ORD-10634</t>
  </si>
  <si>
    <t>14:56:49</t>
  </si>
  <si>
    <t>Ava Rodriguez</t>
  </si>
  <si>
    <t>ava.rodriguez68@outlook.com</t>
  </si>
  <si>
    <t>+1-275-856-6815</t>
  </si>
  <si>
    <t>2024-05-18</t>
  </si>
  <si>
    <t>#ORD-10635</t>
  </si>
  <si>
    <t>05:54:13</t>
  </si>
  <si>
    <t>Avery Clark</t>
  </si>
  <si>
    <t>avery.clark58@yahoo.com</t>
  </si>
  <si>
    <t>+1-588-428-8185</t>
  </si>
  <si>
    <t>#ORD-10636</t>
  </si>
  <si>
    <t>04:56:28</t>
  </si>
  <si>
    <t>Logan King</t>
  </si>
  <si>
    <t>logan.king76@gmail.com</t>
  </si>
  <si>
    <t>+1-242-933-4451</t>
  </si>
  <si>
    <t>#ORD-10637</t>
  </si>
  <si>
    <t>21:29:44</t>
  </si>
  <si>
    <t>Jack Wright</t>
  </si>
  <si>
    <t>jack.wright74@yahoo.com</t>
  </si>
  <si>
    <t>+1-971-208-4795</t>
  </si>
  <si>
    <t>#ORD-10638</t>
  </si>
  <si>
    <t>13:49:07</t>
  </si>
  <si>
    <t>Elijah Martinez</t>
  </si>
  <si>
    <t>elijah.martinez27@outlook.com</t>
  </si>
  <si>
    <t>+1-488-684-7987</t>
  </si>
  <si>
    <t>#ORD-10639</t>
  </si>
  <si>
    <t>13:41:04</t>
  </si>
  <si>
    <t>avery.wright59@gmail.com</t>
  </si>
  <si>
    <t>+1-562-922-2295</t>
  </si>
  <si>
    <t>Bamboo Sunglasses x1 | Canvas Backpack 25L x2</t>
  </si>
  <si>
    <t>#ORD-10640</t>
  </si>
  <si>
    <t>21:50:28</t>
  </si>
  <si>
    <t>Amelia Jones</t>
  </si>
  <si>
    <t>amelia.jones21@yahoo.com</t>
  </si>
  <si>
    <t>+1-771-776-1583</t>
  </si>
  <si>
    <t>Anti-Aging Serum 1oz x2 | Classic Fit Polo Shirt x1 | USB-C Fast Charger 65W x3</t>
  </si>
  <si>
    <t>#ORD-10641</t>
  </si>
  <si>
    <t>12:30:06</t>
  </si>
  <si>
    <t>Emma Thomas</t>
  </si>
  <si>
    <t>emma.thomas76@gmail.com</t>
  </si>
  <si>
    <t>+1-940-867-4509</t>
  </si>
  <si>
    <t>Hiking Boots x1 | Stainless Steel Cookware Set x2</t>
  </si>
  <si>
    <t>#ORD-10642</t>
  </si>
  <si>
    <t>04:09:08</t>
  </si>
  <si>
    <t>emma.lewis63@yahoo.com</t>
  </si>
  <si>
    <t>+1-437-996-5786</t>
  </si>
  <si>
    <t>#ORD-10643</t>
  </si>
  <si>
    <t>16:40:22</t>
  </si>
  <si>
    <t>Michael Allen</t>
  </si>
  <si>
    <t>michael.allen81@gmail.com</t>
  </si>
  <si>
    <t>+1-318-280-8614</t>
  </si>
  <si>
    <t>Yoga Mat Premium x1 | Smart LED Desk Lamp x3</t>
  </si>
  <si>
    <t>#ORD-10644</t>
  </si>
  <si>
    <t>17:35:08</t>
  </si>
  <si>
    <t>abigail.davis90@gmail.com</t>
  </si>
  <si>
    <t>+1-262-675-6295</t>
  </si>
  <si>
    <t>Stainless Steel Cookware Set x2 | Denim Jacket x1 | High-Waist Leggings x1</t>
  </si>
  <si>
    <t>#ORD-10645</t>
  </si>
  <si>
    <t>05:53:39</t>
  </si>
  <si>
    <t>Harper Lee</t>
  </si>
  <si>
    <t>harper.lee51@yahoo.com</t>
  </si>
  <si>
    <t>+1-825-437-3117</t>
  </si>
  <si>
    <t>Hiking Boots x1 | Stainless Steel Cookware Set x2 | Men's Grooming Kit x1 | Casual Sneakers x1</t>
  </si>
  <si>
    <t>#ORD-10646</t>
  </si>
  <si>
    <t>06:17:22</t>
  </si>
  <si>
    <t>Victoria Scott</t>
  </si>
  <si>
    <t>victoria.scott93@gmail.com</t>
  </si>
  <si>
    <t>+1-360-958-9776</t>
  </si>
  <si>
    <t>#ORD-10647</t>
  </si>
  <si>
    <t>17:40:42</t>
  </si>
  <si>
    <t>Henry Anderson</t>
  </si>
  <si>
    <t>henry.anderson21@yahoo.com</t>
  </si>
  <si>
    <t>+1-489-408-1397</t>
  </si>
  <si>
    <t>Casual Sneakers x1 | Wireless Noise-Cancelling Headphones x1</t>
  </si>
  <si>
    <t>#ORD-10648</t>
  </si>
  <si>
    <t>17:52:48</t>
  </si>
  <si>
    <t>Amelia Thomas</t>
  </si>
  <si>
    <t>amelia.thomas35@outlook.com</t>
  </si>
  <si>
    <t>+1-220-115-9875</t>
  </si>
  <si>
    <t>Mechanical Keyboard x2 | Denim Jacket x1</t>
  </si>
  <si>
    <t>#ORD-10649</t>
  </si>
  <si>
    <t>21:52:41</t>
  </si>
  <si>
    <t>victoria.martinez95@yahoo.com</t>
  </si>
  <si>
    <t>+1-682-485-5771</t>
  </si>
  <si>
    <t>Yoga Mat Premium x1 | High-Waist Leggings x1</t>
  </si>
  <si>
    <t>2024-11-23</t>
  </si>
  <si>
    <t>#ORD-10650</t>
  </si>
  <si>
    <t>12:03:28</t>
  </si>
  <si>
    <t>jack.garcia53@yahoo.com</t>
  </si>
  <si>
    <t>+1-429-691-1407</t>
  </si>
  <si>
    <t>Air Fryer 5.8Qt x1 | Casual Sneakers x3</t>
  </si>
  <si>
    <t>#ORD-10651</t>
  </si>
  <si>
    <t>07:28:23</t>
  </si>
  <si>
    <t>henry.anderson48@gmail.com</t>
  </si>
  <si>
    <t>+1-807-355-2374</t>
  </si>
  <si>
    <t>Resistance Band Set x2 | Mechanical Keyboard x3</t>
  </si>
  <si>
    <t>#ORD-10652</t>
  </si>
  <si>
    <t>09:08:03</t>
  </si>
  <si>
    <t>James Sanchez</t>
  </si>
  <si>
    <t>james.sanchez61@outlook.com</t>
  </si>
  <si>
    <t>+1-813-516-1091</t>
  </si>
  <si>
    <t>#ORD-10653</t>
  </si>
  <si>
    <t>13:31:19</t>
  </si>
  <si>
    <t>Elijah Wilson</t>
  </si>
  <si>
    <t>elijah.wilson72@outlook.com</t>
  </si>
  <si>
    <t>+1-732-866-2990</t>
  </si>
  <si>
    <t>Casual Sneakers x1 | Resistance Band Set x1 | Organic Green Tea 100ct x2 | Sunscreen SPF 50 Face x2</t>
  </si>
  <si>
    <t>#ORD-10654</t>
  </si>
  <si>
    <t>17:39:53</t>
  </si>
  <si>
    <t>Mia Gonzalez</t>
  </si>
  <si>
    <t>mia.gonzalez15@gmail.com</t>
  </si>
  <si>
    <t>+1-501-837-5441</t>
  </si>
  <si>
    <t>Essential Oil Diffuser x1 | High-Waist Leggings x1</t>
  </si>
  <si>
    <t>#ORD-10655</t>
  </si>
  <si>
    <t>16:49:48</t>
  </si>
  <si>
    <t>owen.lee48@yahoo.com</t>
  </si>
  <si>
    <t>+1-368-636-8763</t>
  </si>
  <si>
    <t>Running Shoes - Women's x1 | High-Waist Leggings x2</t>
  </si>
  <si>
    <t>#ORD-10656</t>
  </si>
  <si>
    <t>00:55:57</t>
  </si>
  <si>
    <t>emma.lee23@gmail.com</t>
  </si>
  <si>
    <t>+1-481-391-7982</t>
  </si>
  <si>
    <t>Wireless Noise-Cancelling Headphones x1 | Yoga Mat Premium x1 | Sunscreen SPF 50 Face x1 | Running Shoes - Women's x1 | Smart LED Desk Lamp x1</t>
  </si>
  <si>
    <t>#ORD-10657</t>
  </si>
  <si>
    <t>21:56:44</t>
  </si>
  <si>
    <t>Daniel Martin</t>
  </si>
  <si>
    <t>daniel.martin80@outlook.com</t>
  </si>
  <si>
    <t>+1-801-760-7274</t>
  </si>
  <si>
    <t>Anti-Aging Serum 1oz x1 | Running Shoes - Women's x1</t>
  </si>
  <si>
    <t>#ORD-10658</t>
  </si>
  <si>
    <t>07:48:45</t>
  </si>
  <si>
    <t>Muhammad Nguyen</t>
  </si>
  <si>
    <t>muhammad.nguyen76@outlook.com</t>
  </si>
  <si>
    <t>+1-686-995-1004</t>
  </si>
  <si>
    <t>Anti-Aging Serum 1oz x1 | Bamboo Sunglasses x1 | Stainless Steel Cookware Set x1</t>
  </si>
  <si>
    <t>#ORD-10659</t>
  </si>
  <si>
    <t>11:58:11</t>
  </si>
  <si>
    <t>Abigail Jones</t>
  </si>
  <si>
    <t>abigail.jones7@gmail.com</t>
  </si>
  <si>
    <t>+1-923-585-6816</t>
  </si>
  <si>
    <t>#ORD-10660</t>
  </si>
  <si>
    <t>02:33:35</t>
  </si>
  <si>
    <t>Aiden Wright</t>
  </si>
  <si>
    <t>aiden.wright68@gmail.com</t>
  </si>
  <si>
    <t>+1-645-767-6704</t>
  </si>
  <si>
    <t>Running Shoes - Men's x1 | Essential Oil Diffuser x1 | Denim Jacket x1</t>
  </si>
  <si>
    <t>#ORD-10661</t>
  </si>
  <si>
    <t>08:52:30</t>
  </si>
  <si>
    <t>Logan Johnson</t>
  </si>
  <si>
    <t>logan.johnson47@outlook.com</t>
  </si>
  <si>
    <t>+1-652-469-9618</t>
  </si>
  <si>
    <t>Running Shoes - Women's x1 | Scented Soy Candle Set x3</t>
  </si>
  <si>
    <t>#ORD-10662</t>
  </si>
  <si>
    <t>19:30:55</t>
  </si>
  <si>
    <t>Charlotte Smith</t>
  </si>
  <si>
    <t>charlotte.smith40@gmail.com</t>
  </si>
  <si>
    <t>+1-607-144-5145</t>
  </si>
  <si>
    <t>#ORD-10663</t>
  </si>
  <si>
    <t>22:44:29</t>
  </si>
  <si>
    <t>elijah.brown4@outlook.com</t>
  </si>
  <si>
    <t>+1-334-184-7874</t>
  </si>
  <si>
    <t>Stainless Steel Cookware Set x1 | Running Shoes - Men's x2</t>
  </si>
  <si>
    <t>#ORD-10664</t>
  </si>
  <si>
    <t>04:07:01</t>
  </si>
  <si>
    <t>Mason Brown</t>
  </si>
  <si>
    <t>mason.brown82@yahoo.com</t>
  </si>
  <si>
    <t>+1-939-475-9459</t>
  </si>
  <si>
    <t>Canvas Backpack 25L x1 | Running Shoes - Women's x2</t>
  </si>
  <si>
    <t>#ORD-10665</t>
  </si>
  <si>
    <t>10:00:01</t>
  </si>
  <si>
    <t>Emma Sanchez</t>
  </si>
  <si>
    <t>emma.sanchez86@yahoo.com</t>
  </si>
  <si>
    <t>+1-480-674-6745</t>
  </si>
  <si>
    <t>Mechanical Keyboard x1 | Men's Grooming Kit x1 | Hiking Boots x1</t>
  </si>
  <si>
    <t>#ORD-10666</t>
  </si>
  <si>
    <t>06:46:17</t>
  </si>
  <si>
    <t>Mason Perez</t>
  </si>
  <si>
    <t>mason.perez73@yahoo.com</t>
  </si>
  <si>
    <t>+1-422-753-7136</t>
  </si>
  <si>
    <t>Smart LED Desk Lamp x1 | Bamboo Sunglasses x2</t>
  </si>
  <si>
    <t>#ORD-10667</t>
  </si>
  <si>
    <t>10:21:37</t>
  </si>
  <si>
    <t>Sebastian Garcia</t>
  </si>
  <si>
    <t>sebastian.garcia93@yahoo.com</t>
  </si>
  <si>
    <t>+1-343-678-6169</t>
  </si>
  <si>
    <t>Leather Wallet Slim x1 | Canvas Backpack 25L x2</t>
  </si>
  <si>
    <t>#ORD-10668</t>
  </si>
  <si>
    <t>08:54:29</t>
  </si>
  <si>
    <t>sofia.anderson25@gmail.com</t>
  </si>
  <si>
    <t>+1-660-949-3793</t>
  </si>
  <si>
    <t>#ORD-10669</t>
  </si>
  <si>
    <t>16:51:41</t>
  </si>
  <si>
    <t>olivia.hill20@yahoo.com</t>
  </si>
  <si>
    <t>+1-725-891-4452</t>
  </si>
  <si>
    <t>#ORD-10670</t>
  </si>
  <si>
    <t>18:39:25</t>
  </si>
  <si>
    <t>Harper Wilson</t>
  </si>
  <si>
    <t>harper.wilson34@gmail.com</t>
  </si>
  <si>
    <t>+1-918-207-6879</t>
  </si>
  <si>
    <t>Essential Oil Diffuser x1 | Running Shoes - Men's x1</t>
  </si>
  <si>
    <t>#ORD-10671</t>
  </si>
  <si>
    <t>2024-09-08</t>
  </si>
  <si>
    <t>14:41:29</t>
  </si>
  <si>
    <t>emma.hernandez61@gmail.com</t>
  </si>
  <si>
    <t>+1-684-954-4990</t>
  </si>
  <si>
    <t>Running Shoes - Men's x1 | Bamboo Sunglasses x1 | Insulated Water Bottle 32oz x2 | Yoga Mat Premium x1</t>
  </si>
  <si>
    <t>#ORD-10672</t>
  </si>
  <si>
    <t>19:01:04</t>
  </si>
  <si>
    <t>Harper White</t>
  </si>
  <si>
    <t>harper.white44@gmail.com</t>
  </si>
  <si>
    <t>+1-807-129-3687</t>
  </si>
  <si>
    <t>#ORD-10673</t>
  </si>
  <si>
    <t>12:49:49</t>
  </si>
  <si>
    <t>Scarlett Hernandez</t>
  </si>
  <si>
    <t>scarlett.hernandez39@outlook.com</t>
  </si>
  <si>
    <t>+1-984-244-6670</t>
  </si>
  <si>
    <t>2024-07-25</t>
  </si>
  <si>
    <t>#ORD-10674</t>
  </si>
  <si>
    <t>06:42:57</t>
  </si>
  <si>
    <t>Sebastian Sanchez</t>
  </si>
  <si>
    <t>sebastian.sanchez59@gmail.com</t>
  </si>
  <si>
    <t>+1-901-668-7131</t>
  </si>
  <si>
    <t>#ORD-10675</t>
  </si>
  <si>
    <t>12:46:42</t>
  </si>
  <si>
    <t>Emma Young</t>
  </si>
  <si>
    <t>emma.young45@gmail.com</t>
  </si>
  <si>
    <t>+1-331-425-3187</t>
  </si>
  <si>
    <t>Sunscreen SPF 50 Face x2 | Running Shoes - Women's x1</t>
  </si>
  <si>
    <t>#ORD-10676</t>
  </si>
  <si>
    <t>21:29:18</t>
  </si>
  <si>
    <t>Henry Lee</t>
  </si>
  <si>
    <t>henry.lee37@outlook.com</t>
  </si>
  <si>
    <t>+1-570-448-9215</t>
  </si>
  <si>
    <t>Coffee Maker Programmable x1 | USB-C Fast Charger 65W x1</t>
  </si>
  <si>
    <t>#ORD-10677</t>
  </si>
  <si>
    <t>00:12:18</t>
  </si>
  <si>
    <t>Emma Green</t>
  </si>
  <si>
    <t>emma.green97@gmail.com</t>
  </si>
  <si>
    <t>+1-354-391-6096</t>
  </si>
  <si>
    <t>Mechanical Keyboard x1 | Stainless Steel Cookware Set x1</t>
  </si>
  <si>
    <t>#ORD-10678</t>
  </si>
  <si>
    <t>12:19:48</t>
  </si>
  <si>
    <t>Elizabeth Young</t>
  </si>
  <si>
    <t>elizabeth.young34@yahoo.com</t>
  </si>
  <si>
    <t>+1-212-264-6226</t>
  </si>
  <si>
    <t>#ORD-10679</t>
  </si>
  <si>
    <t>22:01:05</t>
  </si>
  <si>
    <t>Isabella Nguyen</t>
  </si>
  <si>
    <t>isabella.nguyen50@yahoo.com</t>
  </si>
  <si>
    <t>+1-573-214-3930</t>
  </si>
  <si>
    <t>Protein Powder Chocolate 2lb x1 | Multivitamin Daily Pack x1 | Classic Fit Polo Shirt x1 | Portable Bluetooth Speaker x1</t>
  </si>
  <si>
    <t>#ORD-10680</t>
  </si>
  <si>
    <t>16:50:29</t>
  </si>
  <si>
    <t>jack.scott50@yahoo.com</t>
  </si>
  <si>
    <t>+1-645-149-8614</t>
  </si>
  <si>
    <t>#ORD-10681</t>
  </si>
  <si>
    <t>10:43:08</t>
  </si>
  <si>
    <t>evelyn.williams63@gmail.com</t>
  </si>
  <si>
    <t>+1-851-136-2829</t>
  </si>
  <si>
    <t>Anti-Aging Serum 1oz x1 | Insulated Water Bottle 32oz x1 | Hiking Boots x2 | Multivitamin Daily Pack x1</t>
  </si>
  <si>
    <t>#ORD-10682</t>
  </si>
  <si>
    <t>01:17:45</t>
  </si>
  <si>
    <t>Emily Williams</t>
  </si>
  <si>
    <t>emily.williams95@gmail.com</t>
  </si>
  <si>
    <t>+1-905-732-4999</t>
  </si>
  <si>
    <t>#ORD-10683</t>
  </si>
  <si>
    <t>18:42:15</t>
  </si>
  <si>
    <t>Owen Nguyen</t>
  </si>
  <si>
    <t>owen.nguyen6@gmail.com</t>
  </si>
  <si>
    <t>+1-610-122-4013</t>
  </si>
  <si>
    <t>#ORD-10684</t>
  </si>
  <si>
    <t>17:07:41</t>
  </si>
  <si>
    <t>Harper Garcia</t>
  </si>
  <si>
    <t>harper.garcia56@outlook.com</t>
  </si>
  <si>
    <t>+1-420-878-8158</t>
  </si>
  <si>
    <t>#ORD-10685</t>
  </si>
  <si>
    <t>07:27:04</t>
  </si>
  <si>
    <t>Elijah Lopez</t>
  </si>
  <si>
    <t>elijah.lopez65@outlook.com</t>
  </si>
  <si>
    <t>+1-673-713-6212</t>
  </si>
  <si>
    <t>#ORD-10686</t>
  </si>
  <si>
    <t>10:31:59</t>
  </si>
  <si>
    <t>sophia.anderson3@yahoo.com</t>
  </si>
  <si>
    <t>+1-771-112-6618</t>
  </si>
  <si>
    <t>#ORD-10687</t>
  </si>
  <si>
    <t>19:10:29</t>
  </si>
  <si>
    <t>muhammad.lee57@gmail.com</t>
  </si>
  <si>
    <t>+1-412-865-9676</t>
  </si>
  <si>
    <t>Running Shoes - Women's x1 | Coffee Maker Programmable x1 | Sunscreen SPF 50 Face x1</t>
  </si>
  <si>
    <t>#ORD-10688</t>
  </si>
  <si>
    <t>22:48:30</t>
  </si>
  <si>
    <t>Alexander Martin</t>
  </si>
  <si>
    <t>alexander.martin97@gmail.com</t>
  </si>
  <si>
    <t>+1-961-602-4845</t>
  </si>
  <si>
    <t>Mechanical Keyboard x1 | Scented Soy Candle Set x1</t>
  </si>
  <si>
    <t>#ORD-10689</t>
  </si>
  <si>
    <t>15:55:02</t>
  </si>
  <si>
    <t>Elizabeth Scott</t>
  </si>
  <si>
    <t>elizabeth.scott49@outlook.com</t>
  </si>
  <si>
    <t>+1-763-518-6767</t>
  </si>
  <si>
    <t>#ORD-10690</t>
  </si>
  <si>
    <t>05:34:38</t>
  </si>
  <si>
    <t>Lucas Clark</t>
  </si>
  <si>
    <t>lucas.clark77@gmail.com</t>
  </si>
  <si>
    <t>+1-493-945-8363</t>
  </si>
  <si>
    <t>#ORD-10691</t>
  </si>
  <si>
    <t>06:54:52</t>
  </si>
  <si>
    <t>mia.lopez37@gmail.com</t>
  </si>
  <si>
    <t>+1-393-751-1475</t>
  </si>
  <si>
    <t>#ORD-10692</t>
  </si>
  <si>
    <t>20:22:49</t>
  </si>
  <si>
    <t>benjamin.anderson79@outlook.com</t>
  </si>
  <si>
    <t>+1-960-715-7378</t>
  </si>
  <si>
    <t>Multivitamin Daily Pack x1 | Wireless Noise-Cancelling Headphones x1</t>
  </si>
  <si>
    <t>#ORD-10693</t>
  </si>
  <si>
    <t>07:55:43</t>
  </si>
  <si>
    <t>William King</t>
  </si>
  <si>
    <t>william.king25@yahoo.com</t>
  </si>
  <si>
    <t>+1-791-572-8523</t>
  </si>
  <si>
    <t>Casual Sneakers x1 | Running Shoes - Men's x2</t>
  </si>
  <si>
    <t>#ORD-10694</t>
  </si>
  <si>
    <t>06:20:28</t>
  </si>
  <si>
    <t>oliver.flores31@outlook.com</t>
  </si>
  <si>
    <t>+1-898-793-7657</t>
  </si>
  <si>
    <t>High-Waist Leggings x2 | Scented Soy Candle Set x2</t>
  </si>
  <si>
    <t>#ORD-10695</t>
  </si>
  <si>
    <t>23:33:24</t>
  </si>
  <si>
    <t>Owen Young</t>
  </si>
  <si>
    <t>owen.young50@gmail.com</t>
  </si>
  <si>
    <t>+1-942-887-1653</t>
  </si>
  <si>
    <t>Leather Wallet Slim x2 | Sunscreen SPF 50 Face x1 | Coffee Maker Programmable x3 | Smart LED Desk Lamp x2</t>
  </si>
  <si>
    <t>#ORD-10696</t>
  </si>
  <si>
    <t>19:19:09</t>
  </si>
  <si>
    <t>alexander.sanchez66@yahoo.com</t>
  </si>
  <si>
    <t>+1-448-914-8906</t>
  </si>
  <si>
    <t>#ORD-10697</t>
  </si>
  <si>
    <t>05:06:27</t>
  </si>
  <si>
    <t>Lucas Taylor</t>
  </si>
  <si>
    <t>lucas.taylor43@yahoo.com</t>
  </si>
  <si>
    <t>+1-236-879-3294</t>
  </si>
  <si>
    <t>Classic Fit Polo Shirt x2 | Casual Sneakers x1</t>
  </si>
  <si>
    <t>#ORD-10698</t>
  </si>
  <si>
    <t>00:34:58</t>
  </si>
  <si>
    <t>james.wright4@gmail.com</t>
  </si>
  <si>
    <t>+1-961-924-3106</t>
  </si>
  <si>
    <t>Sunscreen SPF 50 Face x1 | Yoga Mat Premium x2</t>
  </si>
  <si>
    <t>#ORD-10699</t>
  </si>
  <si>
    <t>12:21:00</t>
  </si>
  <si>
    <t>James Flores</t>
  </si>
  <si>
    <t>james.flores50@gmail.com</t>
  </si>
  <si>
    <t>+1-688-733-3791</t>
  </si>
  <si>
    <t>#ORD-10700</t>
  </si>
  <si>
    <t>09:18:43</t>
  </si>
  <si>
    <t>Emily Martinez</t>
  </si>
  <si>
    <t>emily.martinez65@gmail.com</t>
  </si>
  <si>
    <t>+1-430-416-4382</t>
  </si>
  <si>
    <t>#ORD-10701</t>
  </si>
  <si>
    <t>10:24:28</t>
  </si>
  <si>
    <t>Amelia Martinez</t>
  </si>
  <si>
    <t>amelia.martinez78@outlook.com</t>
  </si>
  <si>
    <t>+1-959-307-6956</t>
  </si>
  <si>
    <t>#ORD-10702</t>
  </si>
  <si>
    <t>10:19:01</t>
  </si>
  <si>
    <t>olivia.sanchez13@outlook.com</t>
  </si>
  <si>
    <t>+1-906-766-5015</t>
  </si>
  <si>
    <t>Coffee Maker Programmable x2 | Canvas Backpack 25L x2</t>
  </si>
  <si>
    <t>#ORD-10703</t>
  </si>
  <si>
    <t>18:16:08</t>
  </si>
  <si>
    <t>Amelia Walker</t>
  </si>
  <si>
    <t>amelia.walker6@yahoo.com</t>
  </si>
  <si>
    <t>+1-799-879-8819</t>
  </si>
  <si>
    <t>#ORD-10704</t>
  </si>
  <si>
    <t>04:25:45</t>
  </si>
  <si>
    <t>sebastian.miller7@gmail.com</t>
  </si>
  <si>
    <t>+1-698-407-1157</t>
  </si>
  <si>
    <t>#ORD-10705</t>
  </si>
  <si>
    <t>13:43:15</t>
  </si>
  <si>
    <t>Daniel Lewis</t>
  </si>
  <si>
    <t>daniel.lewis15@yahoo.com</t>
  </si>
  <si>
    <t>+1-846-280-6384</t>
  </si>
  <si>
    <t>#ORD-10706</t>
  </si>
  <si>
    <t>19:27:29</t>
  </si>
  <si>
    <t>Scarlett Young</t>
  </si>
  <si>
    <t>scarlett.young37@yahoo.com</t>
  </si>
  <si>
    <t>+1-206-426-9348</t>
  </si>
  <si>
    <t>Resistance Band Set x1 | Hiking Boots x1</t>
  </si>
  <si>
    <t>#ORD-10707</t>
  </si>
  <si>
    <t>18:40:15</t>
  </si>
  <si>
    <t>Ella Allen</t>
  </si>
  <si>
    <t>ella.allen23@gmail.com</t>
  </si>
  <si>
    <t>+1-514-613-6003</t>
  </si>
  <si>
    <t>Smart LED Desk Lamp x2 | Bamboo Sunglasses x1</t>
  </si>
  <si>
    <t>#ORD-10708</t>
  </si>
  <si>
    <t>16:03:46</t>
  </si>
  <si>
    <t>Abigail Wright</t>
  </si>
  <si>
    <t>abigail.wright14@outlook.com</t>
  </si>
  <si>
    <t>+1-869-709-7830</t>
  </si>
  <si>
    <t>Mechanical Keyboard x1 | Resistance Band Set x2</t>
  </si>
  <si>
    <t>#ORD-10709</t>
  </si>
  <si>
    <t>12:42:44</t>
  </si>
  <si>
    <t>elijah.anderson34@gmail.com</t>
  </si>
  <si>
    <t>+1-205-880-7620</t>
  </si>
  <si>
    <t>Insulated Water Bottle 32oz x1 | Mechanical Keyboard x1 | Yoga Mat Premium x2</t>
  </si>
  <si>
    <t>#ORD-10710</t>
  </si>
  <si>
    <t>21:24:40</t>
  </si>
  <si>
    <t>Noah Clark</t>
  </si>
  <si>
    <t>noah.clark83@outlook.com</t>
  </si>
  <si>
    <t>+1-529-537-7265</t>
  </si>
  <si>
    <t>#ORD-10711</t>
  </si>
  <si>
    <t>11:45:26</t>
  </si>
  <si>
    <t>Abigail Torres</t>
  </si>
  <si>
    <t>abigail.torres95@gmail.com</t>
  </si>
  <si>
    <t>+1-247-899-7390</t>
  </si>
  <si>
    <t>Organic Green Tea 100ct x1 | Canvas Backpack 25L x1</t>
  </si>
  <si>
    <t>#ORD-10712</t>
  </si>
  <si>
    <t>19:01:32</t>
  </si>
  <si>
    <t>Michael Thomas</t>
  </si>
  <si>
    <t>michael.thomas78@yahoo.com</t>
  </si>
  <si>
    <t>+1-355-994-3464</t>
  </si>
  <si>
    <t>Hiking Boots x1 | Coffee Maker Programmable x3</t>
  </si>
  <si>
    <t>#ORD-10713</t>
  </si>
  <si>
    <t>07:42:35</t>
  </si>
  <si>
    <t>daniel.martin26@yahoo.com</t>
  </si>
  <si>
    <t>+1-569-891-8304</t>
  </si>
  <si>
    <t>Classic Fit Polo Shirt x1 | Anti-Aging Serum 1oz x1</t>
  </si>
  <si>
    <t>#ORD-10714</t>
  </si>
  <si>
    <t>15:59:02</t>
  </si>
  <si>
    <t>lucas.lopez60@gmail.com</t>
  </si>
  <si>
    <t>+1-857-520-8001</t>
  </si>
  <si>
    <t>Anti-Aging Serum 1oz x3</t>
  </si>
  <si>
    <t>#ORD-10715</t>
  </si>
  <si>
    <t>22:37:29</t>
  </si>
  <si>
    <t>Henry Allen</t>
  </si>
  <si>
    <t>henry.allen7@yahoo.com</t>
  </si>
  <si>
    <t>+1-778-194-2840</t>
  </si>
  <si>
    <t>#ORD-10716</t>
  </si>
  <si>
    <t>06:17:38</t>
  </si>
  <si>
    <t>Grace Hernandez</t>
  </si>
  <si>
    <t>grace.hernandez66@yahoo.com</t>
  </si>
  <si>
    <t>+1-274-286-6567</t>
  </si>
  <si>
    <t>Essential Oil Diffuser x2 | Running Shoes - Women's x2</t>
  </si>
  <si>
    <t>#ORD-10717</t>
  </si>
  <si>
    <t>09:46:50</t>
  </si>
  <si>
    <t>Sebastian Wright</t>
  </si>
  <si>
    <t>sebastian.wright89@outlook.com</t>
  </si>
  <si>
    <t>+1-428-698-6351</t>
  </si>
  <si>
    <t>#ORD-10718</t>
  </si>
  <si>
    <t>01:09:56</t>
  </si>
  <si>
    <t>grace.walker86@gmail.com</t>
  </si>
  <si>
    <t>+1-226-646-1646</t>
  </si>
  <si>
    <t>Insulated Water Bottle 32oz x2 | Leather Wallet Slim x2</t>
  </si>
  <si>
    <t>#ORD-10719</t>
  </si>
  <si>
    <t>11:08:48</t>
  </si>
  <si>
    <t>isabella.scott9@gmail.com</t>
  </si>
  <si>
    <t>+1-326-954-7145</t>
  </si>
  <si>
    <t>Anti-Aging Serum 1oz x1 | Running Shoes - Women's x1 | Yoga Mat Premium x3 | Running Shoes - Men's x1</t>
  </si>
  <si>
    <t>#ORD-10720</t>
  </si>
  <si>
    <t>02:42:37</t>
  </si>
  <si>
    <t>Liam Robinson</t>
  </si>
  <si>
    <t>liam.robinson96@yahoo.com</t>
  </si>
  <si>
    <t>+1-366-874-4434</t>
  </si>
  <si>
    <t>#ORD-10721</t>
  </si>
  <si>
    <t>01:31:54</t>
  </si>
  <si>
    <t>Mason Allen</t>
  </si>
  <si>
    <t>mason.allen78@gmail.com</t>
  </si>
  <si>
    <t>+1-216-107-7226</t>
  </si>
  <si>
    <t>#ORD-10722</t>
  </si>
  <si>
    <t>09:14:20</t>
  </si>
  <si>
    <t>Sofia Sanchez</t>
  </si>
  <si>
    <t>sofia.sanchez13@gmail.com</t>
  </si>
  <si>
    <t>+1-344-967-5079</t>
  </si>
  <si>
    <t>Multivitamin Daily Pack x1 | Canvas Backpack 25L x3 | Essential Oil Diffuser x1</t>
  </si>
  <si>
    <t>#ORD-10723</t>
  </si>
  <si>
    <t>10:58:18</t>
  </si>
  <si>
    <t>Logan Nguyen</t>
  </si>
  <si>
    <t>logan.nguyen17@yahoo.com</t>
  </si>
  <si>
    <t>+1-355-859-3975</t>
  </si>
  <si>
    <t>Portable Bluetooth Speaker x1 | Scented Soy Candle Set x2 | High-Waist Leggings x1</t>
  </si>
  <si>
    <t>#ORD-10724</t>
  </si>
  <si>
    <t>06:08:04</t>
  </si>
  <si>
    <t>Alexander Davis</t>
  </si>
  <si>
    <t>alexander.davis21@gmail.com</t>
  </si>
  <si>
    <t>+1-235-852-3364</t>
  </si>
  <si>
    <t>#ORD-10725</t>
  </si>
  <si>
    <t>22:05:37</t>
  </si>
  <si>
    <t>Sofia Williams</t>
  </si>
  <si>
    <t>sofia.williams49@outlook.com</t>
  </si>
  <si>
    <t>+1-675-525-9793</t>
  </si>
  <si>
    <t>#ORD-10726</t>
  </si>
  <si>
    <t>22:54:39</t>
  </si>
  <si>
    <t>avery.rodriguez78@yahoo.com</t>
  </si>
  <si>
    <t>+1-966-951-4215</t>
  </si>
  <si>
    <t>Leather Wallet Slim x1 | Hiking Boots x1</t>
  </si>
  <si>
    <t>#ORD-10727</t>
  </si>
  <si>
    <t>00:16:54</t>
  </si>
  <si>
    <t>Isabella Anderson</t>
  </si>
  <si>
    <t>isabella.anderson17@yahoo.com</t>
  </si>
  <si>
    <t>+1-536-827-8571</t>
  </si>
  <si>
    <t>#ORD-10728</t>
  </si>
  <si>
    <t>08:14:49</t>
  </si>
  <si>
    <t>daniel.wright74@yahoo.com</t>
  </si>
  <si>
    <t>+1-386-114-3342</t>
  </si>
  <si>
    <t>#ORD-10729</t>
  </si>
  <si>
    <t>04:14:05</t>
  </si>
  <si>
    <t>olivia.thomas51@gmail.com</t>
  </si>
  <si>
    <t>+1-650-220-5576</t>
  </si>
  <si>
    <t>Canvas Backpack 25L x1 | Insulated Water Bottle 32oz x2</t>
  </si>
  <si>
    <t>#ORD-10730</t>
  </si>
  <si>
    <t>09:40:40</t>
  </si>
  <si>
    <t>Scarlett Perez</t>
  </si>
  <si>
    <t>scarlett.perez24@gmail.com</t>
  </si>
  <si>
    <t>+1-329-196-4721</t>
  </si>
  <si>
    <t>Classic Fit Polo Shirt x1 | Coffee Maker Programmable x1 | Organic Green Tea 100ct x1</t>
  </si>
  <si>
    <t>#ORD-10731</t>
  </si>
  <si>
    <t>00:05:34</t>
  </si>
  <si>
    <t>Sebastian Davis</t>
  </si>
  <si>
    <t>sebastian.davis71@yahoo.com</t>
  </si>
  <si>
    <t>+1-345-960-4634</t>
  </si>
  <si>
    <t>#ORD-10732</t>
  </si>
  <si>
    <t>09:07:56</t>
  </si>
  <si>
    <t>Liam Gonzalez</t>
  </si>
  <si>
    <t>liam.gonzalez96@gmail.com</t>
  </si>
  <si>
    <t>+1-302-796-3713</t>
  </si>
  <si>
    <t>Linen Throw Blanket x1 | Canvas Backpack 25L x2 | Air Fryer 5.8Qt x1</t>
  </si>
  <si>
    <t>#ORD-10733</t>
  </si>
  <si>
    <t>18:29:41</t>
  </si>
  <si>
    <t>benjamin.anderson97@outlook.com</t>
  </si>
  <si>
    <t>+1-679-429-3230</t>
  </si>
  <si>
    <t>#ORD-10734</t>
  </si>
  <si>
    <t>01:44:08</t>
  </si>
  <si>
    <t>aiden.smith33@outlook.com</t>
  </si>
  <si>
    <t>+1-805-298-5072</t>
  </si>
  <si>
    <t>Scented Soy Candle Set x1 | USB-C Fast Charger 65W x1 | Portable Bluetooth Speaker x2 | Classic Fit Polo Shirt x2</t>
  </si>
  <si>
    <t>#ORD-10735</t>
  </si>
  <si>
    <t>21:41:49</t>
  </si>
  <si>
    <t>emily.jones36@gmail.com</t>
  </si>
  <si>
    <t>+1-852-220-9529</t>
  </si>
  <si>
    <t>#ORD-10736</t>
  </si>
  <si>
    <t>11:34:26</t>
  </si>
  <si>
    <t>aiden.wright99@yahoo.com</t>
  </si>
  <si>
    <t>+1-241-490-5185</t>
  </si>
  <si>
    <t>#ORD-10737</t>
  </si>
  <si>
    <t>15:26:56</t>
  </si>
  <si>
    <t>mason.walker75@gmail.com</t>
  </si>
  <si>
    <t>+1-880-606-8085</t>
  </si>
  <si>
    <t>High-Waist Leggings x2 | Stainless Steel Cookware Set x1</t>
  </si>
  <si>
    <t>#ORD-10738</t>
  </si>
  <si>
    <t>04:39:25</t>
  </si>
  <si>
    <t>Sofia Brown</t>
  </si>
  <si>
    <t>sofia.brown14@yahoo.com</t>
  </si>
  <si>
    <t>+1-448-699-9109</t>
  </si>
  <si>
    <t>Leather Wallet Slim x1 | Hiking Boots x1 | Essential Oil Diffuser x2</t>
  </si>
  <si>
    <t>#ORD-10739</t>
  </si>
  <si>
    <t>06:43:11</t>
  </si>
  <si>
    <t>amelia.hill86@gmail.com</t>
  </si>
  <si>
    <t>+1-297-220-4909</t>
  </si>
  <si>
    <t>Stainless Steel Cookware Set x2 | Coffee Maker Programmable x1 | Scented Soy Candle Set x1</t>
  </si>
  <si>
    <t>#ORD-10740</t>
  </si>
  <si>
    <t>21:58:13</t>
  </si>
  <si>
    <t>Alexander Hill</t>
  </si>
  <si>
    <t>alexander.hill91@yahoo.com</t>
  </si>
  <si>
    <t>+1-843-862-8074</t>
  </si>
  <si>
    <t>#ORD-10741</t>
  </si>
  <si>
    <t>18:09:01</t>
  </si>
  <si>
    <t>Liam Wilson</t>
  </si>
  <si>
    <t>liam.wilson24@gmail.com</t>
  </si>
  <si>
    <t>+1-483-556-1783</t>
  </si>
  <si>
    <t>#ORD-10742</t>
  </si>
  <si>
    <t>05:16:13</t>
  </si>
  <si>
    <t>abigail.walker82@gmail.com</t>
  </si>
  <si>
    <t>+1-711-977-2456</t>
  </si>
  <si>
    <t>Coffee Maker Programmable x2</t>
  </si>
  <si>
    <t>#ORD-10743</t>
  </si>
  <si>
    <t>09:06:53</t>
  </si>
  <si>
    <t>muhammad.thompson69@outlook.com</t>
  </si>
  <si>
    <t>+1-407-371-8953</t>
  </si>
  <si>
    <t>#ORD-10744</t>
  </si>
  <si>
    <t>10:56:11</t>
  </si>
  <si>
    <t>Emily Perez</t>
  </si>
  <si>
    <t>emily.perez57@outlook.com</t>
  </si>
  <si>
    <t>+1-295-192-7629</t>
  </si>
  <si>
    <t>#ORD-10745</t>
  </si>
  <si>
    <t>2024-12-23</t>
  </si>
  <si>
    <t>18:44:59</t>
  </si>
  <si>
    <t>Harper Martinez</t>
  </si>
  <si>
    <t>harper.martinez44@yahoo.com</t>
  </si>
  <si>
    <t>+1-241-351-9978</t>
  </si>
  <si>
    <t>Canvas Backpack 25L x3</t>
  </si>
  <si>
    <t>#ORD-10746</t>
  </si>
  <si>
    <t>22:36:24</t>
  </si>
  <si>
    <t>james.moore64@gmail.com</t>
  </si>
  <si>
    <t>+1-390-968-9496</t>
  </si>
  <si>
    <t>Casual Sneakers x1 | Leather Wallet Slim x1 | Organic Green Tea 100ct x1 | Essential Oil Diffuser x1 | High-Waist Leggings x1</t>
  </si>
  <si>
    <t>#ORD-10747</t>
  </si>
  <si>
    <t>00:36:47</t>
  </si>
  <si>
    <t>Daniel Sanchez</t>
  </si>
  <si>
    <t>daniel.sanchez74@outlook.com</t>
  </si>
  <si>
    <t>+1-753-465-2262</t>
  </si>
  <si>
    <t>High-Waist Leggings x3</t>
  </si>
  <si>
    <t>#ORD-10748</t>
  </si>
  <si>
    <t>01:05:26</t>
  </si>
  <si>
    <t>isabella.lee90@gmail.com</t>
  </si>
  <si>
    <t>+1-934-818-4669</t>
  </si>
  <si>
    <t>#ORD-10749</t>
  </si>
  <si>
    <t>01:15:11</t>
  </si>
  <si>
    <t>sebastian.moore7@gmail.com</t>
  </si>
  <si>
    <t>+1-923-251-2044</t>
  </si>
  <si>
    <t>Multivitamin Daily Pack x3 | USB-C Fast Charger 65W x1</t>
  </si>
  <si>
    <t>#ORD-10750</t>
  </si>
  <si>
    <t>15:13:10</t>
  </si>
  <si>
    <t>emily.jones36@outlook.com</t>
  </si>
  <si>
    <t>+1-438-683-9322</t>
  </si>
  <si>
    <t>#ORD-10751</t>
  </si>
  <si>
    <t>01:15:51</t>
  </si>
  <si>
    <t>sofia.martinez70@outlook.com</t>
  </si>
  <si>
    <t>+1-454-715-3938</t>
  </si>
  <si>
    <t>#ORD-10752</t>
  </si>
  <si>
    <t>13:38:53</t>
  </si>
  <si>
    <t>logan.johnson64@yahoo.com</t>
  </si>
  <si>
    <t>+1-458-611-2486</t>
  </si>
  <si>
    <t>Linen Throw Blanket x2 | Sunscreen SPF 50 Face x1 | Anti-Aging Serum 1oz x1 | Protein Powder Chocolate 2lb x2</t>
  </si>
  <si>
    <t>#ORD-10753</t>
  </si>
  <si>
    <t>08:34:36</t>
  </si>
  <si>
    <t>Logan Taylor</t>
  </si>
  <si>
    <t>logan.taylor26@gmail.com</t>
  </si>
  <si>
    <t>+1-741-112-1076</t>
  </si>
  <si>
    <t>Resistance Band Set x2 | Organic Green Tea 100ct x1</t>
  </si>
  <si>
    <t>#ORD-10754</t>
  </si>
  <si>
    <t>13:43:29</t>
  </si>
  <si>
    <t>abigail.harris4@outlook.com</t>
  </si>
  <si>
    <t>+1-381-551-3908</t>
  </si>
  <si>
    <t>Running Shoes - Men's x1 | Running Shoes - Women's x1 | Essential Oil Diffuser x1</t>
  </si>
  <si>
    <t>#ORD-10755</t>
  </si>
  <si>
    <t>01:24:08</t>
  </si>
  <si>
    <t>scarlett.martinez57@gmail.com</t>
  </si>
  <si>
    <t>+1-545-565-9978</t>
  </si>
  <si>
    <t>Leather Wallet Slim x1 | High-Waist Leggings x1 | Smart LED Desk Lamp x1 | Bamboo Sunglasses x1</t>
  </si>
  <si>
    <t>#ORD-10756</t>
  </si>
  <si>
    <t>00:30:38</t>
  </si>
  <si>
    <t>elizabeth.robinson86@yahoo.com</t>
  </si>
  <si>
    <t>+1-875-824-2618</t>
  </si>
  <si>
    <t>#ORD-10757</t>
  </si>
  <si>
    <t>19:08:29</t>
  </si>
  <si>
    <t>Owen Garcia</t>
  </si>
  <si>
    <t>owen.garcia84@gmail.com</t>
  </si>
  <si>
    <t>+1-841-536-7623</t>
  </si>
  <si>
    <t>Sunscreen SPF 50 Face x1 | Coffee Maker Programmable x2</t>
  </si>
  <si>
    <t>#ORD-10758</t>
  </si>
  <si>
    <t>12:19:08</t>
  </si>
  <si>
    <t>Jack Harris</t>
  </si>
  <si>
    <t>jack.harris63@gmail.com</t>
  </si>
  <si>
    <t>+1-242-292-2461</t>
  </si>
  <si>
    <t>#ORD-10759</t>
  </si>
  <si>
    <t>02:22:30</t>
  </si>
  <si>
    <t>Aiden Hill</t>
  </si>
  <si>
    <t>aiden.hill74@outlook.com</t>
  </si>
  <si>
    <t>+1-956-620-9584</t>
  </si>
  <si>
    <t>#ORD-10760</t>
  </si>
  <si>
    <t>07:29:29</t>
  </si>
  <si>
    <t>logan.king88@outlook.com</t>
  </si>
  <si>
    <t>+1-590-310-2905</t>
  </si>
  <si>
    <t>Running Shoes - Men's x1 | Leather Wallet Slim x1</t>
  </si>
  <si>
    <t>#ORD-10761</t>
  </si>
  <si>
    <t>10:49:11</t>
  </si>
  <si>
    <t>Evelyn Smith</t>
  </si>
  <si>
    <t>evelyn.smith31@outlook.com</t>
  </si>
  <si>
    <t>+1-869-854-5466</t>
  </si>
  <si>
    <t>Protein Powder Chocolate 2lb x2 | Denim Jacket x1 | Casual Sneakers x1 | Insulated Water Bottle 32oz x1 | Bamboo Sunglasses x1</t>
  </si>
  <si>
    <t>#ORD-10762</t>
  </si>
  <si>
    <t>05:55:13</t>
  </si>
  <si>
    <t>sofia.smith53@gmail.com</t>
  </si>
  <si>
    <t>+1-362-910-9004</t>
  </si>
  <si>
    <t>Denim Jacket x1 | Classic Fit Polo Shirt x1 | Stainless Steel Cookware Set x1 | Hiking Boots x1</t>
  </si>
  <si>
    <t>#ORD-10763</t>
  </si>
  <si>
    <t>10:09:58</t>
  </si>
  <si>
    <t>Ava Lopez</t>
  </si>
  <si>
    <t>ava.lopez42@gmail.com</t>
  </si>
  <si>
    <t>+1-979-222-7470</t>
  </si>
  <si>
    <t>#ORD-10764</t>
  </si>
  <si>
    <t>06:12:44</t>
  </si>
  <si>
    <t>charlotte.garcia64@gmail.com</t>
  </si>
  <si>
    <t>+1-985-293-4447</t>
  </si>
  <si>
    <t>Stainless Steel Cookware Set x1 | Smart LED Desk Lamp x1 | Casual Sneakers x1 | Portable Bluetooth Speaker x1 | Denim Jacket x1</t>
  </si>
  <si>
    <t>#ORD-10765</t>
  </si>
  <si>
    <t>09:38:44</t>
  </si>
  <si>
    <t>Abigail Williams</t>
  </si>
  <si>
    <t>abigail.williams2@yahoo.com</t>
  </si>
  <si>
    <t>+1-225-992-8217</t>
  </si>
  <si>
    <t>Insulated Water Bottle 32oz x1 | Organic Green Tea 100ct x1 | Running Shoes - Women's x1 | Leather Wallet Slim x1</t>
  </si>
  <si>
    <t>#ORD-10766</t>
  </si>
  <si>
    <t>13:32:31</t>
  </si>
  <si>
    <t>Ava Thomas</t>
  </si>
  <si>
    <t>ava.thomas68@gmail.com</t>
  </si>
  <si>
    <t>+1-579-139-3350</t>
  </si>
  <si>
    <t>#ORD-10767</t>
  </si>
  <si>
    <t>16:29:27</t>
  </si>
  <si>
    <t>sophia.anderson49@gmail.com</t>
  </si>
  <si>
    <t>+1-785-760-7325</t>
  </si>
  <si>
    <t>Classic Fit Polo Shirt x2 | Linen Throw Blanket x2 | Smart LED Desk Lamp x1</t>
  </si>
  <si>
    <t>#ORD-10768</t>
  </si>
  <si>
    <t>12:22:20</t>
  </si>
  <si>
    <t>Evelyn Green</t>
  </si>
  <si>
    <t>evelyn.green58@yahoo.com</t>
  </si>
  <si>
    <t>+1-852-848-3856</t>
  </si>
  <si>
    <t>Insulated Water Bottle 32oz x1 | Essential Oil Diffuser x2</t>
  </si>
  <si>
    <t>#ORD-10769</t>
  </si>
  <si>
    <t>03:08:53</t>
  </si>
  <si>
    <t>Elizabeth Taylor</t>
  </si>
  <si>
    <t>elizabeth.taylor21@gmail.com</t>
  </si>
  <si>
    <t>+1-328-960-6782</t>
  </si>
  <si>
    <t>#ORD-10770</t>
  </si>
  <si>
    <t>15:51:05</t>
  </si>
  <si>
    <t>Lucas Sanchez</t>
  </si>
  <si>
    <t>lucas.sanchez54@gmail.com</t>
  </si>
  <si>
    <t>+1-422-829-4128</t>
  </si>
  <si>
    <t>#ORD-10771</t>
  </si>
  <si>
    <t>15:54:38</t>
  </si>
  <si>
    <t>Chloe Gonzalez</t>
  </si>
  <si>
    <t>chloe.gonzalez94@outlook.com</t>
  </si>
  <si>
    <t>+1-507-952-7752</t>
  </si>
  <si>
    <t>Canvas Backpack 25L x2 | Classic Fit Polo Shirt x1</t>
  </si>
  <si>
    <t>#ORD-10772</t>
  </si>
  <si>
    <t>05:50:49</t>
  </si>
  <si>
    <t>noah.gonzalez44@yahoo.com</t>
  </si>
  <si>
    <t>+1-621-424-8677</t>
  </si>
  <si>
    <t>Multivitamin Daily Pack x1 | Running Shoes - Men's x1 | Organic Green Tea 100ct x1 | Wireless Noise-Cancelling Headphones x1</t>
  </si>
  <si>
    <t>2024-05-31</t>
  </si>
  <si>
    <t>#ORD-10773</t>
  </si>
  <si>
    <t>08:22:43</t>
  </si>
  <si>
    <t>oliver.rodriguez63@gmail.com</t>
  </si>
  <si>
    <t>+1-292-420-6844</t>
  </si>
  <si>
    <t>Air Fryer 5.8Qt x2 | Men's Grooming Kit x1 | Essential Oil Diffuser x2</t>
  </si>
  <si>
    <t>#ORD-10774</t>
  </si>
  <si>
    <t>02:46:59</t>
  </si>
  <si>
    <t>Charlotte Martinez</t>
  </si>
  <si>
    <t>charlotte.martinez40@yahoo.com</t>
  </si>
  <si>
    <t>+1-355-267-7802</t>
  </si>
  <si>
    <t>Leather Wallet Slim x2</t>
  </si>
  <si>
    <t>#ORD-10775</t>
  </si>
  <si>
    <t>03:05:18</t>
  </si>
  <si>
    <t>mason.scott80@gmail.com</t>
  </si>
  <si>
    <t>+1-299-873-1645</t>
  </si>
  <si>
    <t>Stainless Steel Cookware Set x3 | Sunscreen SPF 50 Face x1</t>
  </si>
  <si>
    <t>#ORD-10776</t>
  </si>
  <si>
    <t>22:14:43</t>
  </si>
  <si>
    <t>isabella.harris49@gmail.com</t>
  </si>
  <si>
    <t>+1-887-680-6633</t>
  </si>
  <si>
    <t>#ORD-10777</t>
  </si>
  <si>
    <t>09:45:49</t>
  </si>
  <si>
    <t>muhammad.garcia48@gmail.com</t>
  </si>
  <si>
    <t>+1-817-918-9105</t>
  </si>
  <si>
    <t>Anti-Aging Serum 1oz x2 | Protein Powder Chocolate 2lb x1</t>
  </si>
  <si>
    <t>#ORD-10778</t>
  </si>
  <si>
    <t>15:45:17</t>
  </si>
  <si>
    <t>Liam Green</t>
  </si>
  <si>
    <t>liam.green76@gmail.com</t>
  </si>
  <si>
    <t>+1-253-764-4912</t>
  </si>
  <si>
    <t>#ORD-10779</t>
  </si>
  <si>
    <t>23:01:15</t>
  </si>
  <si>
    <t>Aiden Taylor</t>
  </si>
  <si>
    <t>aiden.taylor56@gmail.com</t>
  </si>
  <si>
    <t>+1-404-581-7226</t>
  </si>
  <si>
    <t>Classic Fit Polo Shirt x1 | Anti-Aging Serum 1oz x1 | Organic Green Tea 100ct x1</t>
  </si>
  <si>
    <t>#ORD-10780</t>
  </si>
  <si>
    <t>16:34:35</t>
  </si>
  <si>
    <t>Elizabeth Williams</t>
  </si>
  <si>
    <t>elizabeth.williams87@gmail.com</t>
  </si>
  <si>
    <t>+1-397-600-5614</t>
  </si>
  <si>
    <t>#ORD-10781</t>
  </si>
  <si>
    <t>17:38:40</t>
  </si>
  <si>
    <t>Elijah Garcia</t>
  </si>
  <si>
    <t>elijah.garcia58@yahoo.com</t>
  </si>
  <si>
    <t>+1-277-109-1220</t>
  </si>
  <si>
    <t>Canvas Backpack 25L x1 | Air Fryer 5.8Qt x1 | Leather Wallet Slim x2 | Smart LED Desk Lamp x1</t>
  </si>
  <si>
    <t>#ORD-10782</t>
  </si>
  <si>
    <t>22:37:20</t>
  </si>
  <si>
    <t>Muhammad Green</t>
  </si>
  <si>
    <t>muhammad.green20@outlook.com</t>
  </si>
  <si>
    <t>+1-935-193-1062</t>
  </si>
  <si>
    <t>Resistance Band Set x1 | High-Waist Leggings x1</t>
  </si>
  <si>
    <t>#ORD-10783</t>
  </si>
  <si>
    <t>21:37:57</t>
  </si>
  <si>
    <t>Jack Anderson</t>
  </si>
  <si>
    <t>jack.anderson7@yahoo.com</t>
  </si>
  <si>
    <t>+1-389-619-1103</t>
  </si>
  <si>
    <t>Stainless Steel Cookware Set x1 | Denim Jacket x3</t>
  </si>
  <si>
    <t>#ORD-10784</t>
  </si>
  <si>
    <t>11:47:29</t>
  </si>
  <si>
    <t>Ethan Lopez</t>
  </si>
  <si>
    <t>ethan.lopez34@gmail.com</t>
  </si>
  <si>
    <t>+1-604-750-5861</t>
  </si>
  <si>
    <t>Running Shoes - Women's x1 | Sunscreen SPF 50 Face x2</t>
  </si>
  <si>
    <t>#ORD-10785</t>
  </si>
  <si>
    <t>15:29:07</t>
  </si>
  <si>
    <t>victoria.clark82@gmail.com</t>
  </si>
  <si>
    <t>+1-266-163-2028</t>
  </si>
  <si>
    <t>#ORD-10786</t>
  </si>
  <si>
    <t>11:10:10</t>
  </si>
  <si>
    <t>Michael Thompson</t>
  </si>
  <si>
    <t>michael.thompson94@gmail.com</t>
  </si>
  <si>
    <t>+1-894-167-5299</t>
  </si>
  <si>
    <t>USB-C Fast Charger 65W x2 | Anti-Aging Serum 1oz x1 | Classic Fit Polo Shirt x3</t>
  </si>
  <si>
    <t>#ORD-10787</t>
  </si>
  <si>
    <t>14:30:23</t>
  </si>
  <si>
    <t>Abigail Robinson</t>
  </si>
  <si>
    <t>abigail.robinson96@yahoo.com</t>
  </si>
  <si>
    <t>+1-674-989-8608</t>
  </si>
  <si>
    <t>Resistance Band Set x1 | Coffee Maker Programmable x1 | Men's Grooming Kit x1</t>
  </si>
  <si>
    <t>#ORD-10788</t>
  </si>
  <si>
    <t>12:10:06</t>
  </si>
  <si>
    <t>Avery Martinez</t>
  </si>
  <si>
    <t>avery.martinez95@yahoo.com</t>
  </si>
  <si>
    <t>+1-807-288-4555</t>
  </si>
  <si>
    <t>High-Waist Leggings x3 | Resistance Band Set x1 | Protein Powder Chocolate 2lb x1</t>
  </si>
  <si>
    <t>#ORD-10789</t>
  </si>
  <si>
    <t>00:00:20</t>
  </si>
  <si>
    <t>Sophia Johnson</t>
  </si>
  <si>
    <t>sophia.johnson61@gmail.com</t>
  </si>
  <si>
    <t>+1-643-545-3618</t>
  </si>
  <si>
    <t>#ORD-10790</t>
  </si>
  <si>
    <t>13:12:40</t>
  </si>
  <si>
    <t>Michael Brown</t>
  </si>
  <si>
    <t>michael.brown14@gmail.com</t>
  </si>
  <si>
    <t>+1-845-418-8028</t>
  </si>
  <si>
    <t>Scented Soy Candle Set x1 | Yoga Mat Premium x1</t>
  </si>
  <si>
    <t>#ORD-10791</t>
  </si>
  <si>
    <t>23:55:04</t>
  </si>
  <si>
    <t>Benjamin Davis</t>
  </si>
  <si>
    <t>benjamin.davis17@yahoo.com</t>
  </si>
  <si>
    <t>+1-849-587-5596</t>
  </si>
  <si>
    <t>Canvas Backpack 25L x1 | Mechanical Keyboard x1 | Insulated Water Bottle 32oz x1</t>
  </si>
  <si>
    <t>#ORD-10792</t>
  </si>
  <si>
    <t>23:41:55</t>
  </si>
  <si>
    <t>William Perez</t>
  </si>
  <si>
    <t>william.perez43@outlook.com</t>
  </si>
  <si>
    <t>+1-297-493-3430</t>
  </si>
  <si>
    <t>Linen Throw Blanket x2 | Bamboo Sunglasses x1 | Casual Sneakers x2</t>
  </si>
  <si>
    <t>#ORD-10793</t>
  </si>
  <si>
    <t>00:38:13</t>
  </si>
  <si>
    <t>Benjamin Lee</t>
  </si>
  <si>
    <t>benjamin.lee68@gmail.com</t>
  </si>
  <si>
    <t>+1-564-944-8906</t>
  </si>
  <si>
    <t>Men's Grooming Kit x1 | Hiking Boots x1 | USB-C Fast Charger 65W x2 | Organic Green Tea 100ct x2</t>
  </si>
  <si>
    <t>#ORD-10794</t>
  </si>
  <si>
    <t>00:15:38</t>
  </si>
  <si>
    <t>william.martinez35@yahoo.com</t>
  </si>
  <si>
    <t>+1-716-389-5066</t>
  </si>
  <si>
    <t>Coffee Maker Programmable x2 | Running Shoes - Women's x1</t>
  </si>
  <si>
    <t>#ORD-10795</t>
  </si>
  <si>
    <t>07:39:18</t>
  </si>
  <si>
    <t>Elizabeth Lewis</t>
  </si>
  <si>
    <t>elizabeth.lewis2@gmail.com</t>
  </si>
  <si>
    <t>+1-840-491-3571</t>
  </si>
  <si>
    <t>#ORD-10796</t>
  </si>
  <si>
    <t>05:41:23</t>
  </si>
  <si>
    <t>Victoria Robinson</t>
  </si>
  <si>
    <t>victoria.robinson41@gmail.com</t>
  </si>
  <si>
    <t>+1-765-588-7042</t>
  </si>
  <si>
    <t>Running Shoes - Women's x1 | Sunscreen SPF 50 Face x1</t>
  </si>
  <si>
    <t>#ORD-10797</t>
  </si>
  <si>
    <t>21:21:12</t>
  </si>
  <si>
    <t>James Lee</t>
  </si>
  <si>
    <t>james.lee93@gmail.com</t>
  </si>
  <si>
    <t>+1-940-834-3160</t>
  </si>
  <si>
    <t>Essential Oil Diffuser x1 | Resistance Band Set x1</t>
  </si>
  <si>
    <t>#ORD-10798</t>
  </si>
  <si>
    <t>17:04:08</t>
  </si>
  <si>
    <t>Michael Jones</t>
  </si>
  <si>
    <t>michael.jones9@gmail.com</t>
  </si>
  <si>
    <t>+1-610-658-2018</t>
  </si>
  <si>
    <t>Sunscreen SPF 50 Face x1 | Casual Sneakers x1</t>
  </si>
  <si>
    <t>#ORD-10799</t>
  </si>
  <si>
    <t>17:57:19</t>
  </si>
  <si>
    <t>owen.clark51@outlook.com</t>
  </si>
  <si>
    <t>+1-243-143-4588</t>
  </si>
  <si>
    <t>Organic Green Tea 100ct x2 | Running Shoes - Men's x2 | Smart LED Desk Lamp x1</t>
  </si>
  <si>
    <t>#ORD-10800</t>
  </si>
  <si>
    <t>14:05:11</t>
  </si>
  <si>
    <t>amelia.martinez18@yahoo.com</t>
  </si>
  <si>
    <t>+1-404-703-1589</t>
  </si>
  <si>
    <t>Protein Powder Chocolate 2lb x1 | Wireless Noise-Cancelling Headphones x1</t>
  </si>
  <si>
    <t>#ORD-10801</t>
  </si>
  <si>
    <t>13:28:32</t>
  </si>
  <si>
    <t>lucas.anderson63@gmail.com</t>
  </si>
  <si>
    <t>+1-769-483-9370</t>
  </si>
  <si>
    <t>#ORD-10802</t>
  </si>
  <si>
    <t>00:43:52</t>
  </si>
  <si>
    <t>elizabeth.hernandez26@yahoo.com</t>
  </si>
  <si>
    <t>+1-409-289-2846</t>
  </si>
  <si>
    <t>#ORD-10803</t>
  </si>
  <si>
    <t>17:27:52</t>
  </si>
  <si>
    <t>olivia.harris14@outlook.com</t>
  </si>
  <si>
    <t>+1-458-322-9373</t>
  </si>
  <si>
    <t>Men's Grooming Kit x1 | Yoga Mat Premium x1 | Denim Jacket x1</t>
  </si>
  <si>
    <t>#ORD-10804</t>
  </si>
  <si>
    <t>03:20:47</t>
  </si>
  <si>
    <t>Liam Martin</t>
  </si>
  <si>
    <t>liam.martin28@outlook.com</t>
  </si>
  <si>
    <t>+1-774-711-5675</t>
  </si>
  <si>
    <t>Men's Grooming Kit x2 | Protein Powder Chocolate 2lb x1</t>
  </si>
  <si>
    <t>#ORD-10805</t>
  </si>
  <si>
    <t>12:04:39</t>
  </si>
  <si>
    <t>Oliver Jones</t>
  </si>
  <si>
    <t>oliver.jones14@outlook.com</t>
  </si>
  <si>
    <t>+1-254-476-4527</t>
  </si>
  <si>
    <t>#ORD-10806</t>
  </si>
  <si>
    <t>03:15:40</t>
  </si>
  <si>
    <t>Charlotte Lewis</t>
  </si>
  <si>
    <t>charlotte.lewis48@gmail.com</t>
  </si>
  <si>
    <t>+1-851-862-1497</t>
  </si>
  <si>
    <t>Yoga Mat Premium x1 | Classic Fit Polo Shirt x1</t>
  </si>
  <si>
    <t>#ORD-10807</t>
  </si>
  <si>
    <t>04:31:15</t>
  </si>
  <si>
    <t>Ella Lopez</t>
  </si>
  <si>
    <t>ella.lopez15@gmail.com</t>
  </si>
  <si>
    <t>+1-894-486-1489</t>
  </si>
  <si>
    <t>#ORD-10808</t>
  </si>
  <si>
    <t>03:40:35</t>
  </si>
  <si>
    <t>Olivia Allen</t>
  </si>
  <si>
    <t>olivia.allen60@gmail.com</t>
  </si>
  <si>
    <t>+1-887-378-4081</t>
  </si>
  <si>
    <t>Portable Bluetooth Speaker x1 | Anti-Aging Serum 1oz x2</t>
  </si>
  <si>
    <t>#ORD-10809</t>
  </si>
  <si>
    <t>17:30:57</t>
  </si>
  <si>
    <t>oliver.robinson1@yahoo.com</t>
  </si>
  <si>
    <t>+1-683-657-3685</t>
  </si>
  <si>
    <t>Multivitamin Daily Pack x1 | Coffee Maker Programmable x1 | Sunscreen SPF 50 Face x2</t>
  </si>
  <si>
    <t>#ORD-10810</t>
  </si>
  <si>
    <t>06:50:24</t>
  </si>
  <si>
    <t>Alexander White</t>
  </si>
  <si>
    <t>alexander.white71@yahoo.com</t>
  </si>
  <si>
    <t>+1-891-655-7681</t>
  </si>
  <si>
    <t>#ORD-10811</t>
  </si>
  <si>
    <t>10:54:42</t>
  </si>
  <si>
    <t>Alexander Lewis</t>
  </si>
  <si>
    <t>alexander.lewis78@gmail.com</t>
  </si>
  <si>
    <t>+1-549-653-3612</t>
  </si>
  <si>
    <t>#ORD-10812</t>
  </si>
  <si>
    <t>19:02:54</t>
  </si>
  <si>
    <t>chloe.rodriguez27@yahoo.com</t>
  </si>
  <si>
    <t>+1-880-268-4715</t>
  </si>
  <si>
    <t>#ORD-10813</t>
  </si>
  <si>
    <t>23:55:51</t>
  </si>
  <si>
    <t>Muhammad Allen</t>
  </si>
  <si>
    <t>muhammad.allen42@outlook.com</t>
  </si>
  <si>
    <t>+1-716-919-2766</t>
  </si>
  <si>
    <t>Air Fryer 5.8Qt x1 | Anti-Aging Serum 1oz x1 | Denim Jacket x1 | Protein Powder Chocolate 2lb x2</t>
  </si>
  <si>
    <t>#ORD-10814</t>
  </si>
  <si>
    <t>12:34:18</t>
  </si>
  <si>
    <t>Michael Martinez</t>
  </si>
  <si>
    <t>michael.martinez10@yahoo.com</t>
  </si>
  <si>
    <t>+1-994-796-2168</t>
  </si>
  <si>
    <t>#ORD-10815</t>
  </si>
  <si>
    <t>20:16:28</t>
  </si>
  <si>
    <t>Ava Taylor</t>
  </si>
  <si>
    <t>ava.taylor16@gmail.com</t>
  </si>
  <si>
    <t>+1-850-729-1686</t>
  </si>
  <si>
    <t>Wireless Noise-Cancelling Headphones x1 | Sunscreen SPF 50 Face x1</t>
  </si>
  <si>
    <t>#ORD-10816</t>
  </si>
  <si>
    <t>08:03:45</t>
  </si>
  <si>
    <t>michael.williams41@gmail.com</t>
  </si>
  <si>
    <t>+1-227-489-1633</t>
  </si>
  <si>
    <t>Canvas Backpack 25L x1 | High-Waist Leggings x1</t>
  </si>
  <si>
    <t>#ORD-10817</t>
  </si>
  <si>
    <t>06:45:58</t>
  </si>
  <si>
    <t>Michael Garcia</t>
  </si>
  <si>
    <t>michael.garcia33@yahoo.com</t>
  </si>
  <si>
    <t>+1-421-728-7727</t>
  </si>
  <si>
    <t>Essential Oil Diffuser x1 | Bamboo Sunglasses x2 | Smart LED Desk Lamp x1</t>
  </si>
  <si>
    <t>#ORD-10818</t>
  </si>
  <si>
    <t>23:10:34</t>
  </si>
  <si>
    <t>sophia.smith17@outlook.com</t>
  </si>
  <si>
    <t>+1-378-562-5806</t>
  </si>
  <si>
    <t>Organic Green Tea 100ct x1 | USB-C Fast Charger 65W x1 | Air Fryer 5.8Qt x1 | Running Shoes - Men's x3</t>
  </si>
  <si>
    <t>#ORD-10819</t>
  </si>
  <si>
    <t>14:14:27</t>
  </si>
  <si>
    <t>Mia Williams</t>
  </si>
  <si>
    <t>mia.williams77@gmail.com</t>
  </si>
  <si>
    <t>+1-244-409-3992</t>
  </si>
  <si>
    <t>#ORD-10820</t>
  </si>
  <si>
    <t>05:21:31</t>
  </si>
  <si>
    <t>amelia.perez88@yahoo.com</t>
  </si>
  <si>
    <t>+1-708-475-8044</t>
  </si>
  <si>
    <t>#ORD-10821</t>
  </si>
  <si>
    <t>01:38:38</t>
  </si>
  <si>
    <t>Liam Wright</t>
  </si>
  <si>
    <t>liam.wright89@gmail.com</t>
  </si>
  <si>
    <t>+1-880-466-8776</t>
  </si>
  <si>
    <t>#ORD-10822</t>
  </si>
  <si>
    <t>23:54:11</t>
  </si>
  <si>
    <t>henry.king32@outlook.com</t>
  </si>
  <si>
    <t>+1-268-908-4039</t>
  </si>
  <si>
    <t>#ORD-10823</t>
  </si>
  <si>
    <t>14:56:43</t>
  </si>
  <si>
    <t>Daniel Clark</t>
  </si>
  <si>
    <t>daniel.clark72@gmail.com</t>
  </si>
  <si>
    <t>+1-737-781-5356</t>
  </si>
  <si>
    <t>#ORD-10824</t>
  </si>
  <si>
    <t>13:50:27</t>
  </si>
  <si>
    <t>daniel.wright39@yahoo.com</t>
  </si>
  <si>
    <t>+1-597-666-9870</t>
  </si>
  <si>
    <t>Stainless Steel Cookware Set x2</t>
  </si>
  <si>
    <t>#ORD-10825</t>
  </si>
  <si>
    <t>08:32:30</t>
  </si>
  <si>
    <t>ava.martinez17@yahoo.com</t>
  </si>
  <si>
    <t>+1-840-470-4692</t>
  </si>
  <si>
    <t>Air Fryer 5.8Qt x3</t>
  </si>
  <si>
    <t>#ORD-10826</t>
  </si>
  <si>
    <t>03:13:14</t>
  </si>
  <si>
    <t>Harper Clark</t>
  </si>
  <si>
    <t>harper.clark97@gmail.com</t>
  </si>
  <si>
    <t>+1-829-909-9348</t>
  </si>
  <si>
    <t>#ORD-10827</t>
  </si>
  <si>
    <t>03:34:01</t>
  </si>
  <si>
    <t>Sofia Hernandez</t>
  </si>
  <si>
    <t>sofia.hernandez77@yahoo.com</t>
  </si>
  <si>
    <t>+1-484-502-5601</t>
  </si>
  <si>
    <t>#ORD-10828</t>
  </si>
  <si>
    <t>04:42:33</t>
  </si>
  <si>
    <t>Sebastian Perez</t>
  </si>
  <si>
    <t>sebastian.perez69@outlook.com</t>
  </si>
  <si>
    <t>+1-545-193-9022</t>
  </si>
  <si>
    <t>Air Fryer 5.8Qt x2 | Stainless Steel Cookware Set x1 | Protein Powder Chocolate 2lb x1 | Classic Fit Polo Shirt x3</t>
  </si>
  <si>
    <t>#ORD-10829</t>
  </si>
  <si>
    <t>03:54:48</t>
  </si>
  <si>
    <t>muhammad.scott79@yahoo.com</t>
  </si>
  <si>
    <t>+1-892-521-5563</t>
  </si>
  <si>
    <t>Canvas Backpack 25L x1 | Yoga Mat Premium x3 | Scented Soy Candle Set x1 | Air Fryer 5.8Qt x1</t>
  </si>
  <si>
    <t>#ORD-10830</t>
  </si>
  <si>
    <t>20:31:52</t>
  </si>
  <si>
    <t>Harper Flores</t>
  </si>
  <si>
    <t>harper.flores86@outlook.com</t>
  </si>
  <si>
    <t>+1-320-841-5775</t>
  </si>
  <si>
    <t>High-Waist Leggings x1 | Classic Fit Polo Shirt x1 | Sunscreen SPF 50 Face x1</t>
  </si>
  <si>
    <t>2024-12-13</t>
  </si>
  <si>
    <t>#ORD-10831</t>
  </si>
  <si>
    <t>10:55:34</t>
  </si>
  <si>
    <t>oliver.wilson82@yahoo.com</t>
  </si>
  <si>
    <t>+1-585-932-7440</t>
  </si>
  <si>
    <t>Insulated Water Bottle 32oz x1 | Casual Sneakers x1 | Protein Powder Chocolate 2lb x1</t>
  </si>
  <si>
    <t>#ORD-10832</t>
  </si>
  <si>
    <t>20:22:32</t>
  </si>
  <si>
    <t>Emma Jones</t>
  </si>
  <si>
    <t>emma.jones33@yahoo.com</t>
  </si>
  <si>
    <t>+1-647-496-6130</t>
  </si>
  <si>
    <t>Hiking Boots x1 | Air Fryer 5.8Qt x1</t>
  </si>
  <si>
    <t>#ORD-10833</t>
  </si>
  <si>
    <t>04:39:19</t>
  </si>
  <si>
    <t>Mason Rodriguez</t>
  </si>
  <si>
    <t>mason.rodriguez16@gmail.com</t>
  </si>
  <si>
    <t>+1-545-739-5541</t>
  </si>
  <si>
    <t>Portable Bluetooth Speaker x1 | Canvas Backpack 25L x1 | USB-C Fast Charger 65W x2 | Hiking Boots x3 | Smart LED Desk Lamp x1</t>
  </si>
  <si>
    <t>#ORD-10834</t>
  </si>
  <si>
    <t>10:31:51</t>
  </si>
  <si>
    <t>Evelyn Lewis</t>
  </si>
  <si>
    <t>evelyn.lewis30@gmail.com</t>
  </si>
  <si>
    <t>+1-592-308-9875</t>
  </si>
  <si>
    <t>Hiking Boots x1 | Bamboo Sunglasses x2</t>
  </si>
  <si>
    <t>#ORD-10835</t>
  </si>
  <si>
    <t>18:03:28</t>
  </si>
  <si>
    <t>benjamin.johnson12@outlook.com</t>
  </si>
  <si>
    <t>+1-793-981-7335</t>
  </si>
  <si>
    <t>Smart LED Desk Lamp x1 | Casual Sneakers x1 | Canvas Backpack 25L x1</t>
  </si>
  <si>
    <t>2024-04-18</t>
  </si>
  <si>
    <t>#ORD-10836</t>
  </si>
  <si>
    <t>11:37:12</t>
  </si>
  <si>
    <t>Avery Wilson</t>
  </si>
  <si>
    <t>avery.wilson13@yahoo.com</t>
  </si>
  <si>
    <t>+1-647-908-9584</t>
  </si>
  <si>
    <t>#ORD-10837</t>
  </si>
  <si>
    <t>17:30:16</t>
  </si>
  <si>
    <t>muhammad.lee64@yahoo.com</t>
  </si>
  <si>
    <t>+1-614-380-5075</t>
  </si>
  <si>
    <t>Insulated Water Bottle 32oz x2 | Mechanical Keyboard x1</t>
  </si>
  <si>
    <t>#ORD-10838</t>
  </si>
  <si>
    <t>14:34:14</t>
  </si>
  <si>
    <t>evelyn.anderson77@outlook.com</t>
  </si>
  <si>
    <t>+1-291-547-5176</t>
  </si>
  <si>
    <t>Casual Sneakers x1 | Essential Oil Diffuser x2 | Sunscreen SPF 50 Face x1 | USB-C Fast Charger 65W x1</t>
  </si>
  <si>
    <t>#ORD-10839</t>
  </si>
  <si>
    <t>09:34:55</t>
  </si>
  <si>
    <t>Emily Anderson</t>
  </si>
  <si>
    <t>emily.anderson47@yahoo.com</t>
  </si>
  <si>
    <t>+1-924-262-2513</t>
  </si>
  <si>
    <t>#ORD-10840</t>
  </si>
  <si>
    <t>22:57:49</t>
  </si>
  <si>
    <t>benjamin.torres33@gmail.com</t>
  </si>
  <si>
    <t>+1-519-270-9528</t>
  </si>
  <si>
    <t>#ORD-10841</t>
  </si>
  <si>
    <t>03:01:40</t>
  </si>
  <si>
    <t>ava.anderson12@outlook.com</t>
  </si>
  <si>
    <t>+1-991-203-5408</t>
  </si>
  <si>
    <t>Canvas Backpack 25L x1 | Men's Grooming Kit x1 | Running Shoes - Men's x1</t>
  </si>
  <si>
    <t>#ORD-10842</t>
  </si>
  <si>
    <t>11:41:32</t>
  </si>
  <si>
    <t>Logan Scott</t>
  </si>
  <si>
    <t>logan.scott60@yahoo.com</t>
  </si>
  <si>
    <t>+1-716-158-7452</t>
  </si>
  <si>
    <t>#ORD-10843</t>
  </si>
  <si>
    <t>09:02:28</t>
  </si>
  <si>
    <t>Isabella Hernandez</t>
  </si>
  <si>
    <t>isabella.hernandez61@gmail.com</t>
  </si>
  <si>
    <t>+1-365-755-1692</t>
  </si>
  <si>
    <t>#ORD-10844</t>
  </si>
  <si>
    <t>2024-07-24</t>
  </si>
  <si>
    <t>09:38:25</t>
  </si>
  <si>
    <t>Ava Harris</t>
  </si>
  <si>
    <t>ava.harris1@gmail.com</t>
  </si>
  <si>
    <t>+1-969-357-9576</t>
  </si>
  <si>
    <t>Anti-Aging Serum 1oz x1 | Classic Fit Polo Shirt x2 | Protein Powder Chocolate 2lb x2</t>
  </si>
  <si>
    <t>#ORD-10845</t>
  </si>
  <si>
    <t>03:25:40</t>
  </si>
  <si>
    <t>sofia.hernandez64@gmail.com</t>
  </si>
  <si>
    <t>+1-224-422-8982</t>
  </si>
  <si>
    <t>#ORD-10846</t>
  </si>
  <si>
    <t>17:44:55</t>
  </si>
  <si>
    <t>charlotte.johnson56@outlook.com</t>
  </si>
  <si>
    <t>+1-608-577-8621</t>
  </si>
  <si>
    <t>High-Waist Leggings x1 | Classic Fit Polo Shirt x2 | Men's Grooming Kit x1</t>
  </si>
  <si>
    <t>#ORD-10847</t>
  </si>
  <si>
    <t>22:34:54</t>
  </si>
  <si>
    <t>Alexander Wilson</t>
  </si>
  <si>
    <t>alexander.wilson17@gmail.com</t>
  </si>
  <si>
    <t>+1-869-993-8100</t>
  </si>
  <si>
    <t>#ORD-10848</t>
  </si>
  <si>
    <t>17:42:53</t>
  </si>
  <si>
    <t>ava.flores46@outlook.com</t>
  </si>
  <si>
    <t>+1-721-323-9537</t>
  </si>
  <si>
    <t>Canvas Backpack 25L x1 | Stainless Steel Cookware Set x1 | USB-C Fast Charger 65W x1 | Insulated Water Bottle 32oz x1</t>
  </si>
  <si>
    <t>#ORD-10849</t>
  </si>
  <si>
    <t>00:53:05</t>
  </si>
  <si>
    <t>Alexander Johnson</t>
  </si>
  <si>
    <t>alexander.johnson52@gmail.com</t>
  </si>
  <si>
    <t>+1-882-898-9978</t>
  </si>
  <si>
    <t>Scented Soy Candle Set x1 | Resistance Band Set x1</t>
  </si>
  <si>
    <t>#ORD-10850</t>
  </si>
  <si>
    <t>13:23:23</t>
  </si>
  <si>
    <t>chloe.king20@yahoo.com</t>
  </si>
  <si>
    <t>+1-510-112-3178</t>
  </si>
  <si>
    <t>Men's Grooming Kit x1 | Essential Oil Diffuser x1</t>
  </si>
  <si>
    <t>#ORD-10851</t>
  </si>
  <si>
    <t>18:09:07</t>
  </si>
  <si>
    <t>Charlotte Clark</t>
  </si>
  <si>
    <t>charlotte.clark25@gmail.com</t>
  </si>
  <si>
    <t>+1-369-788-9085</t>
  </si>
  <si>
    <t>Multivitamin Daily Pack x3 | Coffee Maker Programmable x1 | Linen Throw Blanket x3 | Hiking Boots x1</t>
  </si>
  <si>
    <t>#ORD-10852</t>
  </si>
  <si>
    <t>16:43:25</t>
  </si>
  <si>
    <t>mason.garcia59@yahoo.com</t>
  </si>
  <si>
    <t>+1-808-896-5018</t>
  </si>
  <si>
    <t>Canvas Backpack 25L x1 | Stainless Steel Cookware Set x2 | Hiking Boots x2 | Linen Throw Blanket x1 | Coffee Maker Programmable x1</t>
  </si>
  <si>
    <t>#ORD-10853</t>
  </si>
  <si>
    <t>00:52:34</t>
  </si>
  <si>
    <t>Amelia Johnson</t>
  </si>
  <si>
    <t>amelia.johnson62@gmail.com</t>
  </si>
  <si>
    <t>+1-428-964-4587</t>
  </si>
  <si>
    <t>Stainless Steel Cookware Set x3 | Men's Grooming Kit x1</t>
  </si>
  <si>
    <t>2025-01-05</t>
  </si>
  <si>
    <t>#ORD-10854</t>
  </si>
  <si>
    <t>10:48:16</t>
  </si>
  <si>
    <t>Oliver Walker</t>
  </si>
  <si>
    <t>oliver.walker20@outlook.com</t>
  </si>
  <si>
    <t>+1-878-167-6143</t>
  </si>
  <si>
    <t>#ORD-10855</t>
  </si>
  <si>
    <t>2024-07-02</t>
  </si>
  <si>
    <t>18:18:09</t>
  </si>
  <si>
    <t>Noah Lewis</t>
  </si>
  <si>
    <t>noah.lewis56@gmail.com</t>
  </si>
  <si>
    <t>+1-363-712-6359</t>
  </si>
  <si>
    <t>Resistance Band Set x1 | Insulated Water Bottle 32oz x3 | Smart LED Desk Lamp x3 | Yoga Mat Premium x1 | Casual Sneakers x1</t>
  </si>
  <si>
    <t>#ORD-10856</t>
  </si>
  <si>
    <t>23:11:13</t>
  </si>
  <si>
    <t>daniel.harris11@gmail.com</t>
  </si>
  <si>
    <t>+1-575-795-6853</t>
  </si>
  <si>
    <t>Wireless Noise-Cancelling Headphones x1 | Mechanical Keyboard x2 | Coffee Maker Programmable x3</t>
  </si>
  <si>
    <t>#ORD-10857</t>
  </si>
  <si>
    <t>02:58:04</t>
  </si>
  <si>
    <t>Chloe Garcia</t>
  </si>
  <si>
    <t>chloe.garcia22@yahoo.com</t>
  </si>
  <si>
    <t>+1-491-241-2064</t>
  </si>
  <si>
    <t>USB-C Fast Charger 65W x3 | Portable Bluetooth Speaker x2 | Scented Soy Candle Set x2 | Wireless Noise-Cancelling Headphones x2 | Denim Jacket x1</t>
  </si>
  <si>
    <t>#ORD-10858</t>
  </si>
  <si>
    <t>09:32:41</t>
  </si>
  <si>
    <t>Sebastian Flores</t>
  </si>
  <si>
    <t>sebastian.flores34@gmail.com</t>
  </si>
  <si>
    <t>+1-663-467-9337</t>
  </si>
  <si>
    <t>Smart LED Desk Lamp x1 | Stainless Steel Cookware Set x1</t>
  </si>
  <si>
    <t>#ORD-10859</t>
  </si>
  <si>
    <t>08:51:41</t>
  </si>
  <si>
    <t>Aiden Jackson</t>
  </si>
  <si>
    <t>aiden.jackson91@yahoo.com</t>
  </si>
  <si>
    <t>+1-260-701-2928</t>
  </si>
  <si>
    <t>#ORD-10860</t>
  </si>
  <si>
    <t>12:31:49</t>
  </si>
  <si>
    <t>James Miller</t>
  </si>
  <si>
    <t>james.miller17@gmail.com</t>
  </si>
  <si>
    <t>+1-509-826-4436</t>
  </si>
  <si>
    <t>#ORD-10861</t>
  </si>
  <si>
    <t>00:25:52</t>
  </si>
  <si>
    <t>Ella Williams</t>
  </si>
  <si>
    <t>ella.williams21@gmail.com</t>
  </si>
  <si>
    <t>+1-926-983-6301</t>
  </si>
  <si>
    <t>#ORD-10862</t>
  </si>
  <si>
    <t>16:46:39</t>
  </si>
  <si>
    <t>avery.rodriguez42@outlook.com</t>
  </si>
  <si>
    <t>+1-542-251-1688</t>
  </si>
  <si>
    <t>#ORD-10863</t>
  </si>
  <si>
    <t>21:51:51</t>
  </si>
  <si>
    <t>Isabella Thomas</t>
  </si>
  <si>
    <t>isabella.thomas78@gmail.com</t>
  </si>
  <si>
    <t>+1-416-251-6447</t>
  </si>
  <si>
    <t>Men's Grooming Kit x2 | Running Shoes - Men's x1 | Multivitamin Daily Pack x2 | Portable Bluetooth Speaker x2</t>
  </si>
  <si>
    <t>#ORD-10864</t>
  </si>
  <si>
    <t>20:34:34</t>
  </si>
  <si>
    <t>Scarlett Moore</t>
  </si>
  <si>
    <t>scarlett.moore51@outlook.com</t>
  </si>
  <si>
    <t>+1-803-742-2028</t>
  </si>
  <si>
    <t>Running Shoes - Women's x2 | Multivitamin Daily Pack x1 | Classic Fit Polo Shirt x2 | Men's Grooming Kit x1</t>
  </si>
  <si>
    <t>#ORD-10865</t>
  </si>
  <si>
    <t>16:33:56</t>
  </si>
  <si>
    <t>Ella Clark</t>
  </si>
  <si>
    <t>ella.clark60@outlook.com</t>
  </si>
  <si>
    <t>+1-427-941-8360</t>
  </si>
  <si>
    <t>Denim Jacket x1 | Linen Throw Blanket x2 | Casual Sneakers x2 | Organic Green Tea 100ct x2</t>
  </si>
  <si>
    <t>#ORD-10866</t>
  </si>
  <si>
    <t>13:21:23</t>
  </si>
  <si>
    <t>oliver.sanchez56@gmail.com</t>
  </si>
  <si>
    <t>+1-877-665-5711</t>
  </si>
  <si>
    <t>Hiking Boots x2 | Coffee Maker Programmable x3 | Denim Jacket x1</t>
  </si>
  <si>
    <t>#ORD-10867</t>
  </si>
  <si>
    <t>16:21:27</t>
  </si>
  <si>
    <t>Mason Thomas</t>
  </si>
  <si>
    <t>mason.thomas50@yahoo.com</t>
  </si>
  <si>
    <t>+1-873-399-5212</t>
  </si>
  <si>
    <t>Wireless Noise-Cancelling Headphones x1 | Anti-Aging Serum 1oz x1</t>
  </si>
  <si>
    <t>#ORD-10868</t>
  </si>
  <si>
    <t>15:43:36</t>
  </si>
  <si>
    <t>sofia.hernandez55@gmail.com</t>
  </si>
  <si>
    <t>+1-324-973-1054</t>
  </si>
  <si>
    <t>Classic Fit Polo Shirt x3</t>
  </si>
  <si>
    <t>#ORD-10869</t>
  </si>
  <si>
    <t>12:07:32</t>
  </si>
  <si>
    <t>oliver.jones99@outlook.com</t>
  </si>
  <si>
    <t>+1-564-907-2507</t>
  </si>
  <si>
    <t>#ORD-10870</t>
  </si>
  <si>
    <t>01:53:34</t>
  </si>
  <si>
    <t>Emily Lopez</t>
  </si>
  <si>
    <t>emily.lopez25@yahoo.com</t>
  </si>
  <si>
    <t>+1-548-973-7377</t>
  </si>
  <si>
    <t>Scented Soy Candle Set x3 | High-Waist Leggings x1 | Classic Fit Polo Shirt x1 | USB-C Fast Charger 65W x1</t>
  </si>
  <si>
    <t>#ORD-10871</t>
  </si>
  <si>
    <t>01:25:39</t>
  </si>
  <si>
    <t>jack.miller66@yahoo.com</t>
  </si>
  <si>
    <t>+1-770-889-8501</t>
  </si>
  <si>
    <t>#ORD-10872</t>
  </si>
  <si>
    <t>07:08:19</t>
  </si>
  <si>
    <t>elizabeth.lee48@gmail.com</t>
  </si>
  <si>
    <t>+1-967-957-1121</t>
  </si>
  <si>
    <t>#ORD-10873</t>
  </si>
  <si>
    <t>00:44:30</t>
  </si>
  <si>
    <t>abigail.walker18@outlook.com</t>
  </si>
  <si>
    <t>+1-519-649-7973</t>
  </si>
  <si>
    <t>Linen Throw Blanket x1 | Mechanical Keyboard x3 | Stainless Steel Cookware Set x2</t>
  </si>
  <si>
    <t>2024-08-08</t>
  </si>
  <si>
    <t>#ORD-10874</t>
  </si>
  <si>
    <t>14:06:52</t>
  </si>
  <si>
    <t>evelyn.williams14@gmail.com</t>
  </si>
  <si>
    <t>+1-572-176-9163</t>
  </si>
  <si>
    <t>Mechanical Keyboard x1 | Sunscreen SPF 50 Face x1</t>
  </si>
  <si>
    <t>#ORD-10875</t>
  </si>
  <si>
    <t>17:50:21</t>
  </si>
  <si>
    <t>aiden.martin3@gmail.com</t>
  </si>
  <si>
    <t>+1-326-287-4478</t>
  </si>
  <si>
    <t>2024-04-23</t>
  </si>
  <si>
    <t>#ORD-10876</t>
  </si>
  <si>
    <t>19:02:33</t>
  </si>
  <si>
    <t>Daniel Garcia</t>
  </si>
  <si>
    <t>daniel.garcia7@gmail.com</t>
  </si>
  <si>
    <t>+1-613-870-1667</t>
  </si>
  <si>
    <t>Classic Fit Polo Shirt x2 | Coffee Maker Programmable x2 | Bamboo Sunglasses x1</t>
  </si>
  <si>
    <t>#ORD-10877</t>
  </si>
  <si>
    <t>19:29:59</t>
  </si>
  <si>
    <t>Aiden Clark</t>
  </si>
  <si>
    <t>aiden.clark85@gmail.com</t>
  </si>
  <si>
    <t>+1-754-209-5330</t>
  </si>
  <si>
    <t>#ORD-10878</t>
  </si>
  <si>
    <t>09:24:48</t>
  </si>
  <si>
    <t>Mia Hill</t>
  </si>
  <si>
    <t>mia.hill32@gmail.com</t>
  </si>
  <si>
    <t>+1-444-517-1086</t>
  </si>
  <si>
    <t>#ORD-10879</t>
  </si>
  <si>
    <t>15:39:51</t>
  </si>
  <si>
    <t>owen.moore94@yahoo.com</t>
  </si>
  <si>
    <t>+1-792-394-5413</t>
  </si>
  <si>
    <t>#ORD-10880</t>
  </si>
  <si>
    <t>01:23:38</t>
  </si>
  <si>
    <t>Oliver Green</t>
  </si>
  <si>
    <t>oliver.green16@yahoo.com</t>
  </si>
  <si>
    <t>+1-335-828-1658</t>
  </si>
  <si>
    <t>Smart LED Desk Lamp x1 | Protein Powder Chocolate 2lb x2</t>
  </si>
  <si>
    <t>#ORD-10881</t>
  </si>
  <si>
    <t>15:17:46</t>
  </si>
  <si>
    <t>amelia.thomas6@outlook.com</t>
  </si>
  <si>
    <t>+1-532-520-7205</t>
  </si>
  <si>
    <t>Hiking Boots x1 | Smart LED Desk Lamp x1 | Linen Throw Blanket x1 | Wireless Noise-Cancelling Headphones x1 | Essential Oil Diffuser x1</t>
  </si>
  <si>
    <t>#ORD-10882</t>
  </si>
  <si>
    <t>15:06:34</t>
  </si>
  <si>
    <t>owen.moore85@gmail.com</t>
  </si>
  <si>
    <t>+1-643-574-3598</t>
  </si>
  <si>
    <t>#ORD-10883</t>
  </si>
  <si>
    <t>21:09:22</t>
  </si>
  <si>
    <t>noah.brown59@yahoo.com</t>
  </si>
  <si>
    <t>+1-405-804-5515</t>
  </si>
  <si>
    <t>Mechanical Keyboard x1 | Yoga Mat Premium x1 | Hiking Boots x2 | Running Shoes - Men's x1</t>
  </si>
  <si>
    <t>#ORD-10884</t>
  </si>
  <si>
    <t>03:39:39</t>
  </si>
  <si>
    <t>Ella Harris</t>
  </si>
  <si>
    <t>ella.harris21@gmail.com</t>
  </si>
  <si>
    <t>+1-478-982-9462</t>
  </si>
  <si>
    <t>Wireless Noise-Cancelling Headphones x1 | Classic Fit Polo Shirt x1 | Casual Sneakers x3 | Essential Oil Diffuser x1</t>
  </si>
  <si>
    <t>#ORD-10885</t>
  </si>
  <si>
    <t>16:23:13</t>
  </si>
  <si>
    <t>aiden.sanchez9@outlook.com</t>
  </si>
  <si>
    <t>+1-220-435-7876</t>
  </si>
  <si>
    <t>Hiking Boots x3 | High-Waist Leggings x3 | Casual Sneakers x2 | Classic Fit Polo Shirt x1</t>
  </si>
  <si>
    <t>#ORD-10886</t>
  </si>
  <si>
    <t>02:58:42</t>
  </si>
  <si>
    <t>chloe.perez62@gmail.com</t>
  </si>
  <si>
    <t>+1-589-583-4215</t>
  </si>
  <si>
    <t>Men's Grooming Kit x1 | Classic Fit Polo Shirt x2 | Multivitamin Daily Pack x1</t>
  </si>
  <si>
    <t>#ORD-10887</t>
  </si>
  <si>
    <t>17:42:28</t>
  </si>
  <si>
    <t>oliver.lee44@gmail.com</t>
  </si>
  <si>
    <t>+1-620-987-1718</t>
  </si>
  <si>
    <t>#ORD-10888</t>
  </si>
  <si>
    <t>11:00:51</t>
  </si>
  <si>
    <t>lucas.walker69@yahoo.com</t>
  </si>
  <si>
    <t>+1-414-195-6583</t>
  </si>
  <si>
    <t>Coffee Maker Programmable x2 | Organic Green Tea 100ct x1 | Sunscreen SPF 50 Face x1 | Mechanical Keyboard x1 | Casual Sneakers x2</t>
  </si>
  <si>
    <t>#ORD-10889</t>
  </si>
  <si>
    <t>12:11:15</t>
  </si>
  <si>
    <t>oliver.green12@outlook.com</t>
  </si>
  <si>
    <t>+1-538-202-2453</t>
  </si>
  <si>
    <t>Classic Fit Polo Shirt x1 | Casual Sneakers x1 | Portable Bluetooth Speaker x1</t>
  </si>
  <si>
    <t>#ORD-10890</t>
  </si>
  <si>
    <t>20:54:49</t>
  </si>
  <si>
    <t>Scarlett Hill</t>
  </si>
  <si>
    <t>scarlett.hill74@gmail.com</t>
  </si>
  <si>
    <t>+1-397-276-3571</t>
  </si>
  <si>
    <t>Bamboo Sunglasses x2 | Insulated Water Bottle 32oz x1</t>
  </si>
  <si>
    <t>#ORD-10891</t>
  </si>
  <si>
    <t>04:40:56</t>
  </si>
  <si>
    <t>Amelia Williams</t>
  </si>
  <si>
    <t>amelia.williams23@gmail.com</t>
  </si>
  <si>
    <t>+1-842-874-5908</t>
  </si>
  <si>
    <t>#ORD-10892</t>
  </si>
  <si>
    <t>20:01:05</t>
  </si>
  <si>
    <t>Jack Martinez</t>
  </si>
  <si>
    <t>jack.martinez9@yahoo.com</t>
  </si>
  <si>
    <t>+1-625-211-8120</t>
  </si>
  <si>
    <t>#ORD-10893</t>
  </si>
  <si>
    <t>23:25:06</t>
  </si>
  <si>
    <t>amelia.hernandez92@outlook.com</t>
  </si>
  <si>
    <t>+1-420-559-7961</t>
  </si>
  <si>
    <t>Leather Wallet Slim x1 | Bamboo Sunglasses x3</t>
  </si>
  <si>
    <t>#ORD-10894</t>
  </si>
  <si>
    <t>01:30:25</t>
  </si>
  <si>
    <t>logan.green57@gmail.com</t>
  </si>
  <si>
    <t>+1-293-995-2889</t>
  </si>
  <si>
    <t>Bamboo Sunglasses x2 | Men's Grooming Kit x2</t>
  </si>
  <si>
    <t>#ORD-10895</t>
  </si>
  <si>
    <t>22:46:23</t>
  </si>
  <si>
    <t>Isabella Brown</t>
  </si>
  <si>
    <t>isabella.brown95@outlook.com</t>
  </si>
  <si>
    <t>+1-446-151-9329</t>
  </si>
  <si>
    <t>Protein Powder Chocolate 2lb x1 | Bamboo Sunglasses x2</t>
  </si>
  <si>
    <t>#ORD-10896</t>
  </si>
  <si>
    <t>11:35:51</t>
  </si>
  <si>
    <t>victoria.scott10@gmail.com</t>
  </si>
  <si>
    <t>+1-637-602-4363</t>
  </si>
  <si>
    <t>#ORD-10897</t>
  </si>
  <si>
    <t>09:48:10</t>
  </si>
  <si>
    <t>isabella.anderson82@gmail.com</t>
  </si>
  <si>
    <t>+1-233-883-1188</t>
  </si>
  <si>
    <t>USB-C Fast Charger 65W x2 | Multivitamin Daily Pack x1</t>
  </si>
  <si>
    <t>#ORD-10898</t>
  </si>
  <si>
    <t>05:53:10</t>
  </si>
  <si>
    <t>Liam Johnson</t>
  </si>
  <si>
    <t>liam.johnson93@gmail.com</t>
  </si>
  <si>
    <t>+1-751-763-7087</t>
  </si>
  <si>
    <t>#ORD-10899</t>
  </si>
  <si>
    <t>05:20:16</t>
  </si>
  <si>
    <t>noah.flores93@gmail.com</t>
  </si>
  <si>
    <t>+1-884-690-9847</t>
  </si>
  <si>
    <t>#ORD-10900</t>
  </si>
  <si>
    <t>05:52:31</t>
  </si>
  <si>
    <t>ella.jackson67@yahoo.com</t>
  </si>
  <si>
    <t>+1-877-367-5024</t>
  </si>
  <si>
    <t>Yoga Mat Premium x2 | Air Fryer 5.8Qt x1 | Scented Soy Candle Set x1</t>
  </si>
  <si>
    <t>#ORD-10901</t>
  </si>
  <si>
    <t>03:13:47</t>
  </si>
  <si>
    <t>elizabeth.thompson44@gmail.com</t>
  </si>
  <si>
    <t>+1-578-777-1802</t>
  </si>
  <si>
    <t>Air Fryer 5.8Qt x1 | Mechanical Keyboard x1</t>
  </si>
  <si>
    <t>#ORD-10902</t>
  </si>
  <si>
    <t>06:17:09</t>
  </si>
  <si>
    <t>alexander.martin22@yahoo.com</t>
  </si>
  <si>
    <t>+1-832-463-1278</t>
  </si>
  <si>
    <t>Portable Bluetooth Speaker x1 | Essential Oil Diffuser x1</t>
  </si>
  <si>
    <t>#ORD-10903</t>
  </si>
  <si>
    <t>00:10:35</t>
  </si>
  <si>
    <t>Benjamin Wright</t>
  </si>
  <si>
    <t>benjamin.wright17@gmail.com</t>
  </si>
  <si>
    <t>+1-760-585-9166</t>
  </si>
  <si>
    <t>Bamboo Sunglasses x1 | Smart LED Desk Lamp x2 | Canvas Backpack 25L x1</t>
  </si>
  <si>
    <t>#ORD-10904</t>
  </si>
  <si>
    <t>13:23:53</t>
  </si>
  <si>
    <t>oliver.wright49@yahoo.com</t>
  </si>
  <si>
    <t>+1-734-685-6038</t>
  </si>
  <si>
    <t>#ORD-10905</t>
  </si>
  <si>
    <t>00:49:00</t>
  </si>
  <si>
    <t>Sofia Martin</t>
  </si>
  <si>
    <t>sofia.martin3@gmail.com</t>
  </si>
  <si>
    <t>+1-498-746-7387</t>
  </si>
  <si>
    <t>Mechanical Keyboard x2 | Insulated Water Bottle 32oz x1 | Men's Grooming Kit x1</t>
  </si>
  <si>
    <t>#ORD-10906</t>
  </si>
  <si>
    <t>10:26:36</t>
  </si>
  <si>
    <t>Mia Thompson</t>
  </si>
  <si>
    <t>mia.thompson48@outlook.com</t>
  </si>
  <si>
    <t>+1-681-486-6041</t>
  </si>
  <si>
    <t>#ORD-10907</t>
  </si>
  <si>
    <t>23:15:58</t>
  </si>
  <si>
    <t>Sofia Moore</t>
  </si>
  <si>
    <t>sofia.moore38@outlook.com</t>
  </si>
  <si>
    <t>+1-539-842-3199</t>
  </si>
  <si>
    <t>Bamboo Sunglasses x2 | Wireless Noise-Cancelling Headphones x2</t>
  </si>
  <si>
    <t>#ORD-10908</t>
  </si>
  <si>
    <t>07:01:22</t>
  </si>
  <si>
    <t>Sebastian Green</t>
  </si>
  <si>
    <t>sebastian.green90@gmail.com</t>
  </si>
  <si>
    <t>+1-738-363-6162</t>
  </si>
  <si>
    <t>#ORD-10909</t>
  </si>
  <si>
    <t>23:23:52</t>
  </si>
  <si>
    <t>Mason Sanchez</t>
  </si>
  <si>
    <t>mason.sanchez29@outlook.com</t>
  </si>
  <si>
    <t>+1-293-746-4243</t>
  </si>
  <si>
    <t>#ORD-10910</t>
  </si>
  <si>
    <t>05:28:27</t>
  </si>
  <si>
    <t>Michael Wilson</t>
  </si>
  <si>
    <t>michael.wilson52@outlook.com</t>
  </si>
  <si>
    <t>+1-997-665-9592</t>
  </si>
  <si>
    <t>Canvas Backpack 25L x3 | Portable Bluetooth Speaker x2 | Men's Grooming Kit x1 | USB-C Fast Charger 65W x1</t>
  </si>
  <si>
    <t>#ORD-10911</t>
  </si>
  <si>
    <t>07:38:36</t>
  </si>
  <si>
    <t>Emma Smith</t>
  </si>
  <si>
    <t>emma.smith24@gmail.com</t>
  </si>
  <si>
    <t>+1-810-222-7807</t>
  </si>
  <si>
    <t>Wireless Noise-Cancelling Headphones x1 | Linen Throw Blanket x1 | Smart LED Desk Lamp x2 | Resistance Band Set x1 | Classic Fit Polo Shirt x1</t>
  </si>
  <si>
    <t>#ORD-10912</t>
  </si>
  <si>
    <t>19:12:47</t>
  </si>
  <si>
    <t>emma.green28@gmail.com</t>
  </si>
  <si>
    <t>+1-431-336-7504</t>
  </si>
  <si>
    <t>Mechanical Keyboard x1 | Leather Wallet Slim x1 | Portable Bluetooth Speaker x2</t>
  </si>
  <si>
    <t>#ORD-10913</t>
  </si>
  <si>
    <t>04:06:56</t>
  </si>
  <si>
    <t>owen.young4@outlook.com</t>
  </si>
  <si>
    <t>+1-481-443-6532</t>
  </si>
  <si>
    <t>#ORD-10914</t>
  </si>
  <si>
    <t>22:24:12</t>
  </si>
  <si>
    <t>sofia.jones33@outlook.com</t>
  </si>
  <si>
    <t>+1-645-909-1759</t>
  </si>
  <si>
    <t>Mechanical Keyboard x1 | Air Fryer 5.8Qt x2 | Coffee Maker Programmable x2</t>
  </si>
  <si>
    <t>#ORD-10915</t>
  </si>
  <si>
    <t>00:59:10</t>
  </si>
  <si>
    <t>owen.miller96@gmail.com</t>
  </si>
  <si>
    <t>+1-357-801-8465</t>
  </si>
  <si>
    <t>Portable Bluetooth Speaker x3 | Running Shoes - Women's x1 | Canvas Backpack 25L x1</t>
  </si>
  <si>
    <t>#ORD-10916</t>
  </si>
  <si>
    <t>03:51:16</t>
  </si>
  <si>
    <t>Ava Lee</t>
  </si>
  <si>
    <t>ava.lee28@gmail.com</t>
  </si>
  <si>
    <t>+1-634-881-3336</t>
  </si>
  <si>
    <t>Hiking Boots x1 | Leather Wallet Slim x2 | Resistance Band Set x1</t>
  </si>
  <si>
    <t>#ORD-10917</t>
  </si>
  <si>
    <t>16:00:47</t>
  </si>
  <si>
    <t>Benjamin Wilson</t>
  </si>
  <si>
    <t>benjamin.wilson34@gmail.com</t>
  </si>
  <si>
    <t>+1-339-517-1755</t>
  </si>
  <si>
    <t>#ORD-10918</t>
  </si>
  <si>
    <t>19:08:01</t>
  </si>
  <si>
    <t>lucas.anderson48@yahoo.com</t>
  </si>
  <si>
    <t>+1-787-286-1258</t>
  </si>
  <si>
    <t>Organic Green Tea 100ct x1 | Sunscreen SPF 50 Face x1</t>
  </si>
  <si>
    <t>#ORD-10919</t>
  </si>
  <si>
    <t>04:22:09</t>
  </si>
  <si>
    <t>Avery Taylor</t>
  </si>
  <si>
    <t>avery.taylor22@gmail.com</t>
  </si>
  <si>
    <t>+1-291-634-5842</t>
  </si>
  <si>
    <t>Scented Soy Candle Set x1 | Essential Oil Diffuser x1</t>
  </si>
  <si>
    <t>#ORD-10920</t>
  </si>
  <si>
    <t>21:14:19</t>
  </si>
  <si>
    <t>James Scott</t>
  </si>
  <si>
    <t>james.scott47@outlook.com</t>
  </si>
  <si>
    <t>+1-394-210-4030</t>
  </si>
  <si>
    <t>#ORD-10921</t>
  </si>
  <si>
    <t>00:04:12</t>
  </si>
  <si>
    <t>Amelia Jackson</t>
  </si>
  <si>
    <t>amelia.jackson19@yahoo.com</t>
  </si>
  <si>
    <t>+1-231-757-8241</t>
  </si>
  <si>
    <t>Portable Bluetooth Speaker x1 | Multivitamin Daily Pack x1</t>
  </si>
  <si>
    <t>#ORD-10922</t>
  </si>
  <si>
    <t>22:41:35</t>
  </si>
  <si>
    <t>Logan Wilson</t>
  </si>
  <si>
    <t>logan.wilson72@outlook.com</t>
  </si>
  <si>
    <t>+1-203-452-7676</t>
  </si>
  <si>
    <t>Resistance Band Set x1 | Anti-Aging Serum 1oz x2</t>
  </si>
  <si>
    <t>#ORD-10923</t>
  </si>
  <si>
    <t>15:03:36</t>
  </si>
  <si>
    <t>mason.martinez89@yahoo.com</t>
  </si>
  <si>
    <t>+1-763-491-7198</t>
  </si>
  <si>
    <t>#ORD-10924</t>
  </si>
  <si>
    <t>04:18:00</t>
  </si>
  <si>
    <t>emily.clark10@yahoo.com</t>
  </si>
  <si>
    <t>+1-396-895-5375</t>
  </si>
  <si>
    <t>#ORD-10925</t>
  </si>
  <si>
    <t>00:22:12</t>
  </si>
  <si>
    <t>Henry Scott</t>
  </si>
  <si>
    <t>henry.scott31@outlook.com</t>
  </si>
  <si>
    <t>+1-814-500-7378</t>
  </si>
  <si>
    <t>Essential Oil Diffuser x1 | Leather Wallet Slim x1</t>
  </si>
  <si>
    <t>#ORD-10926</t>
  </si>
  <si>
    <t>11:19:24</t>
  </si>
  <si>
    <t>Ava Brown</t>
  </si>
  <si>
    <t>ava.brown98@gmail.com</t>
  </si>
  <si>
    <t>+1-826-763-5575</t>
  </si>
  <si>
    <t>#ORD-10927</t>
  </si>
  <si>
    <t>12:08:42</t>
  </si>
  <si>
    <t>ethan.jackson78@gmail.com</t>
  </si>
  <si>
    <t>+1-947-477-4612</t>
  </si>
  <si>
    <t>#ORD-10928</t>
  </si>
  <si>
    <t>13:33:12</t>
  </si>
  <si>
    <t>Elijah Moore</t>
  </si>
  <si>
    <t>elijah.moore64@gmail.com</t>
  </si>
  <si>
    <t>+1-340-452-1318</t>
  </si>
  <si>
    <t>#ORD-10929</t>
  </si>
  <si>
    <t>09:23:19</t>
  </si>
  <si>
    <t>William Garcia</t>
  </si>
  <si>
    <t>william.garcia63@outlook.com</t>
  </si>
  <si>
    <t>+1-606-636-9741</t>
  </si>
  <si>
    <t>#ORD-10930</t>
  </si>
  <si>
    <t>03:27:03</t>
  </si>
  <si>
    <t>Harper Jones</t>
  </si>
  <si>
    <t>harper.jones26@gmail.com</t>
  </si>
  <si>
    <t>+1-311-578-9924</t>
  </si>
  <si>
    <t>#ORD-10931</t>
  </si>
  <si>
    <t>19:08:02</t>
  </si>
  <si>
    <t>Ethan Walker</t>
  </si>
  <si>
    <t>ethan.walker27@outlook.com</t>
  </si>
  <si>
    <t>+1-678-607-9947</t>
  </si>
  <si>
    <t>USB-C Fast Charger 65W x1 | Scented Soy Candle Set x1</t>
  </si>
  <si>
    <t>#ORD-10932</t>
  </si>
  <si>
    <t>18:54:11</t>
  </si>
  <si>
    <t>chloe.thompson16@gmail.com</t>
  </si>
  <si>
    <t>+1-344-984-7481</t>
  </si>
  <si>
    <t>#ORD-10933</t>
  </si>
  <si>
    <t>14:09:40</t>
  </si>
  <si>
    <t>Evelyn King</t>
  </si>
  <si>
    <t>evelyn.king13@gmail.com</t>
  </si>
  <si>
    <t>+1-365-754-2511</t>
  </si>
  <si>
    <t>Casual Sneakers x2 | Organic Green Tea 100ct x1 | Running Shoes - Women's x1 | Anti-Aging Serum 1oz x3 | Hiking Boots x2</t>
  </si>
  <si>
    <t>#ORD-10934</t>
  </si>
  <si>
    <t>2024-03-16</t>
  </si>
  <si>
    <t>02:28:57</t>
  </si>
  <si>
    <t>michael.hill24@gmail.com</t>
  </si>
  <si>
    <t>+1-439-876-7979</t>
  </si>
  <si>
    <t>#ORD-10935</t>
  </si>
  <si>
    <t>16:20:10</t>
  </si>
  <si>
    <t>Amelia Scott</t>
  </si>
  <si>
    <t>amelia.scott15@yahoo.com</t>
  </si>
  <si>
    <t>+1-689-816-2000</t>
  </si>
  <si>
    <t>Multivitamin Daily Pack x2 | Wireless Noise-Cancelling Headphones x3 | Resistance Band Set x1 | Casual Sneakers x2 | Linen Throw Blanket x1</t>
  </si>
  <si>
    <t>#ORD-10936</t>
  </si>
  <si>
    <t>00:43:22</t>
  </si>
  <si>
    <t>henry.allen52@outlook.com</t>
  </si>
  <si>
    <t>+1-602-795-6997</t>
  </si>
  <si>
    <t>Insulated Water Bottle 32oz x1 | Classic Fit Polo Shirt x1 | Wireless Noise-Cancelling Headphones x1</t>
  </si>
  <si>
    <t>#ORD-10937</t>
  </si>
  <si>
    <t>06:15:53</t>
  </si>
  <si>
    <t>Emma Perez</t>
  </si>
  <si>
    <t>emma.perez58@outlook.com</t>
  </si>
  <si>
    <t>+1-667-873-1646</t>
  </si>
  <si>
    <t>Men's Grooming Kit x1 | USB-C Fast Charger 65W x2</t>
  </si>
  <si>
    <t>#ORD-10938</t>
  </si>
  <si>
    <t>02:51:14</t>
  </si>
  <si>
    <t>William Hill</t>
  </si>
  <si>
    <t>william.hill99@yahoo.com</t>
  </si>
  <si>
    <t>+1-819-808-4765</t>
  </si>
  <si>
    <t>#ORD-10939</t>
  </si>
  <si>
    <t>08:24:11</t>
  </si>
  <si>
    <t>Grace Lewis</t>
  </si>
  <si>
    <t>grace.lewis77@yahoo.com</t>
  </si>
  <si>
    <t>+1-555-562-9940</t>
  </si>
  <si>
    <t>Yoga Mat Premium x1 | Leather Wallet Slim x2</t>
  </si>
  <si>
    <t>#ORD-10940</t>
  </si>
  <si>
    <t>10:11:52</t>
  </si>
  <si>
    <t>Scarlett Walker</t>
  </si>
  <si>
    <t>scarlett.walker97@outlook.com</t>
  </si>
  <si>
    <t>+1-830-562-5503</t>
  </si>
  <si>
    <t>#ORD-10941</t>
  </si>
  <si>
    <t>04:36:55</t>
  </si>
  <si>
    <t>Elizabeth Jones</t>
  </si>
  <si>
    <t>elizabeth.jones9@outlook.com</t>
  </si>
  <si>
    <t>+1-527-628-4213</t>
  </si>
  <si>
    <t>Coffee Maker Programmable x1 | Stainless Steel Cookware Set x1</t>
  </si>
  <si>
    <t>#ORD-10942</t>
  </si>
  <si>
    <t>06:06:05</t>
  </si>
  <si>
    <t>michael.williams83@outlook.com</t>
  </si>
  <si>
    <t>+1-590-845-6437</t>
  </si>
  <si>
    <t>#ORD-10943</t>
  </si>
  <si>
    <t>10:26:02</t>
  </si>
  <si>
    <t>Sebastian Nguyen</t>
  </si>
  <si>
    <t>sebastian.nguyen4@yahoo.com</t>
  </si>
  <si>
    <t>+1-561-946-5819</t>
  </si>
  <si>
    <t>Classic Fit Polo Shirt x1 | Men's Grooming Kit x1</t>
  </si>
  <si>
    <t>#ORD-10944</t>
  </si>
  <si>
    <t>20:13:04</t>
  </si>
  <si>
    <t>logan.thomas18@outlook.com</t>
  </si>
  <si>
    <t>+1-614-268-5271</t>
  </si>
  <si>
    <t>#ORD-10945</t>
  </si>
  <si>
    <t>00:22:16</t>
  </si>
  <si>
    <t>ethan.lee69@outlook.com</t>
  </si>
  <si>
    <t>+1-742-722-7062</t>
  </si>
  <si>
    <t>Bamboo Sunglasses x1 | Resistance Band Set x3</t>
  </si>
  <si>
    <t>#ORD-10946</t>
  </si>
  <si>
    <t>23:24:52</t>
  </si>
  <si>
    <t>sophia.anderson65@gmail.com</t>
  </si>
  <si>
    <t>+1-528-874-8991</t>
  </si>
  <si>
    <t>#ORD-10947</t>
  </si>
  <si>
    <t>22:34:29</t>
  </si>
  <si>
    <t>evelyn.taylor1@gmail.com</t>
  </si>
  <si>
    <t>+1-403-634-6465</t>
  </si>
  <si>
    <t>Leather Wallet Slim x2 | Anti-Aging Serum 1oz x2</t>
  </si>
  <si>
    <t>#ORD-10948</t>
  </si>
  <si>
    <t>10:48:38</t>
  </si>
  <si>
    <t>Daniel Thomas</t>
  </si>
  <si>
    <t>daniel.thomas5@gmail.com</t>
  </si>
  <si>
    <t>+1-946-277-6998</t>
  </si>
  <si>
    <t>#ORD-10949</t>
  </si>
  <si>
    <t>12:07:48</t>
  </si>
  <si>
    <t>benjamin.wilson54@gmail.com</t>
  </si>
  <si>
    <t>+1-236-894-6797</t>
  </si>
  <si>
    <t>Smart LED Desk Lamp x1 | Casual Sneakers x1 | High-Waist Leggings x1 | Multivitamin Daily Pack x1</t>
  </si>
  <si>
    <t>#ORD-10950</t>
  </si>
  <si>
    <t>07:55:31</t>
  </si>
  <si>
    <t>logan.walker79@outlook.com</t>
  </si>
  <si>
    <t>+1-739-671-6706</t>
  </si>
  <si>
    <t>Stainless Steel Cookware Set x1 | Coffee Maker Programmable x2</t>
  </si>
  <si>
    <t>#ORD-10951</t>
  </si>
  <si>
    <t>12:46:41</t>
  </si>
  <si>
    <t>henry.hernandez18@outlook.com</t>
  </si>
  <si>
    <t>+1-704-823-6535</t>
  </si>
  <si>
    <t>Multivitamin Daily Pack x2 | Portable Bluetooth Speaker x1 | Resistance Band Set x1</t>
  </si>
  <si>
    <t>#ORD-10952</t>
  </si>
  <si>
    <t>12:16:25</t>
  </si>
  <si>
    <t>scarlett.perez86@gmail.com</t>
  </si>
  <si>
    <t>+1-511-729-2944</t>
  </si>
  <si>
    <t>#ORD-10953</t>
  </si>
  <si>
    <t>12:01:02</t>
  </si>
  <si>
    <t>ethan.lewis4@gmail.com</t>
  </si>
  <si>
    <t>+1-442-234-2896</t>
  </si>
  <si>
    <t>#ORD-10954</t>
  </si>
  <si>
    <t>00:22:30</t>
  </si>
  <si>
    <t>Abigail Lee</t>
  </si>
  <si>
    <t>abigail.lee27@gmail.com</t>
  </si>
  <si>
    <t>+1-831-492-7321</t>
  </si>
  <si>
    <t>Air Fryer 5.8Qt x1 | Running Shoes - Women's x1</t>
  </si>
  <si>
    <t>#ORD-10955</t>
  </si>
  <si>
    <t>05:45:44</t>
  </si>
  <si>
    <t>daniel.green63@gmail.com</t>
  </si>
  <si>
    <t>+1-332-475-9442</t>
  </si>
  <si>
    <t>Bamboo Sunglasses x1 | Casual Sneakers x2</t>
  </si>
  <si>
    <t>#ORD-10956</t>
  </si>
  <si>
    <t>19:59:44</t>
  </si>
  <si>
    <t>mia.white27@yahoo.com</t>
  </si>
  <si>
    <t>+1-839-194-1966</t>
  </si>
  <si>
    <t>Running Shoes - Men's x2 | Sunscreen SPF 50 Face x1 | Coffee Maker Programmable x1</t>
  </si>
  <si>
    <t>#ORD-10957</t>
  </si>
  <si>
    <t>02:49:24</t>
  </si>
  <si>
    <t>Elizabeth Smith</t>
  </si>
  <si>
    <t>elizabeth.smith12@yahoo.com</t>
  </si>
  <si>
    <t>+1-881-566-3899</t>
  </si>
  <si>
    <t>#ORD-10958</t>
  </si>
  <si>
    <t>00:55:42</t>
  </si>
  <si>
    <t>Logan Thompson</t>
  </si>
  <si>
    <t>logan.thompson60@gmail.com</t>
  </si>
  <si>
    <t>+1-947-204-7430</t>
  </si>
  <si>
    <t>Coffee Maker Programmable x1 | Essential Oil Diffuser x2 | Hiking Boots x3 | Stainless Steel Cookware Set x1 | Mechanical Keyboard x1</t>
  </si>
  <si>
    <t>#ORD-10959</t>
  </si>
  <si>
    <t>15:45:11</t>
  </si>
  <si>
    <t>Noah Torres</t>
  </si>
  <si>
    <t>noah.torres24@outlook.com</t>
  </si>
  <si>
    <t>+1-375-203-7997</t>
  </si>
  <si>
    <t>USB-C Fast Charger 65W x1 | Organic Green Tea 100ct x1</t>
  </si>
  <si>
    <t>#ORD-10960</t>
  </si>
  <si>
    <t>19:36:17</t>
  </si>
  <si>
    <t>Abigail Hill</t>
  </si>
  <si>
    <t>abigail.hill82@gmail.com</t>
  </si>
  <si>
    <t>+1-515-373-7846</t>
  </si>
  <si>
    <t>Casual Sneakers x1 | Leather Wallet Slim x1</t>
  </si>
  <si>
    <t>#ORD-10961</t>
  </si>
  <si>
    <t>19:24:49</t>
  </si>
  <si>
    <t>mason.allen83@gmail.com</t>
  </si>
  <si>
    <t>+1-657-718-8189</t>
  </si>
  <si>
    <t>Casual Sneakers x1 | Running Shoes - Men's x3 | High-Waist Leggings x1 | Protein Powder Chocolate 2lb x1</t>
  </si>
  <si>
    <t>#ORD-10962</t>
  </si>
  <si>
    <t>22:47:03</t>
  </si>
  <si>
    <t>Emma Lopez</t>
  </si>
  <si>
    <t>emma.lopez23@gmail.com</t>
  </si>
  <si>
    <t>+1-924-937-6355</t>
  </si>
  <si>
    <t>2024-03-07</t>
  </si>
  <si>
    <t>#ORD-10963</t>
  </si>
  <si>
    <t>23:00:49</t>
  </si>
  <si>
    <t>isabella.hill67@gmail.com</t>
  </si>
  <si>
    <t>+1-392-277-1616</t>
  </si>
  <si>
    <t>#ORD-10964</t>
  </si>
  <si>
    <t>21:30:35</t>
  </si>
  <si>
    <t>olivia.taylor71@gmail.com</t>
  </si>
  <si>
    <t>+1-262-917-1662</t>
  </si>
  <si>
    <t>Leather Wallet Slim x1 | Organic Green Tea 100ct x1 | Air Fryer 5.8Qt x1 | Canvas Backpack 25L x2</t>
  </si>
  <si>
    <t>#ORD-10965</t>
  </si>
  <si>
    <t>15:02:03</t>
  </si>
  <si>
    <t>charlotte.johnson39@gmail.com</t>
  </si>
  <si>
    <t>+1-945-684-2533</t>
  </si>
  <si>
    <t>Denim Jacket x2 | Linen Throw Blanket x1</t>
  </si>
  <si>
    <t>#ORD-10966</t>
  </si>
  <si>
    <t>22:58:41</t>
  </si>
  <si>
    <t>liam.martinez74@gmail.com</t>
  </si>
  <si>
    <t>+1-258-726-4216</t>
  </si>
  <si>
    <t>Linen Throw Blanket x1 | Men's Grooming Kit x1</t>
  </si>
  <si>
    <t>#ORD-10967</t>
  </si>
  <si>
    <t>17:11:35</t>
  </si>
  <si>
    <t>Emma Nguyen</t>
  </si>
  <si>
    <t>emma.nguyen61@gmail.com</t>
  </si>
  <si>
    <t>+1-320-987-8542</t>
  </si>
  <si>
    <t>USB-C Fast Charger 65W x3 | Scented Soy Candle Set x1</t>
  </si>
  <si>
    <t>2024-09-25</t>
  </si>
  <si>
    <t>#ORD-10968</t>
  </si>
  <si>
    <t>17:25:26</t>
  </si>
  <si>
    <t>sofia.walker85@gmail.com</t>
  </si>
  <si>
    <t>+1-938-132-8315</t>
  </si>
  <si>
    <t>Men's Grooming Kit x1 | Anti-Aging Serum 1oz x1</t>
  </si>
  <si>
    <t>#ORD-10969</t>
  </si>
  <si>
    <t>02:37:13</t>
  </si>
  <si>
    <t>isabella.perez96@outlook.com</t>
  </si>
  <si>
    <t>+1-749-113-3930</t>
  </si>
  <si>
    <t>#ORD-10970</t>
  </si>
  <si>
    <t>20:21:08</t>
  </si>
  <si>
    <t>sebastian.martin67@gmail.com</t>
  </si>
  <si>
    <t>+1-353-710-5697</t>
  </si>
  <si>
    <t>Running Shoes - Men's x1 | Smart LED Desk Lamp x2 | USB-C Fast Charger 65W x1</t>
  </si>
  <si>
    <t>#ORD-10971</t>
  </si>
  <si>
    <t>21:25:45</t>
  </si>
  <si>
    <t>Elizabeth Rodriguez</t>
  </si>
  <si>
    <t>elizabeth.rodriguez76@gmail.com</t>
  </si>
  <si>
    <t>+1-997-811-9135</t>
  </si>
  <si>
    <t>#ORD-10972</t>
  </si>
  <si>
    <t>23:29:28</t>
  </si>
  <si>
    <t>Liam Miller</t>
  </si>
  <si>
    <t>liam.miller59@gmail.com</t>
  </si>
  <si>
    <t>+1-465-176-3558</t>
  </si>
  <si>
    <t>#ORD-10973</t>
  </si>
  <si>
    <t>12:25:51</t>
  </si>
  <si>
    <t>liam.martinez7@gmail.com</t>
  </si>
  <si>
    <t>+1-636-982-1366</t>
  </si>
  <si>
    <t>Stainless Steel Cookware Set x1 | Casual Sneakers x1</t>
  </si>
  <si>
    <t>#ORD-10974</t>
  </si>
  <si>
    <t>sofia.anderson17@outlook.com</t>
  </si>
  <si>
    <t>+1-260-227-1276</t>
  </si>
  <si>
    <t>#ORD-10975</t>
  </si>
  <si>
    <t>10:07:24</t>
  </si>
  <si>
    <t>benjamin.white52@outlook.com</t>
  </si>
  <si>
    <t>+1-491-535-3825</t>
  </si>
  <si>
    <t>Insulated Water Bottle 32oz x2 | Multivitamin Daily Pack x1</t>
  </si>
  <si>
    <t>#ORD-10976</t>
  </si>
  <si>
    <t>14:33:56</t>
  </si>
  <si>
    <t>Oliver Taylor</t>
  </si>
  <si>
    <t>oliver.taylor14@gmail.com</t>
  </si>
  <si>
    <t>+1-227-925-7759</t>
  </si>
  <si>
    <t>#ORD-10977</t>
  </si>
  <si>
    <t>11:48:57</t>
  </si>
  <si>
    <t>william.anderson58@gmail.com</t>
  </si>
  <si>
    <t>+1-921-162-8593</t>
  </si>
  <si>
    <t>Stainless Steel Cookware Set x1 | Running Shoes - Men's x1 | Multivitamin Daily Pack x1 | Air Fryer 5.8Qt x2</t>
  </si>
  <si>
    <t>#ORD-10978</t>
  </si>
  <si>
    <t>11:35:59</t>
  </si>
  <si>
    <t>Ethan Gonzalez</t>
  </si>
  <si>
    <t>ethan.gonzalez6@gmail.com</t>
  </si>
  <si>
    <t>+1-703-407-4268</t>
  </si>
  <si>
    <t>#ORD-10979</t>
  </si>
  <si>
    <t>18:27:20</t>
  </si>
  <si>
    <t>henry.lopez91@gmail.com</t>
  </si>
  <si>
    <t>+1-230-309-2974</t>
  </si>
  <si>
    <t>#ORD-10980</t>
  </si>
  <si>
    <t>18:12:35</t>
  </si>
  <si>
    <t>William Smith</t>
  </si>
  <si>
    <t>william.smith26@outlook.com</t>
  </si>
  <si>
    <t>+1-561-699-2049</t>
  </si>
  <si>
    <t>#ORD-10981</t>
  </si>
  <si>
    <t>11:03:01</t>
  </si>
  <si>
    <t>Owen Thomas</t>
  </si>
  <si>
    <t>owen.thomas18@yahoo.com</t>
  </si>
  <si>
    <t>+1-319-151-8322</t>
  </si>
  <si>
    <t>#ORD-10982</t>
  </si>
  <si>
    <t>23:45:41</t>
  </si>
  <si>
    <t>daniel.allen60@gmail.com</t>
  </si>
  <si>
    <t>+1-203-422-5084</t>
  </si>
  <si>
    <t>#ORD-10983</t>
  </si>
  <si>
    <t>02:49:00</t>
  </si>
  <si>
    <t>ava.lee23@gmail.com</t>
  </si>
  <si>
    <t>+1-854-329-2066</t>
  </si>
  <si>
    <t>Portable Bluetooth Speaker x1 | High-Waist Leggings x1</t>
  </si>
  <si>
    <t>#ORD-10984</t>
  </si>
  <si>
    <t>10:33:36</t>
  </si>
  <si>
    <t>charlotte.walker57@outlook.com</t>
  </si>
  <si>
    <t>+1-691-684-5360</t>
  </si>
  <si>
    <t>Men's Grooming Kit x1 | Yoga Mat Premium x2</t>
  </si>
  <si>
    <t>#ORD-10985</t>
  </si>
  <si>
    <t>22:03:38</t>
  </si>
  <si>
    <t>oliver.anderson23@yahoo.com</t>
  </si>
  <si>
    <t>+1-641-968-3286</t>
  </si>
  <si>
    <t>Air Fryer 5.8Qt x1 | Anti-Aging Serum 1oz x1 | Linen Throw Blanket x2</t>
  </si>
  <si>
    <t>#ORD-10986</t>
  </si>
  <si>
    <t>22:17:39</t>
  </si>
  <si>
    <t>liam.wilson7@outlook.com</t>
  </si>
  <si>
    <t>+1-285-340-7051</t>
  </si>
  <si>
    <t>Smart LED Desk Lamp x1 | USB-C Fast Charger 65W x1 | Multivitamin Daily Pack x1</t>
  </si>
  <si>
    <t>#ORD-10987</t>
  </si>
  <si>
    <t>01:55:10</t>
  </si>
  <si>
    <t>benjamin.nguyen77@outlook.com</t>
  </si>
  <si>
    <t>+1-840-701-5747</t>
  </si>
  <si>
    <t>#ORD-10988</t>
  </si>
  <si>
    <t>06:12:31</t>
  </si>
  <si>
    <t>Scarlett Johnson</t>
  </si>
  <si>
    <t>scarlett.johnson10@outlook.com</t>
  </si>
  <si>
    <t>+1-650-619-7124</t>
  </si>
  <si>
    <t>#ORD-10989</t>
  </si>
  <si>
    <t>23:28:32</t>
  </si>
  <si>
    <t>avery.smith23@gmail.com</t>
  </si>
  <si>
    <t>+1-776-187-5907</t>
  </si>
  <si>
    <t>#ORD-10990</t>
  </si>
  <si>
    <t>07:05:28</t>
  </si>
  <si>
    <t>Victoria Sanchez</t>
  </si>
  <si>
    <t>victoria.sanchez98@yahoo.com</t>
  </si>
  <si>
    <t>+1-674-843-7424</t>
  </si>
  <si>
    <t>Stainless Steel Cookware Set x2 | Anti-Aging Serum 1oz x1</t>
  </si>
  <si>
    <t>#ORD-10991</t>
  </si>
  <si>
    <t>18:02:40</t>
  </si>
  <si>
    <t>Daniel Young</t>
  </si>
  <si>
    <t>daniel.young82@gmail.com</t>
  </si>
  <si>
    <t>+1-765-757-5065</t>
  </si>
  <si>
    <t>Casual Sneakers x1 | Sunscreen SPF 50 Face x2</t>
  </si>
  <si>
    <t>#ORD-10992</t>
  </si>
  <si>
    <t>18:41:08</t>
  </si>
  <si>
    <t>Logan Allen</t>
  </si>
  <si>
    <t>logan.allen87@outlook.com</t>
  </si>
  <si>
    <t>+1-386-399-1740</t>
  </si>
  <si>
    <t>#ORD-10993</t>
  </si>
  <si>
    <t>19:58:44</t>
  </si>
  <si>
    <t>+1-654-111-3505</t>
  </si>
  <si>
    <t>#ORD-10994</t>
  </si>
  <si>
    <t>12:04:57</t>
  </si>
  <si>
    <t>william.perez50@gmail.com</t>
  </si>
  <si>
    <t>+1-747-509-9727</t>
  </si>
  <si>
    <t>#ORD-10995</t>
  </si>
  <si>
    <t>09:41:20</t>
  </si>
  <si>
    <t>Scarlett Anderson</t>
  </si>
  <si>
    <t>scarlett.anderson6@yahoo.com</t>
  </si>
  <si>
    <t>+1-264-191-5913</t>
  </si>
  <si>
    <t>#ORD-10996</t>
  </si>
  <si>
    <t>11:21:14</t>
  </si>
  <si>
    <t>ava.wilson15@outlook.com</t>
  </si>
  <si>
    <t>+1-310-338-4495</t>
  </si>
  <si>
    <t>#ORD-10997</t>
  </si>
  <si>
    <t>ella.clark1@gmail.com</t>
  </si>
  <si>
    <t>+1-568-385-5949</t>
  </si>
  <si>
    <t>#ORD-10998</t>
  </si>
  <si>
    <t>13:06:09</t>
  </si>
  <si>
    <t>michael.martinez16@yahoo.com</t>
  </si>
  <si>
    <t>+1-973-858-8933</t>
  </si>
  <si>
    <t>#ORD-10999</t>
  </si>
  <si>
    <t>00:45:42</t>
  </si>
  <si>
    <t>Ava Wright</t>
  </si>
  <si>
    <t>ava.wright90@gmail.com</t>
  </si>
  <si>
    <t>+1-281-553-5437</t>
  </si>
  <si>
    <t>Coffee Maker Programmable x1 | Essential Oil Diffuser x1</t>
  </si>
  <si>
    <t>#ORD-11000</t>
  </si>
  <si>
    <t>18:33:48</t>
  </si>
  <si>
    <t>Sofia Wright</t>
  </si>
  <si>
    <t>sofia.wright14@outlook.com</t>
  </si>
  <si>
    <t>+1-605-813-8214</t>
  </si>
  <si>
    <t>Total Orders</t>
  </si>
  <si>
    <t>Total Revenue</t>
  </si>
  <si>
    <t>Total Refunds</t>
  </si>
  <si>
    <t>Free Shipping Orders</t>
  </si>
  <si>
    <t>May</t>
  </si>
  <si>
    <t>Month Name</t>
  </si>
  <si>
    <t>Quarter</t>
  </si>
  <si>
    <t>Net Revenue</t>
  </si>
  <si>
    <t>SHOPIFY STORE — KPI SUMMARY 2024</t>
  </si>
  <si>
    <t>Average Order Value</t>
  </si>
  <si>
    <t>Total Discounts Given</t>
  </si>
  <si>
    <t>Refund Rate</t>
  </si>
  <si>
    <t>Cancellation Rate</t>
  </si>
  <si>
    <t>Best Revenue Month</t>
  </si>
  <si>
    <t>Month Number</t>
  </si>
  <si>
    <t>Monthly Revenue</t>
  </si>
  <si>
    <t>January</t>
  </si>
  <si>
    <t>February</t>
  </si>
  <si>
    <t>March</t>
  </si>
  <si>
    <t>April</t>
  </si>
  <si>
    <t>June</t>
  </si>
  <si>
    <t>July</t>
  </si>
  <si>
    <t>August</t>
  </si>
  <si>
    <t>September</t>
  </si>
  <si>
    <t>October</t>
  </si>
  <si>
    <t>November</t>
  </si>
  <si>
    <t>December</t>
  </si>
  <si>
    <t>Grand Total</t>
  </si>
  <si>
    <t>Count of Orders</t>
  </si>
  <si>
    <t>Months</t>
  </si>
  <si>
    <t>Sum of Total Orders</t>
  </si>
  <si>
    <t>% of Orders</t>
  </si>
  <si>
    <t>Sum Total of Orders</t>
  </si>
  <si>
    <t>Average Total of Orders</t>
  </si>
  <si>
    <t>SHOPIFY STORE - EXECUTIVE SALES DASHBOARD - FY2024</t>
  </si>
  <si>
    <t>TOTAL REVENUE</t>
  </si>
  <si>
    <t>TOTAL ORDERS</t>
  </si>
  <si>
    <t>AVG ORDER VALUE</t>
  </si>
  <si>
    <t>REFUND RATE</t>
  </si>
  <si>
    <t>SHOPIFY STORE - 2024 PERFORMANCE INSIGHTS</t>
  </si>
  <si>
    <t>EXECUTIVE SUMMARY</t>
  </si>
  <si>
    <t>#</t>
  </si>
  <si>
    <t>FINDING</t>
  </si>
  <si>
    <t>SUPPORTING DATA</t>
  </si>
  <si>
    <t>TREND</t>
  </si>
  <si>
    <t>Q4 was the strongest quarter driving the highest revenue of the year</t>
  </si>
  <si>
    <t>Online Store is the top sales channel by both order volume and revenue</t>
  </si>
  <si>
    <t>More than half of all orders qualified for free shipping (order above $75)</t>
  </si>
  <si>
    <t>Discount codes were used in a significant portion of all orders</t>
  </si>
  <si>
    <t>Refunded orders have the highest average order value among all statuses</t>
  </si>
  <si>
    <t>Electronics and Kitchen are the top two revenue generating categories</t>
  </si>
  <si>
    <t>Shop Pay users show above average order values compared to other methods</t>
  </si>
  <si>
    <t>Sum of Revenue ($)</t>
  </si>
  <si>
    <t xml:space="preserve">The store prcessed 1,000 orders in 2024 generating  $137929.05 in total revenue with an average order value of $137.9. The strongest sales channel was Online Store and peak revenue occurred in Q4 2024.Key areas for improvement include the refund rate and cancellation rate which together account for 11.70% of all orders processed during the year.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</si>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</sst>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14009]yyyy/mm/dd;@"/>
    <numFmt numFmtId="166" formatCode="[$$-409]#,##0.00"/>
  </numFmts>
  <fonts count="20" x14ac:knownFonts="1">
    <font>
      <sz val="11"/>
      <color theme="1"/>
      <name val="Calibri"/>
      <family val="2"/>
      <scheme val="minor"/>
    </font>
    <font>
      <b/>
      <sz val="10"/>
      <color rgb="FFFFFFFF"/>
      <name val="Arial"/>
    </font>
    <font>
      <sz val="9"/>
      <name val="Arial"/>
    </font>
    <font>
      <sz val="11"/>
      <color theme="1"/>
      <name val="Calibri"/>
      <family val="2"/>
      <scheme val="minor"/>
    </font>
    <font>
      <b/>
      <sz val="11"/>
      <color theme="1"/>
      <name val="Calibri"/>
      <family val="2"/>
      <scheme val="minor"/>
    </font>
    <font>
      <b/>
      <sz val="10"/>
      <color rgb="FFFFFFFF"/>
      <name val="Arial"/>
      <family val="2"/>
    </font>
    <font>
      <sz val="8"/>
      <name val="Calibri"/>
      <family val="2"/>
      <scheme val="minor"/>
    </font>
    <font>
      <sz val="16"/>
      <color theme="1"/>
      <name val="Calibri"/>
      <family val="2"/>
      <scheme val="minor"/>
    </font>
    <font>
      <b/>
      <sz val="16"/>
      <color theme="1"/>
      <name val="Calibri"/>
      <family val="2"/>
      <scheme val="minor"/>
    </font>
    <font>
      <b/>
      <sz val="14"/>
      <color theme="0"/>
      <name val="Calibri"/>
      <family val="2"/>
      <scheme val="minor"/>
    </font>
    <font>
      <sz val="16"/>
      <color theme="0"/>
      <name val="Arial"/>
      <family val="2"/>
    </font>
    <font>
      <sz val="14"/>
      <color theme="3" tint="-0.499984740745262"/>
      <name val="Arial"/>
      <family val="2"/>
    </font>
    <font>
      <sz val="14"/>
      <color theme="3" tint="-0.499984740745262"/>
      <name val="Calibri"/>
      <family val="2"/>
      <scheme val="minor"/>
    </font>
    <font>
      <sz val="18"/>
      <color theme="3" tint="-0.499984740745262"/>
      <name val="Calibri"/>
      <family val="2"/>
      <scheme val="minor"/>
    </font>
    <font>
      <sz val="18"/>
      <color theme="1"/>
      <name val="Calibri"/>
      <family val="2"/>
      <scheme val="minor"/>
    </font>
    <font>
      <b/>
      <sz val="11"/>
      <color theme="1"/>
      <name val="Arial"/>
      <family val="2"/>
    </font>
    <font>
      <b/>
      <i/>
      <sz val="11"/>
      <color theme="1"/>
      <name val="Arial"/>
      <family val="2"/>
    </font>
    <font>
      <b/>
      <sz val="10"/>
      <color theme="1"/>
      <name val="Arial"/>
      <family val="2"/>
    </font>
    <font>
      <i/>
      <sz val="11"/>
      <color theme="1"/>
      <name val="Calibri"/>
      <family val="2"/>
      <scheme val="minor"/>
    </font>
    <font>
      <sz val="11"/>
      <color theme="2" tint="-0.749992370372631"/>
      <name val="Calibri"/>
      <family val="2"/>
      <scheme val="minor"/>
    </font>
  </fonts>
  <fills count="26">
    <fill>
      <patternFill patternType="none"/>
    </fill>
    <fill>
      <patternFill patternType="gray125"/>
    </fill>
    <fill>
      <patternFill patternType="solid">
        <fgColor rgb="FF2C3E50"/>
      </patternFill>
    </fill>
    <fill>
      <patternFill patternType="solid">
        <fgColor rgb="FFF2F7FA"/>
      </patternFill>
    </fill>
    <fill>
      <patternFill patternType="solid">
        <fgColor rgb="FFFFFFFF"/>
      </patternFill>
    </fill>
    <fill>
      <patternFill patternType="solid">
        <fgColor theme="1"/>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5250F"/>
        <bgColor indexed="64"/>
      </patternFill>
    </fill>
    <fill>
      <patternFill patternType="solid">
        <fgColor rgb="FFFBB3AB"/>
        <bgColor indexed="64"/>
      </patternFill>
    </fill>
    <fill>
      <patternFill patternType="solid">
        <fgColor rgb="FFF74F2D"/>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2"/>
        <bgColor indexed="64"/>
      </patternFill>
    </fill>
  </fills>
  <borders count="10">
    <border>
      <left/>
      <right/>
      <top/>
      <bottom/>
      <diagonal/>
    </border>
    <border>
      <left/>
      <right/>
      <top/>
      <bottom style="thin">
        <color rgb="FFD5DDE5"/>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3" fillId="0" borderId="0" applyFont="0" applyFill="0" applyBorder="0" applyAlignment="0" applyProtection="0"/>
  </cellStyleXfs>
  <cellXfs count="61">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left" vertical="center"/>
    </xf>
    <xf numFmtId="164" fontId="2" fillId="3" borderId="1" xfId="0" applyNumberFormat="1" applyFont="1" applyFill="1" applyBorder="1" applyAlignment="1">
      <alignment horizontal="right" vertical="center"/>
    </xf>
    <xf numFmtId="0" fontId="2" fillId="4" borderId="1" xfId="0" applyFont="1" applyFill="1" applyBorder="1" applyAlignment="1">
      <alignment horizontal="left" vertical="center"/>
    </xf>
    <xf numFmtId="164" fontId="2" fillId="4" borderId="1" xfId="0" applyNumberFormat="1" applyFont="1" applyFill="1" applyBorder="1" applyAlignment="1">
      <alignment horizontal="right" vertical="center"/>
    </xf>
    <xf numFmtId="0" fontId="5" fillId="2" borderId="0" xfId="0" applyFont="1" applyFill="1" applyAlignment="1">
      <alignment horizontal="center" vertical="center"/>
    </xf>
    <xf numFmtId="164" fontId="0" fillId="0" borderId="0" xfId="0" applyNumberFormat="1"/>
    <xf numFmtId="165" fontId="2" fillId="3" borderId="1" xfId="0" applyNumberFormat="1" applyFont="1" applyFill="1" applyBorder="1" applyAlignment="1">
      <alignment horizontal="left" vertical="center"/>
    </xf>
    <xf numFmtId="165" fontId="2" fillId="4" borderId="1" xfId="0" applyNumberFormat="1" applyFont="1" applyFill="1" applyBorder="1" applyAlignment="1">
      <alignment horizontal="left" vertical="center"/>
    </xf>
    <xf numFmtId="0" fontId="0" fillId="0" borderId="0" xfId="0" applyAlignment="1">
      <alignment horizontal="center" vertical="top"/>
    </xf>
    <xf numFmtId="0" fontId="0" fillId="0" borderId="0" xfId="0" applyAlignment="1">
      <alignment horizontal="center"/>
    </xf>
    <xf numFmtId="0" fontId="9" fillId="5" borderId="0" xfId="0" applyFont="1" applyFill="1"/>
    <xf numFmtId="0" fontId="9" fillId="6" borderId="2" xfId="0" applyFont="1" applyFill="1" applyBorder="1"/>
    <xf numFmtId="0" fontId="8" fillId="7" borderId="2" xfId="0" applyFont="1" applyFill="1" applyBorder="1"/>
    <xf numFmtId="0" fontId="7" fillId="8" borderId="2" xfId="0" applyFont="1" applyFill="1" applyBorder="1"/>
    <xf numFmtId="9" fontId="7" fillId="8" borderId="2" xfId="1" applyFont="1" applyFill="1" applyBorder="1"/>
    <xf numFmtId="0" fontId="0" fillId="0" borderId="0" xfId="0" pivotButton="1"/>
    <xf numFmtId="0" fontId="0" fillId="0" borderId="0" xfId="0" applyAlignment="1">
      <alignment horizontal="left"/>
    </xf>
    <xf numFmtId="0" fontId="0" fillId="0" borderId="2" xfId="0" applyBorder="1" applyAlignment="1">
      <alignment horizontal="left"/>
    </xf>
    <xf numFmtId="0" fontId="0" fillId="0" borderId="2" xfId="0" applyBorder="1"/>
    <xf numFmtId="0" fontId="4" fillId="8" borderId="0" xfId="0" applyFont="1" applyFill="1"/>
    <xf numFmtId="10" fontId="4" fillId="8" borderId="0" xfId="1" applyNumberFormat="1" applyFont="1" applyFill="1"/>
    <xf numFmtId="10" fontId="0" fillId="0" borderId="2" xfId="1" applyNumberFormat="1" applyFont="1" applyBorder="1"/>
    <xf numFmtId="0" fontId="0" fillId="0" borderId="2" xfId="0" pivotButton="1" applyBorder="1"/>
    <xf numFmtId="0" fontId="19" fillId="0" borderId="0" xfId="0" applyFont="1"/>
    <xf numFmtId="0" fontId="4" fillId="11" borderId="2" xfId="0" applyFont="1" applyFill="1" applyBorder="1" applyAlignment="1">
      <alignment horizontal="center" vertical="center"/>
    </xf>
    <xf numFmtId="0" fontId="0" fillId="11" borderId="2" xfId="0" applyFill="1" applyBorder="1"/>
    <xf numFmtId="0" fontId="4" fillId="25" borderId="2" xfId="0" applyFont="1" applyFill="1" applyBorder="1" applyAlignment="1">
      <alignment horizontal="center" vertical="center"/>
    </xf>
    <xf numFmtId="0" fontId="0" fillId="25" borderId="2" xfId="0" applyFill="1" applyBorder="1"/>
    <xf numFmtId="0" fontId="17" fillId="0" borderId="2" xfId="0" applyFont="1" applyBorder="1" applyAlignment="1">
      <alignment horizontal="right"/>
    </xf>
    <xf numFmtId="9" fontId="17" fillId="0" borderId="2" xfId="1" applyFont="1" applyBorder="1" applyAlignment="1">
      <alignment horizontal="right"/>
    </xf>
    <xf numFmtId="166" fontId="17" fillId="0" borderId="2" xfId="0" applyNumberFormat="1" applyFont="1" applyBorder="1" applyAlignment="1">
      <alignment horizontal="right"/>
    </xf>
    <xf numFmtId="0" fontId="4" fillId="11" borderId="6" xfId="0" applyFont="1" applyFill="1" applyBorder="1" applyAlignment="1">
      <alignment horizontal="center" vertical="center"/>
    </xf>
    <xf numFmtId="0" fontId="0" fillId="11" borderId="6" xfId="0" applyFill="1" applyBorder="1"/>
    <xf numFmtId="166" fontId="17" fillId="0" borderId="6" xfId="0" applyNumberFormat="1" applyFont="1" applyBorder="1" applyAlignment="1">
      <alignment horizontal="right" vertical="center"/>
    </xf>
    <xf numFmtId="0" fontId="0" fillId="0" borderId="6" xfId="0" applyBorder="1"/>
    <xf numFmtId="0" fontId="17" fillId="24" borderId="7" xfId="0" applyFont="1" applyFill="1" applyBorder="1" applyAlignment="1">
      <alignment horizontal="center" vertical="center"/>
    </xf>
    <xf numFmtId="0" fontId="17" fillId="24" borderId="8" xfId="0" applyFont="1" applyFill="1" applyBorder="1" applyAlignment="1">
      <alignment horizontal="center" vertical="center"/>
    </xf>
    <xf numFmtId="0" fontId="17" fillId="24" borderId="9" xfId="0" applyFont="1" applyFill="1" applyBorder="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1" fillId="11" borderId="0" xfId="0" applyFont="1" applyFill="1" applyAlignment="1">
      <alignment horizontal="center" vertical="center"/>
    </xf>
    <xf numFmtId="0" fontId="12" fillId="11" borderId="0" xfId="0" applyFont="1" applyFill="1" applyAlignment="1">
      <alignment horizontal="center" vertical="center"/>
    </xf>
    <xf numFmtId="0" fontId="13" fillId="10" borderId="0" xfId="0" applyFont="1" applyFill="1" applyAlignment="1">
      <alignment horizontal="center" vertical="center"/>
    </xf>
    <xf numFmtId="0" fontId="0" fillId="7" borderId="0" xfId="0" applyFill="1" applyAlignment="1">
      <alignment horizontal="center"/>
    </xf>
    <xf numFmtId="0" fontId="7" fillId="14" borderId="0" xfId="0" applyFont="1" applyFill="1" applyAlignment="1">
      <alignment horizontal="center" vertical="center"/>
    </xf>
    <xf numFmtId="0" fontId="14" fillId="13" borderId="0" xfId="0" applyFont="1" applyFill="1" applyAlignment="1">
      <alignment horizontal="center" vertical="center"/>
    </xf>
    <xf numFmtId="0" fontId="0" fillId="12" borderId="0" xfId="0" applyFill="1" applyAlignment="1">
      <alignment horizontal="center"/>
    </xf>
    <xf numFmtId="0" fontId="0" fillId="16" borderId="0" xfId="0" applyFill="1" applyAlignment="1">
      <alignment horizontal="center"/>
    </xf>
    <xf numFmtId="0" fontId="7" fillId="15" borderId="0" xfId="0" applyFont="1" applyFill="1" applyAlignment="1">
      <alignment horizontal="center" vertical="center"/>
    </xf>
    <xf numFmtId="0" fontId="14" fillId="17" borderId="0" xfId="0" applyFont="1" applyFill="1" applyAlignment="1">
      <alignment horizontal="center" vertical="center"/>
    </xf>
    <xf numFmtId="0" fontId="7" fillId="18" borderId="0" xfId="0" applyFont="1" applyFill="1" applyAlignment="1">
      <alignment horizontal="center" vertical="center"/>
    </xf>
    <xf numFmtId="9" fontId="14" fillId="20" borderId="0" xfId="1" applyFont="1" applyFill="1" applyAlignment="1">
      <alignment horizontal="center" vertical="center"/>
    </xf>
    <xf numFmtId="0" fontId="0" fillId="19" borderId="0" xfId="0" applyFill="1" applyAlignment="1">
      <alignment horizontal="center"/>
    </xf>
    <xf numFmtId="0" fontId="15" fillId="21" borderId="0" xfId="0" applyFont="1" applyFill="1" applyAlignment="1">
      <alignment horizontal="center"/>
    </xf>
    <xf numFmtId="0" fontId="0" fillId="21" borderId="0" xfId="0" applyFill="1" applyAlignment="1">
      <alignment horizontal="center"/>
    </xf>
    <xf numFmtId="0" fontId="16" fillId="22" borderId="3" xfId="0" applyFont="1" applyFill="1" applyBorder="1" applyAlignment="1">
      <alignment horizontal="center"/>
    </xf>
    <xf numFmtId="0" fontId="18" fillId="22" borderId="4" xfId="0" applyFont="1" applyFill="1" applyBorder="1" applyAlignment="1">
      <alignment horizontal="center"/>
    </xf>
    <xf numFmtId="0" fontId="18" fillId="22" borderId="5" xfId="0" applyFont="1" applyFill="1" applyBorder="1" applyAlignment="1">
      <alignment horizontal="center"/>
    </xf>
    <xf numFmtId="166" fontId="16" fillId="23" borderId="0" xfId="0" applyNumberFormat="1" applyFont="1" applyFill="1" applyAlignment="1">
      <alignment horizontal="center" wrapText="1"/>
    </xf>
  </cellXfs>
  <cellStyles count="2">
    <cellStyle name="Normal" xfId="0" builtinId="0"/>
    <cellStyle name="Percent" xfId="1" builtinId="5"/>
  </cellStyles>
  <dxfs count="14">
    <dxf>
      <fill>
        <patternFill>
          <bgColor rgb="FFFF0000"/>
        </patternFill>
      </fill>
    </dxf>
    <dxf>
      <fill>
        <patternFill>
          <bgColor theme="9" tint="0.3999450666829432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F74F2D"/>
      <color rgb="FFFBB3AB"/>
      <color rgb="FFF5250F"/>
      <color rgb="FFE96751"/>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[Shopify_Sales_Analysis_2024_Kedaar.xlsx]Revenue by Month!PivotTable1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Monthly Revenue Trend 2024</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'Revenue by Month'!$A$4:$A$17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'Revenue by Month'!$B$4:$B$17</c:f>
              <c:numCache>
                <c:formatCode>General</c:formatCode>
                <c:ptCount val="13"/>
                <c:pt idx="0">
                  <c:v>12015.350000000002</c:v>
                </c:pt>
                <c:pt idx="1">
                  <c:v>11262.67</c:v>
                </c:pt>
                <c:pt idx="2">
                  <c:v>11094.629999999997</c:v>
                </c:pt>
                <c:pt idx="3">
                  <c:v>10162.840000000002</c:v>
                </c:pt>
                <c:pt idx="4">
                  <c:v>11951.199999999999</c:v>
                </c:pt>
                <c:pt idx="5">
                  <c:v>9587.24</c:v>
                </c:pt>
                <c:pt idx="6">
                  <c:v>10833.230000000001</c:v>
                </c:pt>
                <c:pt idx="7">
                  <c:v>11882.41</c:v>
                </c:pt>
                <c:pt idx="8">
                  <c:v>11557.709999999995</c:v>
                </c:pt>
                <c:pt idx="9">
                  <c:v>15430.390000000007</c:v>
                </c:pt>
                <c:pt idx="10">
                  <c:v>12119.81</c:v>
                </c:pt>
                <c:pt idx="11">
                  <c:v>10031.569999999996</c:v>
                </c:pt>
              </c:numCache>
            </c:numRef>
          </c:val>
          <c:smooth val="0"/>
          <c:extLst>
            <c:ext xmlns:c16="http://schemas.microsoft.com/office/drawing/2014/chart" uri="{C3380CC4-5D6E-409C-BE32-E72D297353CC}">
              <c16:uniqueId val="{00000000-199A-4731-822D-ECFCEA46954A}"/>
            </c:ext>
          </c:extLst>
        </c:ser>
        <c:dLbls>
          <c:showLegendKey val="0"/>
          <c:showVal val="0"/>
          <c:showCatName val="0"/>
          <c:showSerName val="0"/>
          <c:showPercent val="0"/>
          <c:showBubbleSize val="0"/>
        </c:dLbls>
        <c:marker val="1"/>
        <c:smooth val="0"/>
        <c:axId val="1313730048"/>
        <c:axId val="1313731488"/>
      </c:lineChart>
      <c:catAx>
        <c:axId val="13137300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400"/>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31488"/>
        <c:crosses val="autoZero"/>
        <c:auto val="1"/>
        <c:lblAlgn val="ctr"/>
        <c:lblOffset val="100"/>
        <c:noMultiLvlLbl val="0"/>
      </c:catAx>
      <c:valAx>
        <c:axId val="131373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400"/>
                  <a:t>Total Sum of Order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3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[Shopify_Sales_Analysis_2024_Kedaar.xlsx]Orders by Sales!PivotTable2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Orders by Sales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by Sales'!$B$3</c:f>
              <c:strCache>
                <c:ptCount val="1"/>
                <c:pt idx="0">
                  <c:v>Count of Orders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by Sales'!$A$4:$A$13</c:f>
              <c:strCache>
                <c:ptCount val="9"/>
                <c:pt idx="0">
                  <c:v>Direct</c:v>
                </c:pt>
                <c:pt idx="1">
                  <c:v>Email Campaign</c:v>
                </c:pt>
                <c:pt idx="2">
                  <c:v>Facebook</c:v>
                </c:pt>
                <c:pt idx="3">
                  <c:v>Google Shopping</c:v>
                </c:pt>
                <c:pt idx="4">
                  <c:v>Instagram</c:v>
                </c:pt>
                <c:pt idx="5">
                  <c:v>Online Store</c:v>
                </c:pt>
                <c:pt idx="6">
                  <c:v>Referral</c:v>
                </c:pt>
                <c:pt idx="7">
                  <c:v>TikTok Shop</c:v>
                </c:pt>
                <c:pt idx="8">
                  <c:v>(blank)</c:v>
                </c:pt>
              </c:strCache>
            </c:strRef>
          </c:cat>
          <c:val>
            <c:numRef>
              <c:f>'Orders by Sales'!$B$4:$B$13</c:f>
              <c:numCache>
                <c:formatCode>General</c:formatCode>
                <c:ptCount val="9"/>
                <c:pt idx="0">
                  <c:v>62</c:v>
                </c:pt>
                <c:pt idx="1">
                  <c:v>70</c:v>
                </c:pt>
                <c:pt idx="2">
                  <c:v>159</c:v>
                </c:pt>
                <c:pt idx="3">
                  <c:v>91</c:v>
                </c:pt>
                <c:pt idx="4">
                  <c:v>141</c:v>
                </c:pt>
                <c:pt idx="5">
                  <c:v>397</c:v>
                </c:pt>
                <c:pt idx="6">
                  <c:v>32</c:v>
                </c:pt>
                <c:pt idx="7">
                  <c:v>48</c:v>
                </c:pt>
              </c:numCache>
            </c:numRef>
          </c:val>
          <c:extLst>
            <c:ext xmlns:c16="http://schemas.microsoft.com/office/drawing/2014/chart" uri="{C3380CC4-5D6E-409C-BE32-E72D297353CC}">
              <c16:uniqueId val="{00000000-B50C-492C-A9F2-7C630CE17279}"/>
            </c:ext>
          </c:extLst>
        </c:ser>
        <c:ser>
          <c:idx val="1"/>
          <c:order val="1"/>
          <c:tx>
            <c:strRef>
              <c:f>'Orders by Sales'!$C$3</c:f>
              <c:strCache>
                <c:ptCount val="1"/>
                <c:pt idx="0">
                  <c:v>Sum of Total Orders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by Sales'!$A$4:$A$13</c:f>
              <c:strCache>
                <c:ptCount val="9"/>
                <c:pt idx="0">
                  <c:v>Direct</c:v>
                </c:pt>
                <c:pt idx="1">
                  <c:v>Email Campaign</c:v>
                </c:pt>
                <c:pt idx="2">
                  <c:v>Facebook</c:v>
                </c:pt>
                <c:pt idx="3">
                  <c:v>Google Shopping</c:v>
                </c:pt>
                <c:pt idx="4">
                  <c:v>Instagram</c:v>
                </c:pt>
                <c:pt idx="5">
                  <c:v>Online Store</c:v>
                </c:pt>
                <c:pt idx="6">
                  <c:v>Referral</c:v>
                </c:pt>
                <c:pt idx="7">
                  <c:v>TikTok Shop</c:v>
                </c:pt>
                <c:pt idx="8">
                  <c:v>(blank)</c:v>
                </c:pt>
              </c:strCache>
            </c:strRef>
          </c:cat>
          <c:val>
            <c:numRef>
              <c:f>'Orders by Sales'!$C$4:$C$13</c:f>
              <c:numCache>
                <c:formatCode>General</c:formatCode>
                <c:ptCount val="9"/>
                <c:pt idx="0">
                  <c:v>8795.3599999999988</c:v>
                </c:pt>
                <c:pt idx="1">
                  <c:v>9891.7999999999993</c:v>
                </c:pt>
                <c:pt idx="2">
                  <c:v>22135.539999999986</c:v>
                </c:pt>
                <c:pt idx="3">
                  <c:v>13660.339999999995</c:v>
                </c:pt>
                <c:pt idx="4">
                  <c:v>18093.53</c:v>
                </c:pt>
                <c:pt idx="5">
                  <c:v>54025.510000000017</c:v>
                </c:pt>
                <c:pt idx="6">
                  <c:v>4946.67</c:v>
                </c:pt>
                <c:pt idx="7">
                  <c:v>6380.3</c:v>
                </c:pt>
              </c:numCache>
            </c:numRef>
          </c:val>
          <c:extLst>
            <c:ext xmlns:c16="http://schemas.microsoft.com/office/drawing/2014/chart" uri="{C3380CC4-5D6E-409C-BE32-E72D297353CC}">
              <c16:uniqueId val="{00000001-B50C-492C-A9F2-7C630CE17279}"/>
            </c:ext>
          </c:extLst>
        </c:ser>
        <c:dLbls>
          <c:dLblPos val="inEnd"/>
          <c:showLegendKey val="0"/>
          <c:showVal val="1"/>
          <c:showCatName val="0"/>
          <c:showSerName val="0"/>
          <c:showPercent val="0"/>
          <c:showBubbleSize val="0"/>
        </c:dLbls>
        <c:gapWidth val="182"/>
        <c:axId val="1313710848"/>
        <c:axId val="1313711808"/>
      </c:barChart>
      <c:catAx>
        <c:axId val="131371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11808"/>
        <c:crosses val="autoZero"/>
        <c:auto val="1"/>
        <c:lblAlgn val="ctr"/>
        <c:lblOffset val="100"/>
        <c:noMultiLvlLbl val="0"/>
      </c:catAx>
      <c:valAx>
        <c:axId val="131371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1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[Shopify_Sales_Analysis_2024_Kedaar.xlsx]Fulfillment status breakdown!PivotTable3</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2400" baseline="0"/>
              <a:t>fULFILLMENT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'Fulfillment status breakdown'!$B$3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5-4740-BCA3-808DC053119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5-4740-BCA3-808DC053119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265-4740-BCA3-808DC053119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265-4740-BCA3-808DC053119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265-4740-BCA3-808DC05311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'Fulfillment status breakdown'!$A$4:$A$9</c:f>
              <c:strCache>
                <c:ptCount val="5"/>
                <c:pt idx="0">
                  <c:v>Cancelled</c:v>
                </c:pt>
                <c:pt idx="1">
                  <c:v>Fulfilled</c:v>
                </c:pt>
                <c:pt idx="2">
                  <c:v>Partially Fulfilled</c:v>
                </c:pt>
                <c:pt idx="3">
                  <c:v>Refunded</c:v>
                </c:pt>
                <c:pt idx="4">
                  <c:v>Unfulfilled</c:v>
                </c:pt>
              </c:strCache>
            </c:strRef>
          </c:cat>
          <c:val>
            <c:numRef>
              <c:f>'Fulfillment status breakdown'!$B$4:$B$9</c:f>
              <c:numCache>
                <c:formatCode>General</c:formatCode>
                <c:ptCount val="5"/>
                <c:pt idx="0">
                  <c:v>117</c:v>
                </c:pt>
                <c:pt idx="1">
                  <c:v>560</c:v>
                </c:pt>
                <c:pt idx="2">
                  <c:v>115</c:v>
                </c:pt>
                <c:pt idx="3">
                  <c:v>100</c:v>
                </c:pt>
                <c:pt idx="4">
                  <c:v>108</c:v>
                </c:pt>
              </c:numCache>
            </c:numRef>
          </c:val>
          <c:extLst>
            <c:ext xmlns:c16="http://schemas.microsoft.com/office/drawing/2014/chart" uri="{C3380CC4-5D6E-409C-BE32-E72D297353CC}">
              <c16:uniqueId val="{00000000-CA9D-40AB-BE44-0A554EF8E62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7202923800161574"/>
          <c:y val="0.20751961704268831"/>
          <c:w val="0.27234653455709879"/>
          <c:h val="0.6256497082942351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[Shopify_Sales_Analysis_2024_Kedaar.xlsx]Revenue by Product!PivotTable4</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'Revenue by Product'!$A$4:$A$14</c:f>
              <c:strCache>
                <c:ptCount val="10"/>
                <c:pt idx="0">
                  <c:v>Electronics</c:v>
                </c:pt>
                <c:pt idx="1">
                  <c:v>Footwear</c:v>
                </c:pt>
                <c:pt idx="2">
                  <c:v>Kitchen</c:v>
                </c:pt>
                <c:pt idx="3">
                  <c:v>Bags &amp; Accessories</c:v>
                </c:pt>
                <c:pt idx="4">
                  <c:v>Beauty</c:v>
                </c:pt>
                <c:pt idx="5">
                  <c:v>Apparel</c:v>
                </c:pt>
                <c:pt idx="6">
                  <c:v>Home &amp; Living</c:v>
                </c:pt>
                <c:pt idx="7">
                  <c:v>Sports &amp; Fitness</c:v>
                </c:pt>
                <c:pt idx="8">
                  <c:v>Health &amp; Nutrition</c:v>
                </c:pt>
                <c:pt idx="9">
                  <c:v>Food &amp; Beverage</c:v>
                </c:pt>
              </c:strCache>
            </c:strRef>
          </c:cat>
          <c:val>
            <c:numRef>
              <c:f>'Revenue by Product'!$B$4:$B$14</c:f>
              <c:numCache>
                <c:formatCode>General</c:formatCode>
                <c:ptCount val="10"/>
                <c:pt idx="0">
                  <c:v>29497.700000000004</c:v>
                </c:pt>
                <c:pt idx="1">
                  <c:v>20735.62</c:v>
                </c:pt>
                <c:pt idx="2">
                  <c:v>18619.95</c:v>
                </c:pt>
                <c:pt idx="3">
                  <c:v>13417.3</c:v>
                </c:pt>
                <c:pt idx="4">
                  <c:v>12370.7</c:v>
                </c:pt>
                <c:pt idx="5">
                  <c:v>12082.000000000002</c:v>
                </c:pt>
                <c:pt idx="6">
                  <c:v>10360.239999999996</c:v>
                </c:pt>
                <c:pt idx="7">
                  <c:v>10277.129999999999</c:v>
                </c:pt>
                <c:pt idx="8">
                  <c:v>7646.8200000000024</c:v>
                </c:pt>
                <c:pt idx="9">
                  <c:v>2921.59</c:v>
                </c:pt>
              </c:numCache>
            </c:numRef>
          </c:val>
          <c:extLst>
            <c:ext xmlns:c16="http://schemas.microsoft.com/office/drawing/2014/chart" uri="{C3380CC4-5D6E-409C-BE32-E72D297353CC}">
              <c16:uniqueId val="{00000000-A17D-4E55-92F3-E2956E4D0EA6}"/>
            </c:ext>
          </c:extLst>
        </c:ser>
        <c:dLbls>
          <c:dLblPos val="outEnd"/>
          <c:showLegendKey val="0"/>
          <c:showVal val="1"/>
          <c:showCatName val="0"/>
          <c:showSerName val="0"/>
          <c:showPercent val="0"/>
          <c:showBubbleSize val="0"/>
        </c:dLbls>
        <c:gapWidth val="247"/>
        <c:axId val="1732251408"/>
        <c:axId val="1732262928"/>
      </c:barChart>
      <c:catAx>
        <c:axId val="17322514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32262928"/>
        <c:crosses val="autoZero"/>
        <c:auto val="1"/>
        <c:lblAlgn val="ctr"/>
        <c:lblOffset val="100"/>
        <c:noMultiLvlLbl val="0"/>
      </c:catAx>
      <c:valAx>
        <c:axId val="17322629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322514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[Shopify_Sales_Analysis_2024_Kedaar.xlsx]Payment Method analysis!PivotTable5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Payment Method Analysis</a:t>
            </a:r>
          </a:p>
        </c:rich>
      </c:tx>
      <c:layout>
        <c:manualLayout>
          <c:xMode val="edge"/>
          <c:yMode val="edge"/>
          <c:x val="0.30769418202139465"/>
          <c:y val="2.687336259276130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 analysis'!$B$3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'Payment Method analysis'!$A$4:$A$12</c:f>
              <c:strCache>
                <c:ptCount val="8"/>
                <c:pt idx="0">
                  <c:v>Afterpay</c:v>
                </c:pt>
                <c:pt idx="1">
                  <c:v>Apple Pay</c:v>
                </c:pt>
                <c:pt idx="2">
                  <c:v>Credit Card</c:v>
                </c:pt>
                <c:pt idx="3">
                  <c:v>Debit Card</c:v>
                </c:pt>
                <c:pt idx="4">
                  <c:v>Google Pay</c:v>
                </c:pt>
                <c:pt idx="5">
                  <c:v>Klarna</c:v>
                </c:pt>
                <c:pt idx="6">
                  <c:v>PayPal</c:v>
                </c:pt>
                <c:pt idx="7">
                  <c:v>Shop Pay</c:v>
                </c:pt>
              </c:strCache>
            </c:strRef>
          </c:cat>
          <c:val>
            <c:numRef>
              <c:f>'Payment Method analysis'!$B$4:$B$12</c:f>
              <c:numCache>
                <c:formatCode>General</c:formatCode>
                <c:ptCount val="8"/>
                <c:pt idx="0">
                  <c:v>140.64428571428573</c:v>
                </c:pt>
                <c:pt idx="1">
                  <c:v>139.37583333333339</c:v>
                </c:pt>
                <c:pt idx="2">
                  <c:v>135.61138036809814</c:v>
                </c:pt>
                <c:pt idx="3">
                  <c:v>133.96239795918365</c:v>
                </c:pt>
                <c:pt idx="4">
                  <c:v>128.45033333333333</c:v>
                </c:pt>
                <c:pt idx="5">
                  <c:v>147.79774193548386</c:v>
                </c:pt>
                <c:pt idx="6">
                  <c:v>150.25009708737855</c:v>
                </c:pt>
                <c:pt idx="7">
                  <c:v>128.61852631578947</c:v>
                </c:pt>
              </c:numCache>
            </c:numRef>
          </c:val>
          <c:extLst>
            <c:ext xmlns:c16="http://schemas.microsoft.com/office/drawing/2014/chart" uri="{C3380CC4-5D6E-409C-BE32-E72D297353CC}">
              <c16:uniqueId val="{00000000-87E4-440C-BB89-43A20D195C07}"/>
            </c:ext>
          </c:extLst>
        </c:ser>
        <c:dLbls>
          <c:dLblPos val="outEnd"/>
          <c:showLegendKey val="0"/>
          <c:showVal val="1"/>
          <c:showCatName val="0"/>
          <c:showSerName val="0"/>
          <c:showPercent val="0"/>
          <c:showBubbleSize val="0"/>
        </c:dLbls>
        <c:gapWidth val="444"/>
        <c:overlap val="-90"/>
        <c:axId val="1732267248"/>
        <c:axId val="1732269648"/>
      </c:barChart>
      <c:catAx>
        <c:axId val="17322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32269648"/>
        <c:crosses val="autoZero"/>
        <c:auto val="1"/>
        <c:lblAlgn val="ctr"/>
        <c:lblOffset val="100"/>
        <c:noMultiLvlLbl val="0"/>
      </c:catAx>
      <c:valAx>
        <c:axId val="1732269648"/>
        <c:scaling>
          <c:orientation val="minMax"/>
        </c:scaling>
        <c:delete val="1"/>
        <c:axPos val="l"/>
        <c:numFmt formatCode="General" sourceLinked="1"/>
        <c:majorTickMark val="none"/>
        <c:minorTickMark val="none"/>
        <c:tickLblPos val="nextTo"/>
        <c:crossAx val="17322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[Shopify_Sales_Analysis_2024_Kedaar.xlsx]Revenue by Month!PivotTable1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100" b="1" i="0" u="none" strike="noStrike" baseline="0">
                <a:latin typeface="Arial" panose="020B0604020202020204" pitchFamily="34" charset="0"/>
                <a:cs typeface="Arial" panose="020B0604020202020204" pitchFamily="34" charset="0"/>
              </a:rPr>
              <a:t>MONTHLY REVENUE TREND 2024</a:t>
            </a:r>
            <a:endParaRPr lang="en-US" sz="11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'Revenue by Month'!$A$4:$A$17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'Revenue by Month'!$B$4:$B$17</c:f>
              <c:numCache>
                <c:formatCode>General</c:formatCode>
                <c:ptCount val="13"/>
                <c:pt idx="0">
                  <c:v>12015.350000000002</c:v>
                </c:pt>
                <c:pt idx="1">
                  <c:v>11262.67</c:v>
                </c:pt>
                <c:pt idx="2">
                  <c:v>11094.629999999997</c:v>
                </c:pt>
                <c:pt idx="3">
                  <c:v>10162.840000000002</c:v>
                </c:pt>
                <c:pt idx="4">
                  <c:v>11951.199999999999</c:v>
                </c:pt>
                <c:pt idx="5">
                  <c:v>9587.24</c:v>
                </c:pt>
                <c:pt idx="6">
                  <c:v>10833.230000000001</c:v>
                </c:pt>
                <c:pt idx="7">
                  <c:v>11882.41</c:v>
                </c:pt>
                <c:pt idx="8">
                  <c:v>11557.709999999995</c:v>
                </c:pt>
                <c:pt idx="9">
                  <c:v>15430.390000000007</c:v>
                </c:pt>
                <c:pt idx="10">
                  <c:v>12119.81</c:v>
                </c:pt>
                <c:pt idx="11">
                  <c:v>10031.569999999996</c:v>
                </c:pt>
              </c:numCache>
            </c:numRef>
          </c:val>
          <c:smooth val="0"/>
          <c:extLst>
            <c:ext xmlns:c16="http://schemas.microsoft.com/office/drawing/2014/chart" uri="{C3380CC4-5D6E-409C-BE32-E72D297353CC}">
              <c16:uniqueId val="{00000000-FBAD-4405-A391-53954ECE5767}"/>
            </c:ext>
          </c:extLst>
        </c:ser>
        <c:dLbls>
          <c:showLegendKey val="0"/>
          <c:showVal val="0"/>
          <c:showCatName val="0"/>
          <c:showSerName val="0"/>
          <c:showPercent val="0"/>
          <c:showBubbleSize val="0"/>
        </c:dLbls>
        <c:marker val="1"/>
        <c:smooth val="0"/>
        <c:axId val="1313730048"/>
        <c:axId val="1313731488"/>
      </c:lineChart>
      <c:catAx>
        <c:axId val="1313730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31488"/>
        <c:crosses val="autoZero"/>
        <c:auto val="1"/>
        <c:lblAlgn val="ctr"/>
        <c:lblOffset val="100"/>
        <c:noMultiLvlLbl val="0"/>
      </c:catAx>
      <c:valAx>
        <c:axId val="131373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3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[Shopify_Sales_Analysis_2024_Kedaar.xlsx]Orders by Sales!PivotTable2</c:name>
    <c:fmtId val="2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100" b="1">
                <a:latin typeface="Arial" panose="020B0604020202020204" pitchFamily="34" charset="0"/>
                <a:cs typeface="Arial" panose="020B0604020202020204" pitchFamily="34" charset="0"/>
              </a:rPr>
              <a:t>ORDERS</a:t>
            </a:r>
            <a:r>
              <a:rPr lang="en-IN" sz="1100" b="1" baseline="0">
                <a:latin typeface="Arial" panose="020B0604020202020204" pitchFamily="34" charset="0"/>
                <a:cs typeface="Arial" panose="020B0604020202020204" pitchFamily="34" charset="0"/>
              </a:rPr>
              <a:t> BY SALES </a:t>
            </a:r>
            <a:r>
              <a:rPr lang="en-IN" sz="1100" b="1">
                <a:latin typeface="Arial" panose="020B0604020202020204" pitchFamily="34" charset="0"/>
                <a:cs typeface="Arial" panose="020B0604020202020204" pitchFamily="34" charset="0"/>
              </a:rPr>
              <a:t>2024</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by Sales'!$B$3</c:f>
              <c:strCache>
                <c:ptCount val="1"/>
                <c:pt idx="0">
                  <c:v>Count of Orders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by Sales'!$A$4:$A$13</c:f>
              <c:strCache>
                <c:ptCount val="9"/>
                <c:pt idx="0">
                  <c:v>Direct</c:v>
                </c:pt>
                <c:pt idx="1">
                  <c:v>Email Campaign</c:v>
                </c:pt>
                <c:pt idx="2">
                  <c:v>Facebook</c:v>
                </c:pt>
                <c:pt idx="3">
                  <c:v>Google Shopping</c:v>
                </c:pt>
                <c:pt idx="4">
                  <c:v>Instagram</c:v>
                </c:pt>
                <c:pt idx="5">
                  <c:v>Online Store</c:v>
                </c:pt>
                <c:pt idx="6">
                  <c:v>Referral</c:v>
                </c:pt>
                <c:pt idx="7">
                  <c:v>TikTok Shop</c:v>
                </c:pt>
                <c:pt idx="8">
                  <c:v>(blank)</c:v>
                </c:pt>
              </c:strCache>
            </c:strRef>
          </c:cat>
          <c:val>
            <c:numRef>
              <c:f>'Orders by Sales'!$B$4:$B$13</c:f>
              <c:numCache>
                <c:formatCode>General</c:formatCode>
                <c:ptCount val="9"/>
                <c:pt idx="0">
                  <c:v>62</c:v>
                </c:pt>
                <c:pt idx="1">
                  <c:v>70</c:v>
                </c:pt>
                <c:pt idx="2">
                  <c:v>159</c:v>
                </c:pt>
                <c:pt idx="3">
                  <c:v>91</c:v>
                </c:pt>
                <c:pt idx="4">
                  <c:v>141</c:v>
                </c:pt>
                <c:pt idx="5">
                  <c:v>397</c:v>
                </c:pt>
                <c:pt idx="6">
                  <c:v>32</c:v>
                </c:pt>
                <c:pt idx="7">
                  <c:v>48</c:v>
                </c:pt>
              </c:numCache>
            </c:numRef>
          </c:val>
          <c:extLst>
            <c:ext xmlns:c16="http://schemas.microsoft.com/office/drawing/2014/chart" uri="{C3380CC4-5D6E-409C-BE32-E72D297353CC}">
              <c16:uniqueId val="{00000000-3AA6-41F0-9AB5-90379F507F87}"/>
            </c:ext>
          </c:extLst>
        </c:ser>
        <c:ser>
          <c:idx val="1"/>
          <c:order val="1"/>
          <c:tx>
            <c:strRef>
              <c:f>'Orders by Sales'!$C$3</c:f>
              <c:strCache>
                <c:ptCount val="1"/>
                <c:pt idx="0">
                  <c:v>Sum of Total Orders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by Sales'!$A$4:$A$13</c:f>
              <c:strCache>
                <c:ptCount val="9"/>
                <c:pt idx="0">
                  <c:v>Direct</c:v>
                </c:pt>
                <c:pt idx="1">
                  <c:v>Email Campaign</c:v>
                </c:pt>
                <c:pt idx="2">
                  <c:v>Facebook</c:v>
                </c:pt>
                <c:pt idx="3">
                  <c:v>Google Shopping</c:v>
                </c:pt>
                <c:pt idx="4">
                  <c:v>Instagram</c:v>
                </c:pt>
                <c:pt idx="5">
                  <c:v>Online Store</c:v>
                </c:pt>
                <c:pt idx="6">
                  <c:v>Referral</c:v>
                </c:pt>
                <c:pt idx="7">
                  <c:v>TikTok Shop</c:v>
                </c:pt>
                <c:pt idx="8">
                  <c:v>(blank)</c:v>
                </c:pt>
              </c:strCache>
            </c:strRef>
          </c:cat>
          <c:val>
            <c:numRef>
              <c:f>'Orders by Sales'!$C$4:$C$13</c:f>
              <c:numCache>
                <c:formatCode>General</c:formatCode>
                <c:ptCount val="9"/>
                <c:pt idx="0">
                  <c:v>8795.3599999999988</c:v>
                </c:pt>
                <c:pt idx="1">
                  <c:v>9891.7999999999993</c:v>
                </c:pt>
                <c:pt idx="2">
                  <c:v>22135.539999999986</c:v>
                </c:pt>
                <c:pt idx="3">
                  <c:v>13660.339999999995</c:v>
                </c:pt>
                <c:pt idx="4">
                  <c:v>18093.53</c:v>
                </c:pt>
                <c:pt idx="5">
                  <c:v>54025.510000000017</c:v>
                </c:pt>
                <c:pt idx="6">
                  <c:v>4946.67</c:v>
                </c:pt>
                <c:pt idx="7">
                  <c:v>6380.3</c:v>
                </c:pt>
              </c:numCache>
            </c:numRef>
          </c:val>
          <c:extLst>
            <c:ext xmlns:c16="http://schemas.microsoft.com/office/drawing/2014/chart" uri="{C3380CC4-5D6E-409C-BE32-E72D297353CC}">
              <c16:uniqueId val="{00000001-3AA6-41F0-9AB5-90379F507F87}"/>
            </c:ext>
          </c:extLst>
        </c:ser>
        <c:dLbls>
          <c:dLblPos val="inEnd"/>
          <c:showLegendKey val="0"/>
          <c:showVal val="1"/>
          <c:showCatName val="0"/>
          <c:showSerName val="0"/>
          <c:showPercent val="0"/>
          <c:showBubbleSize val="0"/>
        </c:dLbls>
        <c:gapWidth val="182"/>
        <c:axId val="1313710848"/>
        <c:axId val="1313711808"/>
      </c:barChart>
      <c:catAx>
        <c:axId val="131371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11808"/>
        <c:crosses val="autoZero"/>
        <c:auto val="1"/>
        <c:lblAlgn val="ctr"/>
        <c:lblOffset val="100"/>
        <c:noMultiLvlLbl val="0"/>
      </c:catAx>
      <c:valAx>
        <c:axId val="131371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1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[Shopify_Sales_Analysis_2024_Kedaar.xlsx]Fulfillment status breakdown!PivotTable3</c:name>
    <c:fmtId val="9"/>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100" baseline="0">
                <a:latin typeface="Arial" panose="020B0604020202020204" pitchFamily="34" charset="0"/>
                <a:cs typeface="Arial" panose="020B0604020202020204" pitchFamily="34" charset="0"/>
              </a:rPr>
              <a:t>fULFILLMENT STATUS</a:t>
            </a: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'Fulfillment status breakdown'!$B$3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FF-41A4-B00A-FC0144BF887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FF-41A4-B00A-FC0144BF887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FF-41A4-B00A-FC0144BF887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FF-41A4-B00A-FC0144BF887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FF-41A4-B00A-FC0144BF88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'Fulfillment status breakdown'!$A$4:$A$9</c:f>
              <c:strCache>
                <c:ptCount val="5"/>
                <c:pt idx="0">
                  <c:v>Cancelled</c:v>
                </c:pt>
                <c:pt idx="1">
                  <c:v>Fulfilled</c:v>
                </c:pt>
                <c:pt idx="2">
                  <c:v>Partially Fulfilled</c:v>
                </c:pt>
                <c:pt idx="3">
                  <c:v>Refunded</c:v>
                </c:pt>
                <c:pt idx="4">
                  <c:v>Unfulfilled</c:v>
                </c:pt>
              </c:strCache>
            </c:strRef>
          </c:cat>
          <c:val>
            <c:numRef>
              <c:f>'Fulfillment status breakdown'!$B$4:$B$9</c:f>
              <c:numCache>
                <c:formatCode>General</c:formatCode>
                <c:ptCount val="5"/>
                <c:pt idx="0">
                  <c:v>117</c:v>
                </c:pt>
                <c:pt idx="1">
                  <c:v>560</c:v>
                </c:pt>
                <c:pt idx="2">
                  <c:v>115</c:v>
                </c:pt>
                <c:pt idx="3">
                  <c:v>100</c:v>
                </c:pt>
                <c:pt idx="4">
                  <c:v>108</c:v>
                </c:pt>
              </c:numCache>
            </c:numRef>
          </c:val>
          <c:extLst>
            <c:ext xmlns:c16="http://schemas.microsoft.com/office/drawing/2014/chart" uri="{C3380CC4-5D6E-409C-BE32-E72D297353CC}">
              <c16:uniqueId val="{0000000A-DDFF-41A4-B00A-FC0144BF887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876410227202612"/>
          <c:y val="0.33572486131541251"/>
          <c:w val="0.35673468031685912"/>
          <c:h val="0.4974445502004556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[Shopify_Sales_Analysis_2024_Kedaar.xlsx]Revenue by Product!PivotTable4</c:name>
    <c:fmtId val="12"/>
  </c:pivotSource>
  <c:chart>
    <c:title>
      <c:tx>
        <c:rich>
          <a:bodyPr rot="0" spcFirstLastPara="1" vertOverflow="ellipsis" vert="horz" wrap="square" anchor="ctr" anchorCtr="1"/>
          <a:lstStyle/>
          <a:p>
            <a:pPr>
              <a:defRPr sz="1100" b="1" i="0" u="none" strike="noStrike" kern="1200" cap="none" spc="0" normalizeH="0" baseline="0">
                <a:solidFill>
                  <a:schemeClr val="dk1">
                    <a:lumMod val="50000"/>
                    <a:lumOff val="50000"/>
                  </a:schemeClr>
                </a:solidFill>
                <a:latin typeface="Arial" panose="020B0604020202020204" pitchFamily="34" charset="0"/>
                <a:ea typeface="+mj-ea"/>
                <a:cs typeface="Arial" panose="020B0604020202020204" pitchFamily="34" charset="0"/>
              </a:defRPr>
            </a:pPr>
            <a:r>
              <a:rPr lang="en-US" sz="1100">
                <a:latin typeface="Arial" panose="020B0604020202020204" pitchFamily="34" charset="0"/>
                <a:cs typeface="Arial" panose="020B0604020202020204" pitchFamily="34" charset="0"/>
              </a:rPr>
              <a:t>REVENUE BY PRODUCT</a:t>
            </a:r>
          </a:p>
        </c:rich>
      </c:tx>
      <c:overlay val="0"/>
      <c:spPr>
        <a:noFill/>
        <a:ln>
          <a:noFill/>
        </a:ln>
        <a:effectLst/>
      </c:spPr>
      <c:txPr>
        <a:bodyPr rot="0" spcFirstLastPara="1" vertOverflow="ellipsis" vert="horz" wrap="square" anchor="ctr" anchorCtr="1"/>
        <a:lstStyle/>
        <a:p>
          <a:pPr>
            <a:defRPr sz="1100" b="1" i="0" u="none" strike="noStrike" kern="1200" cap="none" spc="0" normalizeH="0" baseline="0">
              <a:solidFill>
                <a:schemeClr val="dk1">
                  <a:lumMod val="50000"/>
                  <a:lumOff val="50000"/>
                </a:schemeClr>
              </a:solidFill>
              <a:latin typeface="Arial" panose="020B0604020202020204" pitchFamily="34" charset="0"/>
              <a:ea typeface="+mj-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'Revenue by Product'!$A$4:$A$14</c:f>
              <c:strCache>
                <c:ptCount val="10"/>
                <c:pt idx="0">
                  <c:v>Electronics</c:v>
                </c:pt>
                <c:pt idx="1">
                  <c:v>Footwear</c:v>
                </c:pt>
                <c:pt idx="2">
                  <c:v>Kitchen</c:v>
                </c:pt>
                <c:pt idx="3">
                  <c:v>Bags &amp; Accessories</c:v>
                </c:pt>
                <c:pt idx="4">
                  <c:v>Beauty</c:v>
                </c:pt>
                <c:pt idx="5">
                  <c:v>Apparel</c:v>
                </c:pt>
                <c:pt idx="6">
                  <c:v>Home &amp; Living</c:v>
                </c:pt>
                <c:pt idx="7">
                  <c:v>Sports &amp; Fitness</c:v>
                </c:pt>
                <c:pt idx="8">
                  <c:v>Health &amp; Nutrition</c:v>
                </c:pt>
                <c:pt idx="9">
                  <c:v>Food &amp; Beverage</c:v>
                </c:pt>
              </c:strCache>
            </c:strRef>
          </c:cat>
          <c:val>
            <c:numRef>
              <c:f>'Revenue by Product'!$B$4:$B$14</c:f>
              <c:numCache>
                <c:formatCode>General</c:formatCode>
                <c:ptCount val="10"/>
                <c:pt idx="0">
                  <c:v>29497.700000000004</c:v>
                </c:pt>
                <c:pt idx="1">
                  <c:v>20735.62</c:v>
                </c:pt>
                <c:pt idx="2">
                  <c:v>18619.95</c:v>
                </c:pt>
                <c:pt idx="3">
                  <c:v>13417.3</c:v>
                </c:pt>
                <c:pt idx="4">
                  <c:v>12370.7</c:v>
                </c:pt>
                <c:pt idx="5">
                  <c:v>12082.000000000002</c:v>
                </c:pt>
                <c:pt idx="6">
                  <c:v>10360.239999999996</c:v>
                </c:pt>
                <c:pt idx="7">
                  <c:v>10277.129999999999</c:v>
                </c:pt>
                <c:pt idx="8">
                  <c:v>7646.8200000000024</c:v>
                </c:pt>
                <c:pt idx="9">
                  <c:v>2921.59</c:v>
                </c:pt>
              </c:numCache>
            </c:numRef>
          </c:val>
          <c:extLst>
            <c:ext xmlns:c16="http://schemas.microsoft.com/office/drawing/2014/chart" uri="{C3380CC4-5D6E-409C-BE32-E72D297353CC}">
              <c16:uniqueId val="{00000000-D559-4049-9045-872E42750074}"/>
            </c:ext>
          </c:extLst>
        </c:ser>
        <c:dLbls>
          <c:dLblPos val="outEnd"/>
          <c:showLegendKey val="0"/>
          <c:showVal val="1"/>
          <c:showCatName val="0"/>
          <c:showSerName val="0"/>
          <c:showPercent val="0"/>
          <c:showBubbleSize val="0"/>
        </c:dLbls>
        <c:gapWidth val="247"/>
        <c:axId val="1732251408"/>
        <c:axId val="1732262928"/>
      </c:barChart>
      <c:catAx>
        <c:axId val="17322514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32262928"/>
        <c:crosses val="autoZero"/>
        <c:auto val="1"/>
        <c:lblAlgn val="ctr"/>
        <c:lblOffset val="100"/>
        <c:noMultiLvlLbl val="0"/>
      </c:catAx>
      <c:valAx>
        <c:axId val="17322629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322514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548640</xdr:colOff>
      <xdr:row>1</xdr:row>
      <xdr:rowOff>140970</xdr:rowOff>
    </xdr:from>
    <xdr:to>
      <xdr:col>14</xdr:col>
      <xdr:colOff>335280</xdr:colOff>
      <xdr:row>22</xdr:row>
      <xdr:rowOff>114300</xdr:rowOff>
    </xdr:to>
    <xdr:graphicFrame macro="">
      <xdr:nvGraphicFramePr>
        <xdr:cNvPr id="2" name="Chart 1">
          <a:extLst>
            <a:ext uri="{FF2B5EF4-FFF2-40B4-BE49-F238E27FC236}">
              <a16:creationId xmlns:a16="http://schemas.microsoft.com/office/drawing/2014/main" id="{8AACAA44-F77E-2922-21B7-0E1786166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1</xdr:row>
      <xdr:rowOff>179070</xdr:rowOff>
    </xdr:from>
    <xdr:to>
      <xdr:col>15</xdr:col>
      <xdr:colOff>441960</xdr:colOff>
      <xdr:row>25</xdr:row>
      <xdr:rowOff>15240</xdr:rowOff>
    </xdr:to>
    <xdr:graphicFrame macro="">
      <xdr:nvGraphicFramePr>
        <xdr:cNvPr id="2" name="Chart 1">
          <a:extLst>
            <a:ext uri="{FF2B5EF4-FFF2-40B4-BE49-F238E27FC236}">
              <a16:creationId xmlns:a16="http://schemas.microsoft.com/office/drawing/2014/main" id="{F52DB2BA-EF78-595B-2D90-0EB65B196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13</xdr:col>
      <xdr:colOff>76200</xdr:colOff>
      <xdr:row>22</xdr:row>
      <xdr:rowOff>7620</xdr:rowOff>
    </xdr:to>
    <xdr:graphicFrame macro="">
      <xdr:nvGraphicFramePr>
        <xdr:cNvPr id="2" name="Chart 1">
          <a:extLst>
            <a:ext uri="{FF2B5EF4-FFF2-40B4-BE49-F238E27FC236}">
              <a16:creationId xmlns:a16="http://schemas.microsoft.com/office/drawing/2014/main" id="{7E0CADFD-CE73-C4EA-FCD5-473F4F6C7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163830</xdr:rowOff>
    </xdr:from>
    <xdr:to>
      <xdr:col>15</xdr:col>
      <xdr:colOff>213360</xdr:colOff>
      <xdr:row>21</xdr:row>
      <xdr:rowOff>76200</xdr:rowOff>
    </xdr:to>
    <xdr:graphicFrame macro="">
      <xdr:nvGraphicFramePr>
        <xdr:cNvPr id="2" name="Chart 1">
          <a:extLst>
            <a:ext uri="{FF2B5EF4-FFF2-40B4-BE49-F238E27FC236}">
              <a16:creationId xmlns:a16="http://schemas.microsoft.com/office/drawing/2014/main" id="{BDE4B7F9-8810-54E6-D784-CBF3426C0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xdr:colOff>
      <xdr:row>1</xdr:row>
      <xdr:rowOff>179070</xdr:rowOff>
    </xdr:from>
    <xdr:to>
      <xdr:col>14</xdr:col>
      <xdr:colOff>419100</xdr:colOff>
      <xdr:row>24</xdr:row>
      <xdr:rowOff>121920</xdr:rowOff>
    </xdr:to>
    <xdr:graphicFrame macro="">
      <xdr:nvGraphicFramePr>
        <xdr:cNvPr id="2" name="Chart 1">
          <a:extLst>
            <a:ext uri="{FF2B5EF4-FFF2-40B4-BE49-F238E27FC236}">
              <a16:creationId xmlns:a16="http://schemas.microsoft.com/office/drawing/2014/main" id="{5B4A98C8-01BE-E18F-237A-9106897B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571500</xdr:colOff>
      <xdr:row>21</xdr:row>
      <xdr:rowOff>129540</xdr:rowOff>
    </xdr:to>
    <xdr:graphicFrame macro="">
      <xdr:nvGraphicFramePr>
        <xdr:cNvPr id="2" name="Chart 1">
          <a:extLst>
            <a:ext uri="{FF2B5EF4-FFF2-40B4-BE49-F238E27FC236}">
              <a16:creationId xmlns:a16="http://schemas.microsoft.com/office/drawing/2014/main" id="{A9263A37-B0CA-47A9-BE92-AB2F64FB3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0</xdr:rowOff>
    </xdr:from>
    <xdr:to>
      <xdr:col>16</xdr:col>
      <xdr:colOff>7620</xdr:colOff>
      <xdr:row>21</xdr:row>
      <xdr:rowOff>144780</xdr:rowOff>
    </xdr:to>
    <xdr:graphicFrame macro="">
      <xdr:nvGraphicFramePr>
        <xdr:cNvPr id="3" name="Chart 2">
          <a:extLst>
            <a:ext uri="{FF2B5EF4-FFF2-40B4-BE49-F238E27FC236}">
              <a16:creationId xmlns:a16="http://schemas.microsoft.com/office/drawing/2014/main" id="{607C9908-5702-48FD-BBCC-0CEDA82B3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7</xdr:col>
      <xdr:colOff>586740</xdr:colOff>
      <xdr:row>34</xdr:row>
      <xdr:rowOff>38100</xdr:rowOff>
    </xdr:to>
    <xdr:graphicFrame macro="">
      <xdr:nvGraphicFramePr>
        <xdr:cNvPr id="4" name="Chart 3">
          <a:extLst>
            <a:ext uri="{FF2B5EF4-FFF2-40B4-BE49-F238E27FC236}">
              <a16:creationId xmlns:a16="http://schemas.microsoft.com/office/drawing/2014/main" id="{44B03DB2-40FA-4C01-AA19-189D588BB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22</xdr:row>
      <xdr:rowOff>0</xdr:rowOff>
    </xdr:from>
    <xdr:to>
      <xdr:col>16</xdr:col>
      <xdr:colOff>22860</xdr:colOff>
      <xdr:row>34</xdr:row>
      <xdr:rowOff>53340</xdr:rowOff>
    </xdr:to>
    <xdr:graphicFrame macro="">
      <xdr:nvGraphicFramePr>
        <xdr:cNvPr id="5" name="Chart 4">
          <a:extLst>
            <a:ext uri="{FF2B5EF4-FFF2-40B4-BE49-F238E27FC236}">
              <a16:creationId xmlns:a16="http://schemas.microsoft.com/office/drawing/2014/main" id="{D32161B9-6C80-46C9-9047-F97904ACA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144780</xdr:colOff>
      <xdr:row>7</xdr:row>
      <xdr:rowOff>350521</xdr:rowOff>
    </xdr:from>
    <xdr:to>
      <xdr:col>18</xdr:col>
      <xdr:colOff>464820</xdr:colOff>
      <xdr:row>21</xdr:row>
      <xdr:rowOff>144780</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53B664CF-9A31-9E43-C44D-436A06F06BA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788313" y="2628054"/>
              <a:ext cx="1539240" cy="2596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7</xdr:row>
      <xdr:rowOff>335280</xdr:rowOff>
    </xdr:from>
    <xdr:to>
      <xdr:col>21</xdr:col>
      <xdr:colOff>220980</xdr:colOff>
      <xdr:row>21</xdr:row>
      <xdr:rowOff>144780</xdr:rowOff>
    </xdr:to>
    <mc:AlternateContent xmlns:mc="http://schemas.openxmlformats.org/markup-compatibility/2006" xmlns:a14="http://schemas.microsoft.com/office/drawing/2010/main">
      <mc:Choice Requires="a14">
        <xdr:graphicFrame macro="">
          <xdr:nvGraphicFramePr>
            <xdr:cNvPr id="7" name="Sales Channel">
              <a:extLst>
                <a:ext uri="{FF2B5EF4-FFF2-40B4-BE49-F238E27FC236}">
                  <a16:creationId xmlns:a16="http://schemas.microsoft.com/office/drawing/2014/main" id="{FA88362A-C6F6-62EF-B976-4C251B4B7CE8}"/>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1342793" y="2612813"/>
              <a:ext cx="1569720" cy="2611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487680</xdr:colOff>
      <xdr:row>37</xdr:row>
      <xdr:rowOff>91440</xdr:rowOff>
    </xdr:from>
    <xdr:to>
      <xdr:col>20</xdr:col>
      <xdr:colOff>556260</xdr:colOff>
      <xdr:row>41</xdr:row>
      <xdr:rowOff>60960</xdr:rowOff>
    </xdr:to>
    <xdr:sp macro="" textlink="">
      <xdr:nvSpPr>
        <xdr:cNvPr id="8" name="TextBox 7">
          <a:extLst>
            <a:ext uri="{FF2B5EF4-FFF2-40B4-BE49-F238E27FC236}">
              <a16:creationId xmlns:a16="http://schemas.microsoft.com/office/drawing/2014/main" id="{E32EEC77-E67B-FDC5-FD64-E2E686E92E0E}"/>
            </a:ext>
          </a:extLst>
        </xdr:cNvPr>
        <xdr:cNvSpPr txBox="1"/>
      </xdr:nvSpPr>
      <xdr:spPr>
        <a:xfrm>
          <a:off x="9525000" y="8046720"/>
          <a:ext cx="311658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solidFill>
                <a:schemeClr val="tx2">
                  <a:lumMod val="75000"/>
                </a:schemeClr>
              </a:solidFill>
              <a:latin typeface="Arial" panose="020B0604020202020204" pitchFamily="34" charset="0"/>
              <a:cs typeface="Arial" panose="020B0604020202020204" pitchFamily="34" charset="0"/>
            </a:rPr>
            <a:t>PREPARED BY : KEDAAR PRABHU</a:t>
          </a:r>
        </a:p>
        <a:p>
          <a:r>
            <a:rPr lang="en-IN" sz="1100" i="1">
              <a:solidFill>
                <a:schemeClr val="tx2">
                  <a:lumMod val="75000"/>
                </a:schemeClr>
              </a:solidFill>
              <a:latin typeface="Arial" panose="020B0604020202020204" pitchFamily="34" charset="0"/>
              <a:cs typeface="Arial" panose="020B0604020202020204" pitchFamily="34" charset="0"/>
            </a:rPr>
            <a:t>DATE</a:t>
          </a:r>
          <a:r>
            <a:rPr lang="en-IN" sz="1100" i="1" baseline="0">
              <a:solidFill>
                <a:schemeClr val="tx2">
                  <a:lumMod val="75000"/>
                </a:schemeClr>
              </a:solidFill>
              <a:latin typeface="Arial" panose="020B0604020202020204" pitchFamily="34" charset="0"/>
              <a:cs typeface="Arial" panose="020B0604020202020204" pitchFamily="34" charset="0"/>
            </a:rPr>
            <a:t> : 14-03-2026</a:t>
          </a:r>
        </a:p>
        <a:p>
          <a:r>
            <a:rPr lang="en-IN" sz="1100" i="1" baseline="0">
              <a:solidFill>
                <a:schemeClr val="tx2">
                  <a:lumMod val="75000"/>
                </a:schemeClr>
              </a:solidFill>
              <a:latin typeface="Arial" panose="020B0604020202020204" pitchFamily="34" charset="0"/>
              <a:cs typeface="Arial" panose="020B0604020202020204" pitchFamily="34" charset="0"/>
            </a:rPr>
            <a:t>SOURCE : SHOPIFY ORDERS 2024</a:t>
          </a:r>
          <a:endParaRPr lang="en-IN" sz="1100" i="1">
            <a:solidFill>
              <a:schemeClr val="tx2">
                <a:lumMod val="75000"/>
              </a:schemeClr>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289560</xdr:colOff>
      <xdr:row>18</xdr:row>
      <xdr:rowOff>30480</xdr:rowOff>
    </xdr:from>
    <xdr:to>
      <xdr:col>9</xdr:col>
      <xdr:colOff>304800</xdr:colOff>
      <xdr:row>23</xdr:row>
      <xdr:rowOff>22860</xdr:rowOff>
    </xdr:to>
    <xdr:sp macro="" textlink="">
      <xdr:nvSpPr>
        <xdr:cNvPr id="2" name="TextBox 1">
          <a:extLst>
            <a:ext uri="{FF2B5EF4-FFF2-40B4-BE49-F238E27FC236}">
              <a16:creationId xmlns:a16="http://schemas.microsoft.com/office/drawing/2014/main" id="{2BDCAE8E-CD7D-8096-29EE-FBC61711D7CF}"/>
            </a:ext>
          </a:extLst>
        </xdr:cNvPr>
        <xdr:cNvSpPr txBox="1"/>
      </xdr:nvSpPr>
      <xdr:spPr>
        <a:xfrm>
          <a:off x="6652260" y="4511040"/>
          <a:ext cx="4145280"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a:solidFill>
                <a:schemeClr val="bg2">
                  <a:lumMod val="10000"/>
                </a:schemeClr>
              </a:solidFill>
              <a:latin typeface="Arial" panose="020B0604020202020204" pitchFamily="34" charset="0"/>
              <a:cs typeface="Arial" panose="020B0604020202020204" pitchFamily="34" charset="0"/>
            </a:rPr>
            <a:t>ALL DATA SOURCED</a:t>
          </a:r>
          <a:r>
            <a:rPr lang="en-IN" b="1" i="1" baseline="0">
              <a:solidFill>
                <a:schemeClr val="bg2">
                  <a:lumMod val="10000"/>
                </a:schemeClr>
              </a:solidFill>
              <a:latin typeface="Arial" panose="020B0604020202020204" pitchFamily="34" charset="0"/>
              <a:cs typeface="Arial" panose="020B0604020202020204" pitchFamily="34" charset="0"/>
            </a:rPr>
            <a:t> FROM SHOPIFY ORDERS -</a:t>
          </a:r>
          <a:r>
            <a:rPr lang="en-IN" b="1" i="1">
              <a:solidFill>
                <a:schemeClr val="bg2">
                  <a:lumMod val="10000"/>
                </a:schemeClr>
              </a:solidFill>
              <a:latin typeface="Arial" panose="020B0604020202020204" pitchFamily="34" charset="0"/>
              <a:cs typeface="Arial" panose="020B0604020202020204" pitchFamily="34" charset="0"/>
            </a:rPr>
            <a:t> FY 2024 </a:t>
          </a:r>
        </a:p>
        <a:p>
          <a:endParaRPr lang="en-IN" b="1" i="1">
            <a:solidFill>
              <a:schemeClr val="bg2">
                <a:lumMod val="10000"/>
              </a:schemeClr>
            </a:solidFill>
            <a:latin typeface="Arial" panose="020B0604020202020204" pitchFamily="34" charset="0"/>
            <a:cs typeface="Arial" panose="020B0604020202020204" pitchFamily="34" charset="0"/>
          </a:endParaRPr>
        </a:p>
        <a:p>
          <a:r>
            <a:rPr lang="en-IN" b="1" i="1">
              <a:solidFill>
                <a:schemeClr val="bg2">
                  <a:lumMod val="10000"/>
                </a:schemeClr>
              </a:solidFill>
              <a:latin typeface="Arial" panose="020B0604020202020204" pitchFamily="34" charset="0"/>
              <a:cs typeface="Arial" panose="020B0604020202020204" pitchFamily="34" charset="0"/>
            </a:rPr>
            <a:t> PREPARED</a:t>
          </a:r>
          <a:r>
            <a:rPr lang="en-IN" b="1" i="1" baseline="0">
              <a:solidFill>
                <a:schemeClr val="bg2">
                  <a:lumMod val="10000"/>
                </a:schemeClr>
              </a:solidFill>
              <a:latin typeface="Arial" panose="020B0604020202020204" pitchFamily="34" charset="0"/>
              <a:cs typeface="Arial" panose="020B0604020202020204" pitchFamily="34" charset="0"/>
            </a:rPr>
            <a:t> BY</a:t>
          </a:r>
          <a:r>
            <a:rPr lang="en-IN" b="1" i="1">
              <a:solidFill>
                <a:schemeClr val="bg2">
                  <a:lumMod val="10000"/>
                </a:schemeClr>
              </a:solidFill>
              <a:latin typeface="Arial" panose="020B0604020202020204" pitchFamily="34" charset="0"/>
              <a:cs typeface="Arial" panose="020B0604020202020204" pitchFamily="34" charset="0"/>
            </a:rPr>
            <a:t>: KEDAAR</a:t>
          </a:r>
          <a:r>
            <a:rPr lang="en-IN" b="1" i="1" baseline="0">
              <a:solidFill>
                <a:schemeClr val="bg2">
                  <a:lumMod val="10000"/>
                </a:schemeClr>
              </a:solidFill>
              <a:latin typeface="Arial" panose="020B0604020202020204" pitchFamily="34" charset="0"/>
              <a:cs typeface="Arial" panose="020B0604020202020204" pitchFamily="34" charset="0"/>
            </a:rPr>
            <a:t> PRABHU</a:t>
          </a:r>
        </a:p>
        <a:p>
          <a:endParaRPr lang="en-IN" b="1" i="1" baseline="0">
            <a:solidFill>
              <a:schemeClr val="bg2">
                <a:lumMod val="10000"/>
              </a:schemeClr>
            </a:solidFill>
            <a:latin typeface="Arial" panose="020B0604020202020204" pitchFamily="34" charset="0"/>
            <a:cs typeface="Arial" panose="020B0604020202020204" pitchFamily="34" charset="0"/>
          </a:endParaRPr>
        </a:p>
        <a:p>
          <a:r>
            <a:rPr lang="en-IN" b="1" i="1" baseline="0">
              <a:solidFill>
                <a:schemeClr val="bg2">
                  <a:lumMod val="10000"/>
                </a:schemeClr>
              </a:solidFill>
              <a:latin typeface="Arial" panose="020B0604020202020204" pitchFamily="34" charset="0"/>
              <a:cs typeface="Arial" panose="020B0604020202020204" pitchFamily="34" charset="0"/>
            </a:rPr>
            <a:t>DATE : 14/03/2026</a:t>
          </a:r>
          <a:endParaRPr lang="en-IN" b="1" i="1">
            <a:solidFill>
              <a:schemeClr val="bg2">
                <a:lumMod val="10000"/>
              </a:schemeClr>
            </a:solidFill>
            <a:latin typeface="Arial" panose="020B060402020202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873285879628" createdVersion="8" refreshedVersion="8" minRefreshableVersion="3" recordCount="1001" xr:uid="{6AFFC13F-ABC7-4199-A262-086C31DD2579}">
  <cacheSource type="worksheet">
    <worksheetSource ref="A1:Z1048576" sheet="Orders_Clean"/>
  </cacheSource>
  <cacheFields count="26">
    <cacheField name="Order ID" numFmtId="0">
      <sharedItems containsBlank="1"/>
    </cacheField>
    <cacheField name="Order Date" numFmtId="0">
      <sharedItems containsBlank="1"/>
    </cacheField>
    <cacheField name="Order Time" numFmtId="0">
      <sharedItems containsBlank="1"/>
    </cacheField>
    <cacheField name="Customer Name" numFmtId="0">
      <sharedItems containsBlank="1"/>
    </cacheField>
    <cacheField name="Email" numFmtId="0">
      <sharedItems containsBlank="1"/>
    </cacheField>
    <cacheField name="Phone" numFmtId="0">
      <sharedItems containsBlank="1"/>
    </cacheField>
    <cacheField name="City" numFmtId="0">
      <sharedItems containsBlank="1"/>
    </cacheField>
    <cacheField name="State" numFmtId="0">
      <sharedItems containsBlank="1"/>
    </cacheField>
    <cacheField name="Country" numFmtId="0">
      <sharedItems containsBlank="1"/>
    </cacheField>
    <cacheField name="Line Items" numFmtId="0">
      <sharedItems containsBlank="1"/>
    </cacheField>
    <cacheField name="Primary Category" numFmtId="0">
      <sharedItems containsBlank="1" count="11">
        <s v="Beauty"/>
        <s v="Apparel"/>
        <s v="Bags &amp; Accessories"/>
        <s v="Sports &amp; Fitness"/>
        <s v="Home &amp; Living"/>
        <s v="Footwear"/>
        <s v="Kitchen"/>
        <s v="Electronics"/>
        <s v="Health &amp; Nutrition"/>
        <s v="Food &amp; Beverage"/>
        <m/>
      </sharedItems>
    </cacheField>
    <cacheField name="Total Items" numFmtId="0">
      <sharedItems containsString="0" containsBlank="1" containsNumber="1" containsInteger="1" minValue="1" maxValue="5"/>
    </cacheField>
    <cacheField name="Subtotal ($)" numFmtId="0">
      <sharedItems containsString="0" containsBlank="1" containsNumber="1" minValue="14.99" maxValue="700.92"/>
    </cacheField>
    <cacheField name="Discount Code" numFmtId="0">
      <sharedItems containsBlank="1"/>
    </cacheField>
    <cacheField name="Discount Amount ($)" numFmtId="0">
      <sharedItems containsString="0" containsBlank="1" containsNumber="1" minValue="0" maxValue="175.23"/>
    </cacheField>
    <cacheField name="Shipping ($)" numFmtId="0">
      <sharedItems containsString="0" containsBlank="1" containsNumber="1" minValue="0" maxValue="9.99"/>
    </cacheField>
    <cacheField name="Tax ($)" numFmtId="0">
      <sharedItems containsString="0" containsBlank="1" containsNumber="1" minValue="0.81" maxValue="62.99"/>
    </cacheField>
    <cacheField name="Order Total ($)" numFmtId="0">
      <sharedItems containsString="0" containsBlank="1" containsNumber="1" minValue="18.059999999999999" maxValue="692.92"/>
    </cacheField>
    <cacheField name="Payment Method" numFmtId="0">
      <sharedItems containsBlank="1" count="9">
        <s v="Credit Card"/>
        <s v="PayPal"/>
        <s v="Google Pay"/>
        <s v="Afterpay"/>
        <s v="Apple Pay"/>
        <s v="Debit Card"/>
        <s v="Shop Pay"/>
        <s v="Klarna"/>
        <m/>
      </sharedItems>
    </cacheField>
    <cacheField name="Sales Channel" numFmtId="0">
      <sharedItems containsBlank="1" count="9">
        <s v="Facebook"/>
        <s v="TikTok Shop"/>
        <s v="Direct"/>
        <s v="Online Store"/>
        <s v="Google Shopping"/>
        <s v="Instagram"/>
        <s v="Email Campaign"/>
        <s v="Referral"/>
        <m/>
      </sharedItems>
    </cacheField>
    <cacheField name="Fulfillment Status" numFmtId="0">
      <sharedItems containsBlank="1" count="6">
        <s v="Refunded"/>
        <s v="Partially Fulfilled"/>
        <s v="Fulfilled"/>
        <s v="Cancelled"/>
        <s v="Unfulfilled"/>
        <m/>
      </sharedItems>
    </cacheField>
    <cacheField name="Fulfillment Date" numFmtId="0">
      <sharedItems containsBlank="1"/>
    </cacheField>
    <cacheField name="Refund Amount ($)" numFmtId="0">
      <sharedItems containsString="0" containsBlank="1" containsNumber="1" minValue="0" maxValue="692.92"/>
    </cacheField>
    <cacheField name="Month Name" numFmtId="0">
      <sharedItems containsBlank="1" count="13">
        <s v="February"/>
        <s v="December"/>
        <s v="July"/>
        <s v="June"/>
        <s v="May"/>
        <s v="August"/>
        <s v="January"/>
        <s v="October"/>
        <s v="November"/>
        <s v="March"/>
        <s v="April"/>
        <s v="September"/>
        <m/>
      </sharedItems>
    </cacheField>
    <cacheField name="Quarter" numFmtId="0">
      <sharedItems containsBlank="1"/>
    </cacheField>
    <cacheField name="Net Revenue" numFmtId="0">
      <sharedItems containsString="0" containsBlank="1" containsNumber="1" minValue="11.24" maxValue="629.92999999999995"/>
    </cacheField>
  </cacheFields>
  <extLst>
    <ext xmlns:x14="http://schemas.microsoft.com/office/spreadsheetml/2009/9/main" uri="{725AE2AE-9491-48be-B2B4-4EB974FC3084}">
      <x14:pivotCacheDefinition pivotCacheId="1499475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10001"/>
    <s v="2024-02-24"/>
    <s v="04:35:15"/>
    <s v="Mason Johnson"/>
    <s v="mason.johnson36@gmail.com"/>
    <s v="+1-933-765-9928"/>
    <s v="Portland"/>
    <s v="OR"/>
    <s v="United States"/>
    <s v="Anti-Aging Serum 1oz x1 | Men's Grooming Kit x1 | Leather Wallet Slim x1"/>
    <x v="0"/>
    <n v="3"/>
    <n v="115.97"/>
    <s v="None"/>
    <n v="0"/>
    <n v="0"/>
    <n v="8.1199999999999992"/>
    <n v="124.09"/>
    <x v="0"/>
    <x v="0"/>
    <x v="0"/>
    <s v="2024-02-26"/>
    <n v="124.09"/>
    <x v="0"/>
    <s v="Q1"/>
    <n v="115.97"/>
  </r>
  <r>
    <s v="#ORD-10002"/>
    <s v="2024-12-03"/>
    <s v="14:27:58"/>
    <s v="Sofia Anderson"/>
    <s v="sofia.anderson76@gmail.com"/>
    <s v="+1-294-489-2584"/>
    <s v="Charlotte"/>
    <s v="NC"/>
    <s v="United States"/>
    <s v="High-Waist Leggings x1"/>
    <x v="1"/>
    <n v="1"/>
    <n v="42.99"/>
    <s v="WELCOME15"/>
    <n v="6.45"/>
    <n v="7.99"/>
    <n v="2.92"/>
    <n v="47.45"/>
    <x v="0"/>
    <x v="1"/>
    <x v="1"/>
    <s v="2024-12-04"/>
    <n v="0"/>
    <x v="1"/>
    <s v="Q4"/>
    <n v="36.54"/>
  </r>
  <r>
    <s v="#ORD-10003"/>
    <s v="2024-07-27"/>
    <s v="06:00:29"/>
    <s v="Emily Thompson"/>
    <s v="emily.thompson34@outlook.com"/>
    <s v="+1-246-777-4733"/>
    <s v="Nashville"/>
    <s v="TN"/>
    <s v="United States"/>
    <s v="Bamboo Sunglasses x1"/>
    <x v="2"/>
    <n v="1"/>
    <n v="24.99"/>
    <s v="FLASH25"/>
    <n v="6.25"/>
    <n v="7.99"/>
    <n v="1.87"/>
    <n v="28.6"/>
    <x v="1"/>
    <x v="2"/>
    <x v="2"/>
    <s v="2024-07-28"/>
    <n v="0"/>
    <x v="2"/>
    <s v="Q3"/>
    <n v="18.739999999999998"/>
  </r>
  <r>
    <s v="#ORD-10004"/>
    <s v="2024-06-25"/>
    <s v="02:05:25"/>
    <s v="Evelyn Garcia"/>
    <s v="evelyn.garcia30@yahoo.com"/>
    <s v="+1-946-350-3677"/>
    <s v="Milwaukee"/>
    <s v="WI"/>
    <s v="United States"/>
    <s v="Insulated Water Bottle 32oz x1 | Running Shoes - Men's x1"/>
    <x v="3"/>
    <n v="2"/>
    <n v="102.98"/>
    <s v="SAVE10"/>
    <n v="10.3"/>
    <n v="0"/>
    <n v="9.27"/>
    <n v="101.95"/>
    <x v="2"/>
    <x v="0"/>
    <x v="2"/>
    <s v="2024-06-30"/>
    <n v="0"/>
    <x v="3"/>
    <s v="Q2"/>
    <n v="92.68"/>
  </r>
  <r>
    <s v="#ORD-10005"/>
    <s v="2024-05-05"/>
    <s v="22:32:02"/>
    <s v="Sebastian Harris"/>
    <s v="sebastian.harris82@yahoo.com"/>
    <s v="+1-871-611-7482"/>
    <s v="Dallas"/>
    <s v="TX"/>
    <s v="United States"/>
    <s v="Classic Fit Polo Shirt x2 | Portable Bluetooth Speaker x2 | Casual Sneakers x1"/>
    <x v="1"/>
    <n v="3"/>
    <n v="229.95"/>
    <s v="None"/>
    <n v="0"/>
    <n v="0"/>
    <n v="16.100000000000001"/>
    <n v="246.05"/>
    <x v="2"/>
    <x v="0"/>
    <x v="1"/>
    <s v="2024-05-07"/>
    <n v="0"/>
    <x v="4"/>
    <s v="Q2"/>
    <n v="229.95"/>
  </r>
  <r>
    <s v="#ORD-10006"/>
    <s v="2024-08-06"/>
    <s v="00:19:48"/>
    <s v="Sebastian Martinez"/>
    <s v="sebastian.martinez18@gmail.com"/>
    <s v="+1-293-873-1771"/>
    <s v="Dallas"/>
    <s v="TX"/>
    <s v="United States"/>
    <s v="Men's Grooming Kit x1 | Linen Throw Blanket x1"/>
    <x v="0"/>
    <n v="2"/>
    <n v="75.98"/>
    <s v="SAVE10"/>
    <n v="7.6"/>
    <n v="0"/>
    <n v="4.79"/>
    <n v="73.17"/>
    <x v="3"/>
    <x v="3"/>
    <x v="3"/>
    <m/>
    <n v="0"/>
    <x v="5"/>
    <s v="Q3"/>
    <n v="68.38000000000001"/>
  </r>
  <r>
    <s v="#ORD-10007"/>
    <s v="2024-01-25"/>
    <s v="16:07:16"/>
    <s v="Mason Martinez"/>
    <s v="mason.martinez21@yahoo.com"/>
    <s v="+1-968-373-6573"/>
    <s v="Oklahoma City"/>
    <s v="OK"/>
    <s v="United States"/>
    <s v="Scented Soy Candle Set x3"/>
    <x v="4"/>
    <n v="1"/>
    <n v="68.97"/>
    <s v="FLASH25"/>
    <n v="17.239999999999998"/>
    <n v="7.99"/>
    <n v="4.66"/>
    <n v="64.38"/>
    <x v="4"/>
    <x v="3"/>
    <x v="2"/>
    <s v="2024-01-30"/>
    <n v="0"/>
    <x v="6"/>
    <s v="Q1"/>
    <n v="51.730000000000004"/>
  </r>
  <r>
    <s v="#ORD-10008"/>
    <s v="2024-10-07"/>
    <s v="10:23:08"/>
    <s v="Mason Jackson"/>
    <s v="mason.jackson21@gmail.com"/>
    <s v="+1-752-897-9689"/>
    <s v="Columbus"/>
    <s v="OH"/>
    <s v="United States"/>
    <s v="Hiking Boots x1 | Air Fryer 5.8Qt x2 | Classic Fit Polo Shirt x2"/>
    <x v="5"/>
    <n v="3"/>
    <n v="339.95"/>
    <s v="SAVE10"/>
    <n v="33.99"/>
    <n v="0"/>
    <n v="30.6"/>
    <n v="336.56"/>
    <x v="5"/>
    <x v="3"/>
    <x v="1"/>
    <s v="2024-10-09"/>
    <n v="0"/>
    <x v="7"/>
    <s v="Q4"/>
    <n v="305.95999999999998"/>
  </r>
  <r>
    <s v="#ORD-10009"/>
    <s v="2024-12-26"/>
    <s v="19:49:36"/>
    <s v="Emma Flores"/>
    <s v="emma.flores63@gmail.com"/>
    <s v="+1-949-597-2133"/>
    <s v="Austin"/>
    <s v="TX"/>
    <s v="United States"/>
    <s v="Denim Jacket x2"/>
    <x v="1"/>
    <n v="1"/>
    <n v="129.97999999999999"/>
    <s v="None"/>
    <n v="0"/>
    <n v="0"/>
    <n v="7.8"/>
    <n v="137.78"/>
    <x v="0"/>
    <x v="0"/>
    <x v="2"/>
    <s v="2024-12-27"/>
    <n v="0"/>
    <x v="1"/>
    <s v="Q4"/>
    <n v="129.97999999999999"/>
  </r>
  <r>
    <s v="#ORD-10010"/>
    <s v="2024-08-01"/>
    <s v="12:32:27"/>
    <s v="Grace Rodriguez"/>
    <s v="grace.rodriguez85@gmail.com"/>
    <s v="+1-608-787-7118"/>
    <s v="Phoenix"/>
    <s v="AZ"/>
    <s v="United States"/>
    <s v="Air Fryer 5.8Qt x2"/>
    <x v="6"/>
    <n v="1"/>
    <n v="159.97999999999999"/>
    <s v="WELCOME15"/>
    <n v="24"/>
    <n v="0"/>
    <n v="9.52"/>
    <n v="145.5"/>
    <x v="2"/>
    <x v="4"/>
    <x v="2"/>
    <s v="2024-08-04"/>
    <n v="0"/>
    <x v="5"/>
    <s v="Q3"/>
    <n v="135.97999999999999"/>
  </r>
  <r>
    <s v="#ORD-10011"/>
    <s v="2024-01-25"/>
    <s v="20:45:52"/>
    <s v="Avery Wright"/>
    <s v="avery.wright16@gmail.com"/>
    <s v="+1-232-980-6413"/>
    <s v="Charlotte"/>
    <s v="NC"/>
    <s v="United States"/>
    <s v="Linen Throw Blanket x1"/>
    <x v="4"/>
    <n v="1"/>
    <n v="39.99"/>
    <s v="LOYALTY5"/>
    <n v="2"/>
    <n v="5.99"/>
    <n v="2.2799999999999998"/>
    <n v="46.26"/>
    <x v="0"/>
    <x v="0"/>
    <x v="2"/>
    <s v="2024-01-26"/>
    <n v="0"/>
    <x v="6"/>
    <s v="Q1"/>
    <n v="37.99"/>
  </r>
  <r>
    <s v="#ORD-10012"/>
    <s v="2024-02-21"/>
    <s v="09:14:08"/>
    <s v="Ava King"/>
    <s v="ava.king36@yahoo.com"/>
    <s v="+1-620-578-1887"/>
    <s v="San Diego"/>
    <s v="CA"/>
    <s v="United States"/>
    <s v="Leather Wallet Slim x1 | Linen Throw Blanket x1"/>
    <x v="2"/>
    <n v="2"/>
    <n v="69.98"/>
    <s v="SUMMER20"/>
    <n v="14"/>
    <n v="9.99"/>
    <n v="3.92"/>
    <n v="69.89"/>
    <x v="0"/>
    <x v="0"/>
    <x v="1"/>
    <s v="2024-02-25"/>
    <n v="0"/>
    <x v="0"/>
    <s v="Q1"/>
    <n v="55.980000000000004"/>
  </r>
  <r>
    <s v="#ORD-10013"/>
    <s v="2024-11-30"/>
    <s v="15:22:12"/>
    <s v="Sophia Brown"/>
    <s v="sophia.brown94@gmail.com"/>
    <s v="+1-763-200-1828"/>
    <s v="Fort Worth"/>
    <s v="TX"/>
    <s v="United States"/>
    <s v="Running Shoes - Women's x1"/>
    <x v="5"/>
    <n v="1"/>
    <n v="69.989999999999995"/>
    <s v="SUMMER20"/>
    <n v="14"/>
    <n v="5.99"/>
    <n v="4.76"/>
    <n v="66.739999999999995"/>
    <x v="0"/>
    <x v="5"/>
    <x v="2"/>
    <s v="2024-12-04"/>
    <n v="0"/>
    <x v="8"/>
    <s v="Q4"/>
    <n v="55.989999999999995"/>
  </r>
  <r>
    <s v="#ORD-10014"/>
    <s v="2024-07-07"/>
    <s v="14:30:12"/>
    <s v="Grace Smith"/>
    <s v="grace.smith97@yahoo.com"/>
    <s v="+1-492-533-8973"/>
    <s v="Chicago"/>
    <s v="IL"/>
    <s v="United States"/>
    <s v="Canvas Backpack 25L x2 | Protein Powder Chocolate 2lb x1"/>
    <x v="2"/>
    <n v="2"/>
    <n v="154.97"/>
    <s v="None"/>
    <n v="0"/>
    <n v="0"/>
    <n v="13.17"/>
    <n v="168.14"/>
    <x v="0"/>
    <x v="6"/>
    <x v="3"/>
    <m/>
    <n v="0"/>
    <x v="2"/>
    <s v="Q3"/>
    <n v="154.97"/>
  </r>
  <r>
    <s v="#ORD-10015"/>
    <s v="2024-07-29"/>
    <s v="13:37:32"/>
    <s v="James Gonzalez"/>
    <s v="james.gonzalez28@outlook.com"/>
    <s v="+1-282-971-4044"/>
    <s v="San Jose"/>
    <s v="CA"/>
    <s v="United States"/>
    <s v="Resistance Band Set x1"/>
    <x v="3"/>
    <n v="1"/>
    <n v="24.99"/>
    <s v="LOYALTY5"/>
    <n v="1.25"/>
    <n v="9.99"/>
    <n v="2.14"/>
    <n v="35.869999999999997"/>
    <x v="2"/>
    <x v="5"/>
    <x v="2"/>
    <s v="2024-08-03"/>
    <n v="0"/>
    <x v="2"/>
    <s v="Q3"/>
    <n v="23.74"/>
  </r>
  <r>
    <s v="#ORD-10016"/>
    <s v="2024-12-31"/>
    <s v="16:18:43"/>
    <s v="Ava Flores"/>
    <s v="ava.flores87@yahoo.com"/>
    <s v="+1-334-787-5915"/>
    <s v="Chicago"/>
    <s v="IL"/>
    <s v="United States"/>
    <s v="Casual Sneakers x1 | Linen Throw Blanket x1 | Scented Soy Candle Set x1 | Portable Bluetooth Speaker x1"/>
    <x v="5"/>
    <n v="4"/>
    <n v="172.96"/>
    <s v="SAVE10"/>
    <n v="17.3"/>
    <n v="0"/>
    <n v="10.9"/>
    <n v="166.56"/>
    <x v="1"/>
    <x v="3"/>
    <x v="2"/>
    <s v="2025-01-04"/>
    <n v="0"/>
    <x v="1"/>
    <s v="Q4"/>
    <n v="155.66"/>
  </r>
  <r>
    <s v="#ORD-10017"/>
    <s v="2024-08-29"/>
    <s v="05:37:25"/>
    <s v="Sebastian Lee"/>
    <s v="sebastian.lee97@yahoo.com"/>
    <s v="+1-883-936-5905"/>
    <s v="Tucson"/>
    <s v="AZ"/>
    <s v="United States"/>
    <s v="Smart LED Desk Lamp x1 | USB-C Fast Charger 65W x3 | Coffee Maker Programmable x2 | Running Shoes - Women's x2 | Air Fryer 5.8Qt x1"/>
    <x v="7"/>
    <n v="5"/>
    <n v="459.91"/>
    <s v="None"/>
    <n v="0"/>
    <n v="0"/>
    <n v="39.090000000000003"/>
    <n v="499"/>
    <x v="4"/>
    <x v="4"/>
    <x v="0"/>
    <s v="2024-08-30"/>
    <n v="499"/>
    <x v="5"/>
    <s v="Q3"/>
    <n v="459.91"/>
  </r>
  <r>
    <s v="#ORD-10018"/>
    <s v="2024-03-01"/>
    <s v="08:52:46"/>
    <s v="Sophia Rodriguez"/>
    <s v="sophia.rodriguez15@outlook.com"/>
    <s v="+1-457-966-1832"/>
    <s v="Dallas"/>
    <s v="TX"/>
    <s v="United States"/>
    <s v="Scented Soy Candle Set x1"/>
    <x v="4"/>
    <n v="1"/>
    <n v="22.99"/>
    <s v="SAVE10"/>
    <n v="2.2999999999999998"/>
    <n v="5.99"/>
    <n v="2.0699999999999998"/>
    <n v="28.75"/>
    <x v="1"/>
    <x v="3"/>
    <x v="3"/>
    <m/>
    <n v="0"/>
    <x v="9"/>
    <s v="Q1"/>
    <n v="20.689999999999998"/>
  </r>
  <r>
    <s v="#ORD-10019"/>
    <s v="2024-05-09"/>
    <s v="12:58:20"/>
    <s v="Ethan Lewis"/>
    <s v="ethan.lewis36@gmail.com"/>
    <s v="+1-236-954-7049"/>
    <s v="Baltimore"/>
    <s v="MD"/>
    <s v="United States"/>
    <s v="Essential Oil Diffuser x2 | Hiking Boots x1 | Running Shoes - Men's x1"/>
    <x v="4"/>
    <n v="3"/>
    <n v="250.96"/>
    <s v="None"/>
    <n v="0"/>
    <n v="0"/>
    <n v="15.06"/>
    <n v="266.02"/>
    <x v="0"/>
    <x v="2"/>
    <x v="2"/>
    <s v="2024-05-14"/>
    <n v="0"/>
    <x v="4"/>
    <s v="Q2"/>
    <n v="250.96"/>
  </r>
  <r>
    <s v="#ORD-10020"/>
    <s v="2024-04-29"/>
    <s v="17:10:33"/>
    <s v="Daniel Torres"/>
    <s v="daniel.torres56@gmail.com"/>
    <s v="+1-616-735-3532"/>
    <s v="Phoenix"/>
    <s v="AZ"/>
    <s v="United States"/>
    <s v="Bamboo Sunglasses x2"/>
    <x v="2"/>
    <n v="1"/>
    <n v="49.98"/>
    <s v="None"/>
    <n v="0"/>
    <n v="7.99"/>
    <n v="3.5"/>
    <n v="61.47"/>
    <x v="1"/>
    <x v="0"/>
    <x v="1"/>
    <s v="2024-05-04"/>
    <n v="0"/>
    <x v="10"/>
    <s v="Q2"/>
    <n v="49.98"/>
  </r>
  <r>
    <s v="#ORD-10021"/>
    <s v="2024-10-13"/>
    <s v="01:16:42"/>
    <s v="Oliver Hernandez"/>
    <s v="oliver.hernandez23@yahoo.com"/>
    <s v="+1-671-458-6000"/>
    <s v="Louisville"/>
    <s v="KY"/>
    <s v="United States"/>
    <s v="High-Waist Leggings x2 | Bamboo Sunglasses x2 | Multivitamin Daily Pack x1 | Anti-Aging Serum 1oz x2"/>
    <x v="1"/>
    <n v="4"/>
    <n v="255.93"/>
    <s v="None"/>
    <n v="0"/>
    <n v="0"/>
    <n v="21.75"/>
    <n v="277.68"/>
    <x v="4"/>
    <x v="2"/>
    <x v="2"/>
    <s v="2024-10-15"/>
    <n v="0"/>
    <x v="7"/>
    <s v="Q4"/>
    <n v="255.93"/>
  </r>
  <r>
    <s v="#ORD-10022"/>
    <s v="2024-05-07"/>
    <s v="11:37:23"/>
    <s v="Amelia Anderson"/>
    <s v="amelia.anderson85@gmail.com"/>
    <s v="+1-228-218-5279"/>
    <s v="New York"/>
    <s v="NY"/>
    <s v="United States"/>
    <s v="USB-C Fast Charger 65W x3"/>
    <x v="7"/>
    <n v="1"/>
    <n v="89.97"/>
    <s v="SAVE10"/>
    <n v="9"/>
    <n v="0"/>
    <n v="6.48"/>
    <n v="87.45"/>
    <x v="1"/>
    <x v="3"/>
    <x v="0"/>
    <s v="2024-05-10"/>
    <n v="87.45"/>
    <x v="4"/>
    <s v="Q2"/>
    <n v="80.97"/>
  </r>
  <r>
    <s v="#ORD-10023"/>
    <s v="2024-06-17"/>
    <s v="18:25:40"/>
    <s v="Logan Hill"/>
    <s v="logan.hill5@gmail.com"/>
    <s v="+1-201-632-9821"/>
    <s v="Dallas"/>
    <s v="TX"/>
    <s v="United States"/>
    <s v="High-Waist Leggings x1"/>
    <x v="1"/>
    <n v="1"/>
    <n v="42.99"/>
    <s v="LOYALTY5"/>
    <n v="2.15"/>
    <n v="4.99"/>
    <n v="3.47"/>
    <n v="49.3"/>
    <x v="4"/>
    <x v="3"/>
    <x v="2"/>
    <s v="2024-06-21"/>
    <n v="0"/>
    <x v="3"/>
    <s v="Q2"/>
    <n v="40.840000000000003"/>
  </r>
  <r>
    <s v="#ORD-10024"/>
    <s v="2024-08-30"/>
    <s v="00:13:45"/>
    <s v="Charlotte White"/>
    <s v="charlotte.white9@outlook.com"/>
    <s v="+1-330-296-7888"/>
    <s v="Columbus"/>
    <s v="OH"/>
    <s v="United States"/>
    <s v="Canvas Backpack 25L x1"/>
    <x v="2"/>
    <n v="1"/>
    <n v="54.99"/>
    <s v="SAVE10"/>
    <n v="5.5"/>
    <n v="7.99"/>
    <n v="4.95"/>
    <n v="62.43"/>
    <x v="5"/>
    <x v="5"/>
    <x v="2"/>
    <s v="2024-09-04"/>
    <n v="0"/>
    <x v="5"/>
    <s v="Q3"/>
    <n v="49.49"/>
  </r>
  <r>
    <s v="#ORD-10025"/>
    <s v="2024-07-31"/>
    <s v="19:08:41"/>
    <s v="Elizabeth Lopez"/>
    <s v="elizabeth.lopez73@gmail.com"/>
    <s v="+1-490-627-6491"/>
    <s v="Nashville"/>
    <s v="TN"/>
    <s v="United States"/>
    <s v="Yoga Mat Premium x2 | Running Shoes - Women's x1 | Multivitamin Daily Pack x1"/>
    <x v="3"/>
    <n v="3"/>
    <n v="159.96"/>
    <s v="SUMMER20"/>
    <n v="31.99"/>
    <n v="0"/>
    <n v="10.88"/>
    <n v="138.85"/>
    <x v="1"/>
    <x v="5"/>
    <x v="2"/>
    <s v="2024-08-01"/>
    <n v="0"/>
    <x v="2"/>
    <s v="Q3"/>
    <n v="127.97000000000001"/>
  </r>
  <r>
    <s v="#ORD-10026"/>
    <s v="2024-03-18"/>
    <s v="08:01:31"/>
    <s v="Ethan Thomas"/>
    <s v="ethan.thomas40@gmail.com"/>
    <s v="+1-706-509-4997"/>
    <s v="El Paso"/>
    <s v="TX"/>
    <s v="United States"/>
    <s v="Portable Bluetooth Speaker x1"/>
    <x v="7"/>
    <n v="1"/>
    <n v="49.99"/>
    <s v="SUMMER20"/>
    <n v="10"/>
    <n v="4.99"/>
    <n v="3.4"/>
    <n v="48.38"/>
    <x v="5"/>
    <x v="0"/>
    <x v="2"/>
    <s v="2024-03-22"/>
    <n v="0"/>
    <x v="9"/>
    <s v="Q1"/>
    <n v="39.99"/>
  </r>
  <r>
    <s v="#ORD-10027"/>
    <s v="2024-10-29"/>
    <s v="07:24:14"/>
    <s v="James Smith"/>
    <s v="james.smith97@outlook.com"/>
    <s v="+1-336-920-8612"/>
    <s v="Albuquerque"/>
    <s v="NM"/>
    <s v="United States"/>
    <s v="Running Shoes - Men's x2"/>
    <x v="5"/>
    <n v="1"/>
    <n v="149.97999999999999"/>
    <s v="FLASH25"/>
    <n v="37.49"/>
    <n v="0"/>
    <n v="9.56"/>
    <n v="122.05"/>
    <x v="0"/>
    <x v="3"/>
    <x v="2"/>
    <s v="2024-11-02"/>
    <n v="0"/>
    <x v="7"/>
    <s v="Q4"/>
    <n v="112.48999999999998"/>
  </r>
  <r>
    <s v="#ORD-10028"/>
    <s v="2024-08-25"/>
    <s v="22:20:00"/>
    <s v="Owen Torres"/>
    <s v="owen.torres41@outlook.com"/>
    <s v="+1-696-741-4919"/>
    <s v="Nashville"/>
    <s v="TN"/>
    <s v="United States"/>
    <s v="Leather Wallet Slim x2 | Air Fryer 5.8Qt x1 | Multivitamin Daily Pack x2"/>
    <x v="2"/>
    <n v="3"/>
    <n v="179.95"/>
    <s v="SUMMER20"/>
    <n v="35.99"/>
    <n v="0"/>
    <n v="12.24"/>
    <n v="156.19999999999999"/>
    <x v="0"/>
    <x v="3"/>
    <x v="2"/>
    <s v="2024-08-30"/>
    <n v="0"/>
    <x v="5"/>
    <s v="Q3"/>
    <n v="143.95999999999998"/>
  </r>
  <r>
    <s v="#ORD-10029"/>
    <s v="2024-04-15"/>
    <s v="12:34:06"/>
    <s v="Elijah Robinson"/>
    <s v="elijah.robinson92@gmail.com"/>
    <s v="+1-624-517-6421"/>
    <s v="Chicago"/>
    <s v="IL"/>
    <s v="United States"/>
    <s v="Leather Wallet Slim x1"/>
    <x v="2"/>
    <n v="1"/>
    <n v="29.99"/>
    <s v="None"/>
    <n v="0"/>
    <n v="5.99"/>
    <n v="2.1"/>
    <n v="38.08"/>
    <x v="5"/>
    <x v="3"/>
    <x v="2"/>
    <s v="2024-04-16"/>
    <n v="0"/>
    <x v="10"/>
    <s v="Q2"/>
    <n v="29.99"/>
  </r>
  <r>
    <s v="#ORD-10030"/>
    <s v="2024-06-12"/>
    <s v="04:01:17"/>
    <s v="Grace Walker"/>
    <s v="grace.walker8@gmail.com"/>
    <s v="+1-629-651-9947"/>
    <s v="Columbus"/>
    <s v="OH"/>
    <s v="United States"/>
    <s v="Classic Fit Polo Shirt x1"/>
    <x v="1"/>
    <n v="1"/>
    <n v="34.99"/>
    <s v="None"/>
    <n v="0"/>
    <n v="9.99"/>
    <n v="2.97"/>
    <n v="47.95"/>
    <x v="0"/>
    <x v="3"/>
    <x v="4"/>
    <m/>
    <n v="0"/>
    <x v="3"/>
    <s v="Q2"/>
    <n v="34.99"/>
  </r>
  <r>
    <s v="#ORD-10031"/>
    <s v="2024-07-07"/>
    <s v="14:30:41"/>
    <s v="Victoria Anderson"/>
    <s v="victoria.anderson29@gmail.com"/>
    <s v="+1-603-706-1444"/>
    <s v="Indianapolis"/>
    <s v="IN"/>
    <s v="United States"/>
    <s v="Resistance Band Set x1"/>
    <x v="3"/>
    <n v="1"/>
    <n v="24.99"/>
    <s v="WELCOME15"/>
    <n v="3.75"/>
    <n v="5.99"/>
    <n v="1.81"/>
    <n v="29.04"/>
    <x v="2"/>
    <x v="7"/>
    <x v="0"/>
    <s v="2024-07-08"/>
    <n v="29.04"/>
    <x v="2"/>
    <s v="Q3"/>
    <n v="21.24"/>
  </r>
  <r>
    <s v="#ORD-10032"/>
    <s v="2024-04-11"/>
    <s v="00:49:57"/>
    <s v="Ethan Lewis"/>
    <s v="ethan.lewis60@gmail.com"/>
    <s v="+1-681-119-9837"/>
    <s v="Phoenix"/>
    <s v="AZ"/>
    <s v="United States"/>
    <s v="Running Shoes - Women's x1"/>
    <x v="5"/>
    <n v="1"/>
    <n v="69.989999999999995"/>
    <s v="SAVE10"/>
    <n v="7"/>
    <n v="9.99"/>
    <n v="5.04"/>
    <n v="78.02"/>
    <x v="6"/>
    <x v="6"/>
    <x v="2"/>
    <s v="2024-04-12"/>
    <n v="0"/>
    <x v="10"/>
    <s v="Q2"/>
    <n v="62.989999999999995"/>
  </r>
  <r>
    <s v="#ORD-10033"/>
    <s v="2024-09-10"/>
    <s v="02:47:37"/>
    <s v="Noah Thompson"/>
    <s v="noah.thompson84@gmail.com"/>
    <s v="+1-885-217-4571"/>
    <s v="San Diego"/>
    <s v="CA"/>
    <s v="United States"/>
    <s v="Wireless Noise-Cancelling Headphones x3"/>
    <x v="7"/>
    <n v="1"/>
    <n v="269.97000000000003"/>
    <s v="None"/>
    <n v="0"/>
    <n v="0"/>
    <n v="16.2"/>
    <n v="286.17"/>
    <x v="1"/>
    <x v="3"/>
    <x v="3"/>
    <m/>
    <n v="0"/>
    <x v="11"/>
    <s v="Q3"/>
    <n v="269.97000000000003"/>
  </r>
  <r>
    <s v="#ORD-10034"/>
    <s v="2024-08-23"/>
    <s v="19:57:24"/>
    <s v="Sebastian Taylor"/>
    <s v="sebastian.taylor48@gmail.com"/>
    <s v="+1-913-891-5941"/>
    <s v="Memphis"/>
    <s v="TN"/>
    <s v="United States"/>
    <s v="Sunscreen SPF 50 Face x3 | Smart LED Desk Lamp x1 | Classic Fit Polo Shirt x1 | Denim Jacket x1 | Running Shoes - Men's x1"/>
    <x v="0"/>
    <n v="5"/>
    <n v="271.93"/>
    <s v="WELCOME15"/>
    <n v="40.79"/>
    <n v="0"/>
    <n v="19.649999999999999"/>
    <n v="250.79"/>
    <x v="2"/>
    <x v="3"/>
    <x v="2"/>
    <s v="2024-08-24"/>
    <n v="0"/>
    <x v="5"/>
    <s v="Q3"/>
    <n v="231.14000000000001"/>
  </r>
  <r>
    <s v="#ORD-10035"/>
    <s v="2024-06-15"/>
    <s v="08:46:20"/>
    <s v="Victoria Davis"/>
    <s v="victoria.davis73@yahoo.com"/>
    <s v="+1-924-256-8135"/>
    <s v="Louisville"/>
    <s v="KY"/>
    <s v="United States"/>
    <s v="USB-C Fast Charger 65W x1 | Air Fryer 5.8Qt x1"/>
    <x v="7"/>
    <n v="2"/>
    <n v="109.98"/>
    <s v="WELCOME15"/>
    <n v="16.5"/>
    <n v="0"/>
    <n v="7.95"/>
    <n v="101.43"/>
    <x v="0"/>
    <x v="1"/>
    <x v="3"/>
    <m/>
    <n v="0"/>
    <x v="3"/>
    <s v="Q2"/>
    <n v="93.48"/>
  </r>
  <r>
    <s v="#ORD-10036"/>
    <s v="2024-10-27"/>
    <s v="20:10:53"/>
    <s v="Logan Wright"/>
    <s v="logan.wright35@outlook.com"/>
    <s v="+1-783-724-7209"/>
    <s v="Oklahoma City"/>
    <s v="OK"/>
    <s v="United States"/>
    <s v="Multivitamin Daily Pack x2 | Denim Jacket x1"/>
    <x v="8"/>
    <n v="2"/>
    <n v="104.97"/>
    <s v="None"/>
    <n v="0"/>
    <n v="0"/>
    <n v="6.3"/>
    <n v="111.27"/>
    <x v="0"/>
    <x v="5"/>
    <x v="3"/>
    <m/>
    <n v="0"/>
    <x v="7"/>
    <s v="Q4"/>
    <n v="104.97"/>
  </r>
  <r>
    <s v="#ORD-10037"/>
    <s v="2024-03-23"/>
    <s v="09:06:01"/>
    <s v="Muhammad Johnson"/>
    <s v="muhammad.johnson42@gmail.com"/>
    <s v="+1-287-347-7658"/>
    <s v="Indianapolis"/>
    <s v="IN"/>
    <s v="United States"/>
    <s v="Hiking Boots x1"/>
    <x v="5"/>
    <n v="1"/>
    <n v="109.99"/>
    <s v="LOYALTY5"/>
    <n v="5.5"/>
    <n v="0"/>
    <n v="10.45"/>
    <n v="114.94"/>
    <x v="4"/>
    <x v="0"/>
    <x v="0"/>
    <s v="2024-03-25"/>
    <n v="114.94"/>
    <x v="9"/>
    <s v="Q1"/>
    <n v="104.49"/>
  </r>
  <r>
    <s v="#ORD-10038"/>
    <s v="2024-07-09"/>
    <s v="14:47:11"/>
    <s v="Michael Torres"/>
    <s v="michael.torres31@outlook.com"/>
    <s v="+1-766-643-6632"/>
    <s v="Memphis"/>
    <s v="TN"/>
    <s v="United States"/>
    <s v="Wireless Noise-Cancelling Headphones x1"/>
    <x v="7"/>
    <n v="1"/>
    <n v="89.99"/>
    <s v="None"/>
    <n v="0"/>
    <n v="0"/>
    <n v="7.65"/>
    <n v="97.64"/>
    <x v="1"/>
    <x v="3"/>
    <x v="1"/>
    <s v="2024-07-13"/>
    <n v="0"/>
    <x v="2"/>
    <s v="Q3"/>
    <n v="89.99"/>
  </r>
  <r>
    <s v="#ORD-10039"/>
    <s v="2024-04-07"/>
    <s v="15:15:07"/>
    <s v="Jack Torres"/>
    <s v="jack.torres46@yahoo.com"/>
    <s v="+1-489-202-4180"/>
    <s v="Austin"/>
    <s v="TX"/>
    <s v="United States"/>
    <s v="Men's Grooming Kit x1"/>
    <x v="0"/>
    <n v="1"/>
    <n v="35.99"/>
    <s v="None"/>
    <n v="0"/>
    <n v="5.99"/>
    <n v="2.52"/>
    <n v="44.5"/>
    <x v="0"/>
    <x v="5"/>
    <x v="0"/>
    <s v="2024-04-12"/>
    <n v="44.5"/>
    <x v="10"/>
    <s v="Q2"/>
    <n v="35.99"/>
  </r>
  <r>
    <s v="#ORD-10040"/>
    <s v="2024-10-01"/>
    <s v="23:12:38"/>
    <s v="Evelyn Anderson"/>
    <s v="evelyn.anderson23@gmail.com"/>
    <s v="+1-491-580-8843"/>
    <s v="Jacksonville"/>
    <s v="FL"/>
    <s v="United States"/>
    <s v="Hiking Boots x3 | Portable Bluetooth Speaker x1"/>
    <x v="5"/>
    <n v="2"/>
    <n v="379.96"/>
    <s v="None"/>
    <n v="0"/>
    <n v="0"/>
    <n v="38"/>
    <n v="417.96"/>
    <x v="4"/>
    <x v="5"/>
    <x v="2"/>
    <s v="2024-10-06"/>
    <n v="0"/>
    <x v="7"/>
    <s v="Q4"/>
    <n v="379.96"/>
  </r>
  <r>
    <s v="#ORD-10041"/>
    <s v="2024-11-30"/>
    <s v="15:50:24"/>
    <s v="Avery Perez"/>
    <s v="avery.perez7@gmail.com"/>
    <s v="+1-454-221-7818"/>
    <s v="Philadelphia"/>
    <s v="PA"/>
    <s v="United States"/>
    <s v="Denim Jacket x1 | USB-C Fast Charger 65W x1"/>
    <x v="1"/>
    <n v="2"/>
    <n v="94.98"/>
    <s v="None"/>
    <n v="0"/>
    <n v="0"/>
    <n v="6.65"/>
    <n v="101.63"/>
    <x v="0"/>
    <x v="0"/>
    <x v="2"/>
    <s v="2024-12-01"/>
    <n v="0"/>
    <x v="8"/>
    <s v="Q4"/>
    <n v="94.98"/>
  </r>
  <r>
    <s v="#ORD-10042"/>
    <s v="2024-07-21"/>
    <s v="22:43:44"/>
    <s v="Victoria Flores"/>
    <s v="victoria.flores80@gmail.com"/>
    <s v="+1-840-316-5335"/>
    <s v="Louisville"/>
    <s v="KY"/>
    <s v="United States"/>
    <s v="Bamboo Sunglasses x1"/>
    <x v="2"/>
    <n v="1"/>
    <n v="24.99"/>
    <s v="LOYALTY5"/>
    <n v="1.25"/>
    <n v="9.99"/>
    <n v="1.9"/>
    <n v="35.630000000000003"/>
    <x v="1"/>
    <x v="3"/>
    <x v="2"/>
    <s v="2024-07-23"/>
    <n v="0"/>
    <x v="2"/>
    <s v="Q3"/>
    <n v="23.74"/>
  </r>
  <r>
    <s v="#ORD-10043"/>
    <s v="2024-06-07"/>
    <s v="15:39:35"/>
    <s v="Ethan Hernandez"/>
    <s v="ethan.hernandez23@yahoo.com"/>
    <s v="+1-840-703-4241"/>
    <s v="San Diego"/>
    <s v="CA"/>
    <s v="United States"/>
    <s v="Scented Soy Candle Set x1 | Stainless Steel Cookware Set x1"/>
    <x v="4"/>
    <n v="2"/>
    <n v="152.97999999999999"/>
    <s v="SAVE10"/>
    <n v="15.3"/>
    <n v="0"/>
    <n v="13.77"/>
    <n v="151.44999999999999"/>
    <x v="4"/>
    <x v="3"/>
    <x v="2"/>
    <s v="2024-06-10"/>
    <n v="0"/>
    <x v="3"/>
    <s v="Q2"/>
    <n v="137.67999999999998"/>
  </r>
  <r>
    <s v="#ORD-10044"/>
    <s v="2024-11-17"/>
    <s v="00:45:39"/>
    <s v="Jack Davis"/>
    <s v="jack.davis29@outlook.com"/>
    <s v="+1-478-612-9847"/>
    <s v="Seattle"/>
    <s v="WA"/>
    <s v="United States"/>
    <s v="Portable Bluetooth Speaker x1"/>
    <x v="7"/>
    <n v="1"/>
    <n v="49.99"/>
    <s v="SAVE10"/>
    <n v="5"/>
    <n v="7.99"/>
    <n v="3.82"/>
    <n v="56.8"/>
    <x v="0"/>
    <x v="4"/>
    <x v="4"/>
    <m/>
    <n v="0"/>
    <x v="8"/>
    <s v="Q4"/>
    <n v="44.99"/>
  </r>
  <r>
    <s v="#ORD-10045"/>
    <s v="2024-06-16"/>
    <s v="18:47:56"/>
    <s v="Michael Robinson"/>
    <s v="michael.robinson77@gmail.com"/>
    <s v="+1-241-881-3870"/>
    <s v="Chicago"/>
    <s v="IL"/>
    <s v="United States"/>
    <s v="Scented Soy Candle Set x1 | Hiking Boots x3 | Wireless Noise-Cancelling Headphones x2"/>
    <x v="4"/>
    <n v="3"/>
    <n v="532.94000000000005"/>
    <s v="LOYALTY5"/>
    <n v="26.65"/>
    <n v="0"/>
    <n v="45.57"/>
    <n v="551.86"/>
    <x v="7"/>
    <x v="7"/>
    <x v="2"/>
    <s v="2024-06-21"/>
    <n v="0"/>
    <x v="3"/>
    <s v="Q2"/>
    <n v="506.29000000000008"/>
  </r>
  <r>
    <s v="#ORD-10046"/>
    <s v="2024-08-15"/>
    <s v="07:40:03"/>
    <s v="Ella Wright"/>
    <s v="ella.wright57@yahoo.com"/>
    <s v="+1-537-521-9117"/>
    <s v="Oklahoma City"/>
    <s v="OK"/>
    <s v="United States"/>
    <s v="Denim Jacket x1"/>
    <x v="1"/>
    <n v="1"/>
    <n v="64.989999999999995"/>
    <s v="None"/>
    <n v="0"/>
    <n v="9.99"/>
    <n v="5.2"/>
    <n v="80.180000000000007"/>
    <x v="5"/>
    <x v="3"/>
    <x v="2"/>
    <s v="2024-08-17"/>
    <n v="0"/>
    <x v="5"/>
    <s v="Q3"/>
    <n v="64.989999999999995"/>
  </r>
  <r>
    <s v="#ORD-10047"/>
    <s v="2024-05-02"/>
    <s v="03:30:44"/>
    <s v="Evelyn Sanchez"/>
    <s v="evelyn.sanchez98@yahoo.com"/>
    <s v="+1-623-155-4073"/>
    <s v="Baltimore"/>
    <s v="MD"/>
    <s v="United States"/>
    <s v="Smart LED Desk Lamp x3"/>
    <x v="7"/>
    <n v="1"/>
    <n v="119.97"/>
    <s v="WELCOME15"/>
    <n v="18"/>
    <n v="0"/>
    <n v="9.18"/>
    <n v="111.15"/>
    <x v="6"/>
    <x v="3"/>
    <x v="0"/>
    <s v="2024-05-06"/>
    <n v="111.15"/>
    <x v="4"/>
    <s v="Q2"/>
    <n v="101.97"/>
  </r>
  <r>
    <s v="#ORD-10048"/>
    <s v="2024-06-20"/>
    <s v="16:07:13"/>
    <s v="Owen White"/>
    <s v="owen.white97@gmail.com"/>
    <s v="+1-518-664-1224"/>
    <s v="Nashville"/>
    <s v="TN"/>
    <s v="United States"/>
    <s v="Running Shoes - Women's x1 | Hiking Boots x1 | Coffee Maker Programmable x2"/>
    <x v="5"/>
    <n v="3"/>
    <n v="289.95999999999998"/>
    <s v="SUMMER20"/>
    <n v="57.99"/>
    <n v="0"/>
    <n v="13.92"/>
    <n v="245.89"/>
    <x v="0"/>
    <x v="0"/>
    <x v="2"/>
    <s v="2024-06-22"/>
    <n v="0"/>
    <x v="3"/>
    <s v="Q2"/>
    <n v="231.96999999999997"/>
  </r>
  <r>
    <s v="#ORD-10049"/>
    <s v="2024-06-28"/>
    <s v="05:00:21"/>
    <s v="William Clark"/>
    <s v="william.clark29@outlook.com"/>
    <s v="+1-395-713-9327"/>
    <s v="Chicago"/>
    <s v="IL"/>
    <s v="United States"/>
    <s v="Essential Oil Diffuser x3 | Denim Jacket x1 | Mechanical Keyboard x2 | Stainless Steel Cookware Set x1"/>
    <x v="4"/>
    <n v="4"/>
    <n v="533.92999999999995"/>
    <s v="SUMMER20"/>
    <n v="106.79"/>
    <n v="0"/>
    <n v="36.31"/>
    <n v="463.45"/>
    <x v="0"/>
    <x v="0"/>
    <x v="4"/>
    <m/>
    <n v="0"/>
    <x v="3"/>
    <s v="Q2"/>
    <n v="427.13999999999993"/>
  </r>
  <r>
    <s v="#ORD-10050"/>
    <s v="2024-12-28"/>
    <s v="19:49:34"/>
    <s v="Isabella Jones"/>
    <s v="isabella.jones99@yahoo.com"/>
    <s v="+1-981-656-7180"/>
    <s v="Dallas"/>
    <s v="TX"/>
    <s v="United States"/>
    <s v="Hiking Boots x1 | Denim Jacket x1 | Wireless Noise-Cancelling Headphones x1"/>
    <x v="5"/>
    <n v="3"/>
    <n v="264.97000000000003"/>
    <s v="SUMMER20"/>
    <n v="52.99"/>
    <n v="0"/>
    <n v="14.84"/>
    <n v="226.82"/>
    <x v="5"/>
    <x v="5"/>
    <x v="1"/>
    <s v="2025-01-02"/>
    <n v="0"/>
    <x v="1"/>
    <s v="Q4"/>
    <n v="211.98000000000002"/>
  </r>
  <r>
    <s v="#ORD-10051"/>
    <s v="2024-05-28"/>
    <s v="17:32:49"/>
    <s v="Sebastian Lee"/>
    <s v="sebastian.lee25@yahoo.com"/>
    <s v="+1-237-229-9229"/>
    <s v="Milwaukee"/>
    <s v="WI"/>
    <s v="United States"/>
    <s v="Classic Fit Polo Shirt x1"/>
    <x v="1"/>
    <n v="1"/>
    <n v="34.99"/>
    <s v="SAVE10"/>
    <n v="3.5"/>
    <n v="9.99"/>
    <n v="3.15"/>
    <n v="44.63"/>
    <x v="2"/>
    <x v="3"/>
    <x v="2"/>
    <s v="2024-06-01"/>
    <n v="0"/>
    <x v="4"/>
    <s v="Q2"/>
    <n v="31.490000000000002"/>
  </r>
  <r>
    <s v="#ORD-10052"/>
    <s v="2024-07-23"/>
    <s v="06:13:09"/>
    <s v="Daniel Perez"/>
    <s v="daniel.perez13@yahoo.com"/>
    <s v="+1-890-979-9742"/>
    <s v="Milwaukee"/>
    <s v="WI"/>
    <s v="United States"/>
    <s v="Wireless Noise-Cancelling Headphones x2 | Men's Grooming Kit x3 | Mechanical Keyboard x1 | Multivitamin Daily Pack x2"/>
    <x v="7"/>
    <n v="4"/>
    <n v="447.92"/>
    <s v="SAVE10"/>
    <n v="44.79"/>
    <n v="0"/>
    <n v="32.25"/>
    <n v="435.38"/>
    <x v="1"/>
    <x v="3"/>
    <x v="2"/>
    <s v="2024-07-26"/>
    <n v="0"/>
    <x v="2"/>
    <s v="Q3"/>
    <n v="403.13"/>
  </r>
  <r>
    <s v="#ORD-10053"/>
    <s v="2024-07-29"/>
    <s v="02:38:05"/>
    <s v="Elizabeth Lee"/>
    <s v="elizabeth.lee92@yahoo.com"/>
    <s v="+1-370-810-5906"/>
    <s v="Oklahoma City"/>
    <s v="OK"/>
    <s v="United States"/>
    <s v="USB-C Fast Charger 65W x1"/>
    <x v="7"/>
    <n v="1"/>
    <n v="29.99"/>
    <s v="SAVE10"/>
    <n v="3"/>
    <n v="5.99"/>
    <n v="2.7"/>
    <n v="35.68"/>
    <x v="0"/>
    <x v="7"/>
    <x v="2"/>
    <s v="2024-08-02"/>
    <n v="0"/>
    <x v="2"/>
    <s v="Q3"/>
    <n v="26.99"/>
  </r>
  <r>
    <s v="#ORD-10054"/>
    <s v="2024-05-25"/>
    <s v="13:46:19"/>
    <s v="Liam Williams"/>
    <s v="liam.williams8@gmail.com"/>
    <s v="+1-834-799-4945"/>
    <s v="Austin"/>
    <s v="TX"/>
    <s v="United States"/>
    <s v="Casual Sneakers x1"/>
    <x v="5"/>
    <n v="1"/>
    <n v="59.99"/>
    <s v="LOYALTY5"/>
    <n v="3"/>
    <n v="5.99"/>
    <n v="3.99"/>
    <n v="66.97"/>
    <x v="0"/>
    <x v="0"/>
    <x v="4"/>
    <m/>
    <n v="0"/>
    <x v="4"/>
    <s v="Q2"/>
    <n v="56.99"/>
  </r>
  <r>
    <s v="#ORD-10055"/>
    <s v="2024-04-08"/>
    <s v="15:14:25"/>
    <s v="Michael Hill"/>
    <s v="michael.hill30@gmail.com"/>
    <s v="+1-506-754-7951"/>
    <s v="Phoenix"/>
    <s v="AZ"/>
    <s v="United States"/>
    <s v="Anti-Aging Serum 1oz x2 | Wireless Noise-Cancelling Headphones x1"/>
    <x v="0"/>
    <n v="2"/>
    <n v="189.97"/>
    <s v="SAVE10"/>
    <n v="19"/>
    <n v="0"/>
    <n v="17.100000000000001"/>
    <n v="188.07"/>
    <x v="5"/>
    <x v="3"/>
    <x v="1"/>
    <s v="2024-04-13"/>
    <n v="0"/>
    <x v="10"/>
    <s v="Q2"/>
    <n v="170.97"/>
  </r>
  <r>
    <s v="#ORD-10056"/>
    <s v="2024-05-29"/>
    <s v="09:36:03"/>
    <s v="Harper Walker"/>
    <s v="harper.walker39@gmail.com"/>
    <s v="+1-779-985-1803"/>
    <s v="Milwaukee"/>
    <s v="WI"/>
    <s v="United States"/>
    <s v="Smart LED Desk Lamp x1 | Casual Sneakers x1 | Protein Powder Chocolate 2lb x3"/>
    <x v="7"/>
    <n v="3"/>
    <n v="234.95"/>
    <s v="SAVE10"/>
    <n v="23.5"/>
    <n v="0"/>
    <n v="12.69"/>
    <n v="224.14"/>
    <x v="7"/>
    <x v="0"/>
    <x v="2"/>
    <s v="2024-05-30"/>
    <n v="0"/>
    <x v="4"/>
    <s v="Q2"/>
    <n v="211.45"/>
  </r>
  <r>
    <s v="#ORD-10057"/>
    <s v="2024-11-07"/>
    <s v="10:32:51"/>
    <s v="Victoria Allen"/>
    <s v="victoria.allen37@yahoo.com"/>
    <s v="+1-651-134-6977"/>
    <s v="Baltimore"/>
    <s v="MD"/>
    <s v="United States"/>
    <s v="Essential Oil Diffuser x1"/>
    <x v="4"/>
    <n v="1"/>
    <n v="32.99"/>
    <s v="SAVE10"/>
    <n v="3.3"/>
    <n v="5.99"/>
    <n v="2.97"/>
    <n v="38.65"/>
    <x v="0"/>
    <x v="0"/>
    <x v="2"/>
    <s v="2024-11-10"/>
    <n v="0"/>
    <x v="8"/>
    <s v="Q4"/>
    <n v="29.69"/>
  </r>
  <r>
    <s v="#ORD-10058"/>
    <s v="2024-06-10"/>
    <s v="08:46:10"/>
    <s v="Isabella Garcia"/>
    <s v="isabella.garcia38@gmail.com"/>
    <s v="+1-693-925-5835"/>
    <s v="Tucson"/>
    <s v="AZ"/>
    <s v="United States"/>
    <s v="Mechanical Keyboard x2"/>
    <x v="7"/>
    <n v="1"/>
    <n v="239.98"/>
    <s v="SAVE10"/>
    <n v="24"/>
    <n v="0"/>
    <n v="19.440000000000001"/>
    <n v="235.42"/>
    <x v="5"/>
    <x v="3"/>
    <x v="2"/>
    <s v="2024-06-13"/>
    <n v="0"/>
    <x v="3"/>
    <s v="Q2"/>
    <n v="215.98"/>
  </r>
  <r>
    <s v="#ORD-10059"/>
    <s v="2024-03-28"/>
    <s v="14:52:52"/>
    <s v="Muhammad Davis"/>
    <s v="muhammad.davis10@gmail.com"/>
    <s v="+1-798-490-7086"/>
    <s v="Charlotte"/>
    <s v="NC"/>
    <s v="United States"/>
    <s v="Men's Grooming Kit x3 | Anti-Aging Serum 1oz x2 | Protein Powder Chocolate 2lb x1"/>
    <x v="0"/>
    <n v="3"/>
    <n v="252.94"/>
    <s v="WELCOME15"/>
    <n v="37.94"/>
    <n v="0"/>
    <n v="12.9"/>
    <n v="227.9"/>
    <x v="0"/>
    <x v="3"/>
    <x v="1"/>
    <s v="2024-03-31"/>
    <n v="0"/>
    <x v="9"/>
    <s v="Q1"/>
    <n v="215"/>
  </r>
  <r>
    <s v="#ORD-10060"/>
    <s v="2024-05-07"/>
    <s v="09:14:24"/>
    <s v="Sophia Anderson"/>
    <s v="sophia.anderson4@outlook.com"/>
    <s v="+1-750-238-7367"/>
    <s v="Indianapolis"/>
    <s v="IN"/>
    <s v="United States"/>
    <s v="Casual Sneakers x1 | Essential Oil Diffuser x2 | USB-C Fast Charger 65W x1 | Denim Jacket x1"/>
    <x v="5"/>
    <n v="4"/>
    <n v="220.95"/>
    <s v="None"/>
    <n v="0"/>
    <n v="0"/>
    <n v="13.26"/>
    <n v="234.21"/>
    <x v="0"/>
    <x v="5"/>
    <x v="2"/>
    <s v="2024-05-09"/>
    <n v="0"/>
    <x v="4"/>
    <s v="Q2"/>
    <n v="220.95"/>
  </r>
  <r>
    <s v="#ORD-10061"/>
    <s v="2024-08-16"/>
    <s v="02:24:31"/>
    <s v="Sebastian White"/>
    <s v="sebastian.white96@outlook.com"/>
    <s v="+1-441-975-6942"/>
    <s v="El Paso"/>
    <s v="TX"/>
    <s v="United States"/>
    <s v="Mechanical Keyboard x1 | Leather Wallet Slim x2 | Multivitamin Daily Pack x1"/>
    <x v="7"/>
    <n v="3"/>
    <n v="199.96"/>
    <s v="SAVE10"/>
    <n v="20"/>
    <n v="0"/>
    <n v="10.8"/>
    <n v="190.76"/>
    <x v="1"/>
    <x v="3"/>
    <x v="3"/>
    <m/>
    <n v="0"/>
    <x v="5"/>
    <s v="Q3"/>
    <n v="179.96"/>
  </r>
  <r>
    <s v="#ORD-10062"/>
    <s v="2024-06-03"/>
    <s v="14:55:49"/>
    <s v="Sophia White"/>
    <s v="sophia.white83@gmail.com"/>
    <s v="+1-541-349-3063"/>
    <s v="Seattle"/>
    <s v="WA"/>
    <s v="United States"/>
    <s v="Smart LED Desk Lamp x3"/>
    <x v="7"/>
    <n v="1"/>
    <n v="119.97"/>
    <s v="SUMMER20"/>
    <n v="23.99"/>
    <n v="0"/>
    <n v="5.76"/>
    <n v="101.74"/>
    <x v="1"/>
    <x v="0"/>
    <x v="2"/>
    <s v="2024-06-04"/>
    <n v="0"/>
    <x v="3"/>
    <s v="Q2"/>
    <n v="95.98"/>
  </r>
  <r>
    <s v="#ORD-10063"/>
    <s v="2024-11-11"/>
    <s v="18:12:10"/>
    <s v="Chloe Wilson"/>
    <s v="chloe.wilson98@outlook.com"/>
    <s v="+1-334-115-6869"/>
    <s v="Chicago"/>
    <s v="IL"/>
    <s v="United States"/>
    <s v="Resistance Band Set x2 | Classic Fit Polo Shirt x1 | Mechanical Keyboard x1"/>
    <x v="3"/>
    <n v="3"/>
    <n v="204.96"/>
    <s v="None"/>
    <n v="0"/>
    <n v="0"/>
    <n v="14.35"/>
    <n v="219.31"/>
    <x v="5"/>
    <x v="6"/>
    <x v="2"/>
    <s v="2024-11-12"/>
    <n v="0"/>
    <x v="8"/>
    <s v="Q4"/>
    <n v="204.96"/>
  </r>
  <r>
    <s v="#ORD-10064"/>
    <s v="2024-01-21"/>
    <s v="08:23:39"/>
    <s v="Oliver Hill"/>
    <s v="oliver.hill3@gmail.com"/>
    <s v="+1-715-326-1710"/>
    <s v="Austin"/>
    <s v="TX"/>
    <s v="United States"/>
    <s v="Multivitamin Daily Pack x1"/>
    <x v="8"/>
    <n v="1"/>
    <n v="19.989999999999998"/>
    <s v="None"/>
    <n v="0"/>
    <n v="9.99"/>
    <n v="1.7"/>
    <n v="31.68"/>
    <x v="6"/>
    <x v="5"/>
    <x v="2"/>
    <s v="2024-01-25"/>
    <n v="0"/>
    <x v="6"/>
    <s v="Q1"/>
    <n v="19.989999999999998"/>
  </r>
  <r>
    <s v="#ORD-10065"/>
    <s v="2024-07-05"/>
    <s v="00:26:05"/>
    <s v="Owen Martin"/>
    <s v="owen.martin83@yahoo.com"/>
    <s v="+1-848-699-9984"/>
    <s v="Charlotte"/>
    <s v="NC"/>
    <s v="United States"/>
    <s v="Multivitamin Daily Pack x1 | Anti-Aging Serum 1oz x2 | Smart LED Desk Lamp x1"/>
    <x v="8"/>
    <n v="3"/>
    <n v="159.96"/>
    <s v="None"/>
    <n v="0"/>
    <n v="0"/>
    <n v="12.8"/>
    <n v="172.76"/>
    <x v="1"/>
    <x v="3"/>
    <x v="2"/>
    <s v="2024-07-10"/>
    <n v="0"/>
    <x v="2"/>
    <s v="Q3"/>
    <n v="159.96"/>
  </r>
  <r>
    <s v="#ORD-10066"/>
    <s v="2024-07-15"/>
    <s v="08:04:39"/>
    <s v="Abigail Harris"/>
    <s v="abigail.harris68@gmail.com"/>
    <s v="+1-547-947-8430"/>
    <s v="Nashville"/>
    <s v="TN"/>
    <s v="United States"/>
    <s v="Smart LED Desk Lamp x2 | High-Waist Leggings x2"/>
    <x v="7"/>
    <n v="2"/>
    <n v="165.96"/>
    <s v="FLASH25"/>
    <n v="41.49"/>
    <n v="0"/>
    <n v="12.45"/>
    <n v="136.91999999999999"/>
    <x v="4"/>
    <x v="5"/>
    <x v="2"/>
    <s v="2024-07-19"/>
    <n v="0"/>
    <x v="2"/>
    <s v="Q3"/>
    <n v="124.47"/>
  </r>
  <r>
    <s v="#ORD-10067"/>
    <s v="2024-05-01"/>
    <s v="08:55:50"/>
    <s v="Henry Clark"/>
    <s v="henry.clark13@gmail.com"/>
    <s v="+1-769-161-6400"/>
    <s v="Portland"/>
    <s v="OR"/>
    <s v="United States"/>
    <s v="Insulated Water Bottle 32oz x1 | Mechanical Keyboard x1"/>
    <x v="3"/>
    <n v="2"/>
    <n v="147.97999999999999"/>
    <s v="None"/>
    <n v="0"/>
    <n v="0"/>
    <n v="8.8800000000000008"/>
    <n v="156.86000000000001"/>
    <x v="0"/>
    <x v="3"/>
    <x v="1"/>
    <s v="2024-05-03"/>
    <n v="0"/>
    <x v="4"/>
    <s v="Q2"/>
    <n v="147.97999999999999"/>
  </r>
  <r>
    <s v="#ORD-10068"/>
    <s v="2024-12-21"/>
    <s v="16:16:54"/>
    <s v="Mason Clark"/>
    <s v="mason.clark86@yahoo.com"/>
    <s v="+1-769-476-2882"/>
    <s v="Jacksonville"/>
    <s v="FL"/>
    <s v="United States"/>
    <s v="Yoga Mat Premium x1 | Scented Soy Candle Set x1"/>
    <x v="3"/>
    <n v="2"/>
    <n v="57.98"/>
    <s v="FLASH25"/>
    <n v="14.5"/>
    <n v="5.99"/>
    <n v="3.04"/>
    <n v="52.51"/>
    <x v="1"/>
    <x v="3"/>
    <x v="2"/>
    <s v="2024-12-24"/>
    <n v="0"/>
    <x v="1"/>
    <s v="Q4"/>
    <n v="43.48"/>
  </r>
  <r>
    <s v="#ORD-10069"/>
    <s v="2024-11-13"/>
    <s v="20:17:28"/>
    <s v="Elijah Nguyen"/>
    <s v="elijah.nguyen55@outlook.com"/>
    <s v="+1-559-106-3972"/>
    <s v="San Diego"/>
    <s v="CA"/>
    <s v="United States"/>
    <s v="Anti-Aging Serum 1oz x1 | Essential Oil Diffuser x1"/>
    <x v="0"/>
    <n v="2"/>
    <n v="82.98"/>
    <s v="SAVE10"/>
    <n v="8.3000000000000007"/>
    <n v="0"/>
    <n v="4.4800000000000004"/>
    <n v="79.16"/>
    <x v="0"/>
    <x v="4"/>
    <x v="2"/>
    <s v="2024-11-16"/>
    <n v="0"/>
    <x v="8"/>
    <s v="Q4"/>
    <n v="74.680000000000007"/>
  </r>
  <r>
    <s v="#ORD-10070"/>
    <s v="2024-10-14"/>
    <s v="18:19:55"/>
    <s v="James Nguyen"/>
    <s v="james.nguyen52@gmail.com"/>
    <s v="+1-810-186-1861"/>
    <s v="El Paso"/>
    <s v="TX"/>
    <s v="United States"/>
    <s v="Wireless Noise-Cancelling Headphones x2 | USB-C Fast Charger 65W x1"/>
    <x v="7"/>
    <n v="2"/>
    <n v="209.97"/>
    <s v="WELCOME15"/>
    <n v="31.5"/>
    <n v="0"/>
    <n v="15.17"/>
    <n v="193.64"/>
    <x v="0"/>
    <x v="3"/>
    <x v="1"/>
    <s v="2024-10-19"/>
    <n v="0"/>
    <x v="7"/>
    <s v="Q4"/>
    <n v="178.47"/>
  </r>
  <r>
    <s v="#ORD-10071"/>
    <s v="2024-02-01"/>
    <s v="16:23:41"/>
    <s v="James Hernandez"/>
    <s v="james.hernandez80@gmail.com"/>
    <s v="+1-640-213-5640"/>
    <s v="Memphis"/>
    <s v="TN"/>
    <s v="United States"/>
    <s v="Anti-Aging Serum 1oz x1"/>
    <x v="0"/>
    <n v="1"/>
    <n v="49.99"/>
    <s v="LOYALTY5"/>
    <n v="2.5"/>
    <n v="9.99"/>
    <n v="4.04"/>
    <n v="61.52"/>
    <x v="0"/>
    <x v="4"/>
    <x v="2"/>
    <s v="2024-02-04"/>
    <n v="0"/>
    <x v="0"/>
    <s v="Q1"/>
    <n v="47.49"/>
  </r>
  <r>
    <s v="#ORD-10072"/>
    <s v="2024-03-26"/>
    <s v="15:22:50"/>
    <s v="Daniel Allen"/>
    <s v="daniel.allen86@gmail.com"/>
    <s v="+1-322-107-9149"/>
    <s v="San Francisco"/>
    <s v="CA"/>
    <s v="United States"/>
    <s v="Scented Soy Candle Set x1"/>
    <x v="4"/>
    <n v="1"/>
    <n v="22.99"/>
    <s v="None"/>
    <n v="0"/>
    <n v="7.99"/>
    <n v="1.61"/>
    <n v="32.590000000000003"/>
    <x v="6"/>
    <x v="4"/>
    <x v="2"/>
    <s v="2024-03-29"/>
    <n v="0"/>
    <x v="9"/>
    <s v="Q1"/>
    <n v="22.99"/>
  </r>
  <r>
    <s v="#ORD-10073"/>
    <s v="2024-08-04"/>
    <s v="23:40:51"/>
    <s v="Jack Lopez"/>
    <s v="jack.lopez49@yahoo.com"/>
    <s v="+1-926-755-7843"/>
    <s v="Phoenix"/>
    <s v="AZ"/>
    <s v="United States"/>
    <s v="High-Waist Leggings x1 | Insulated Water Bottle 32oz x2 | USB-C Fast Charger 65W x1"/>
    <x v="1"/>
    <n v="3"/>
    <n v="128.96"/>
    <s v="SUMMER20"/>
    <n v="25.79"/>
    <n v="0"/>
    <n v="6.19"/>
    <n v="109.36"/>
    <x v="4"/>
    <x v="0"/>
    <x v="4"/>
    <m/>
    <n v="0"/>
    <x v="5"/>
    <s v="Q3"/>
    <n v="103.17000000000002"/>
  </r>
  <r>
    <s v="#ORD-10074"/>
    <s v="2024-08-28"/>
    <s v="01:20:42"/>
    <s v="Evelyn Davis"/>
    <s v="evelyn.davis3@yahoo.com"/>
    <s v="+1-517-863-6562"/>
    <s v="Fort Worth"/>
    <s v="TX"/>
    <s v="United States"/>
    <s v="Sunscreen SPF 50 Face x1 | Bamboo Sunglasses x1"/>
    <x v="0"/>
    <n v="2"/>
    <n v="43.98"/>
    <s v="None"/>
    <n v="0"/>
    <n v="5.99"/>
    <n v="3.74"/>
    <n v="53.71"/>
    <x v="1"/>
    <x v="5"/>
    <x v="4"/>
    <m/>
    <n v="0"/>
    <x v="5"/>
    <s v="Q3"/>
    <n v="43.98"/>
  </r>
  <r>
    <s v="#ORD-10075"/>
    <s v="2024-09-02"/>
    <s v="22:04:54"/>
    <s v="Amelia Perez"/>
    <s v="amelia.perez22@gmail.com"/>
    <s v="+1-305-249-5193"/>
    <s v="Memphis"/>
    <s v="TN"/>
    <s v="United States"/>
    <s v="Air Fryer 5.8Qt x1"/>
    <x v="6"/>
    <n v="1"/>
    <n v="79.989999999999995"/>
    <s v="SAVE10"/>
    <n v="8"/>
    <n v="0"/>
    <n v="5.76"/>
    <n v="77.75"/>
    <x v="1"/>
    <x v="6"/>
    <x v="2"/>
    <s v="2024-09-04"/>
    <n v="0"/>
    <x v="11"/>
    <s v="Q3"/>
    <n v="71.989999999999995"/>
  </r>
  <r>
    <s v="#ORD-10076"/>
    <s v="2024-03-09"/>
    <s v="19:07:17"/>
    <s v="Charlotte Lopez"/>
    <s v="charlotte.lopez20@outlook.com"/>
    <s v="+1-269-580-8245"/>
    <s v="Nashville"/>
    <s v="TN"/>
    <s v="United States"/>
    <s v="Essential Oil Diffuser x1 | Stainless Steel Cookware Set x1 | Organic Green Tea 100ct x1 | Classic Fit Polo Shirt x2"/>
    <x v="4"/>
    <n v="4"/>
    <n v="247.95"/>
    <s v="LOYALTY5"/>
    <n v="12.4"/>
    <n v="0"/>
    <n v="18.84"/>
    <n v="254.39"/>
    <x v="4"/>
    <x v="0"/>
    <x v="2"/>
    <s v="2024-03-13"/>
    <n v="0"/>
    <x v="9"/>
    <s v="Q1"/>
    <n v="235.54999999999998"/>
  </r>
  <r>
    <s v="#ORD-10077"/>
    <s v="2024-01-29"/>
    <s v="19:30:25"/>
    <s v="Aiden Moore"/>
    <s v="aiden.moore8@gmail.com"/>
    <s v="+1-808-619-7299"/>
    <s v="Denver"/>
    <s v="CO"/>
    <s v="United States"/>
    <s v="Organic Green Tea 100ct x1"/>
    <x v="9"/>
    <n v="1"/>
    <n v="14.99"/>
    <s v="SAVE10"/>
    <n v="1.5"/>
    <n v="7.99"/>
    <n v="0.81"/>
    <n v="22.29"/>
    <x v="1"/>
    <x v="7"/>
    <x v="2"/>
    <s v="2024-02-03"/>
    <n v="0"/>
    <x v="6"/>
    <s v="Q1"/>
    <n v="13.49"/>
  </r>
  <r>
    <s v="#ORD-10078"/>
    <s v="2024-11-10"/>
    <s v="12:01:53"/>
    <s v="Sebastian Hill"/>
    <s v="sebastian.hill95@yahoo.com"/>
    <s v="+1-716-761-3827"/>
    <s v="Seattle"/>
    <s v="WA"/>
    <s v="United States"/>
    <s v="Running Shoes - Women's x1 | Resistance Band Set x1"/>
    <x v="5"/>
    <n v="2"/>
    <n v="94.98"/>
    <s v="None"/>
    <n v="0"/>
    <n v="0"/>
    <n v="8.07"/>
    <n v="103.05"/>
    <x v="0"/>
    <x v="2"/>
    <x v="1"/>
    <s v="2024-11-11"/>
    <n v="0"/>
    <x v="8"/>
    <s v="Q4"/>
    <n v="94.98"/>
  </r>
  <r>
    <s v="#ORD-10079"/>
    <s v="2024-08-24"/>
    <s v="19:47:54"/>
    <s v="Olivia Thomas"/>
    <s v="olivia.thomas57@outlook.com"/>
    <s v="+1-537-196-7333"/>
    <s v="Boston"/>
    <s v="MA"/>
    <s v="United States"/>
    <s v="Insulated Water Bottle 32oz x2"/>
    <x v="3"/>
    <n v="1"/>
    <n v="55.98"/>
    <s v="WELCOME15"/>
    <n v="8.4"/>
    <n v="9.99"/>
    <n v="3.81"/>
    <n v="61.38"/>
    <x v="1"/>
    <x v="3"/>
    <x v="1"/>
    <s v="2024-08-25"/>
    <n v="0"/>
    <x v="5"/>
    <s v="Q3"/>
    <n v="47.58"/>
  </r>
  <r>
    <s v="#ORD-10080"/>
    <s v="2024-02-28"/>
    <s v="09:34:51"/>
    <s v="Evelyn Taylor"/>
    <s v="evelyn.taylor85@outlook.com"/>
    <s v="+1-772-485-6381"/>
    <s v="Portland"/>
    <s v="OR"/>
    <s v="United States"/>
    <s v="Linen Throw Blanket x1"/>
    <x v="4"/>
    <n v="1"/>
    <n v="39.99"/>
    <s v="SAVE10"/>
    <n v="4"/>
    <n v="7.99"/>
    <n v="3.6"/>
    <n v="47.58"/>
    <x v="1"/>
    <x v="3"/>
    <x v="2"/>
    <s v="2024-03-02"/>
    <n v="0"/>
    <x v="0"/>
    <s v="Q1"/>
    <n v="35.99"/>
  </r>
  <r>
    <s v="#ORD-10081"/>
    <s v="2024-01-08"/>
    <s v="01:55:15"/>
    <s v="Isabella Wright"/>
    <s v="isabella.wright83@outlook.com"/>
    <s v="+1-502-964-2657"/>
    <s v="Chicago"/>
    <s v="IL"/>
    <s v="United States"/>
    <s v="Running Shoes - Men's x3"/>
    <x v="5"/>
    <n v="1"/>
    <n v="224.97"/>
    <s v="SAVE10"/>
    <n v="22.5"/>
    <n v="0"/>
    <n v="17.21"/>
    <n v="219.68"/>
    <x v="0"/>
    <x v="7"/>
    <x v="2"/>
    <s v="2024-01-09"/>
    <n v="0"/>
    <x v="6"/>
    <s v="Q1"/>
    <n v="202.47"/>
  </r>
  <r>
    <s v="#ORD-10082"/>
    <s v="2024-05-10"/>
    <s v="18:52:17"/>
    <s v="Scarlett Scott"/>
    <s v="scarlett.scott95@yahoo.com"/>
    <s v="+1-654-725-5668"/>
    <s v="Baltimore"/>
    <s v="MD"/>
    <s v="United States"/>
    <s v="Scented Soy Candle Set x1 | Mechanical Keyboard x1 | Protein Powder Chocolate 2lb x1"/>
    <x v="4"/>
    <n v="3"/>
    <n v="187.97"/>
    <s v="LOYALTY5"/>
    <n v="9.4"/>
    <n v="0"/>
    <n v="12.5"/>
    <n v="191.07"/>
    <x v="1"/>
    <x v="3"/>
    <x v="1"/>
    <s v="2024-05-12"/>
    <n v="0"/>
    <x v="4"/>
    <s v="Q2"/>
    <n v="178.57"/>
  </r>
  <r>
    <s v="#ORD-10083"/>
    <s v="2024-11-10"/>
    <s v="00:55:14"/>
    <s v="Avery Anderson"/>
    <s v="avery.anderson31@gmail.com"/>
    <s v="+1-365-936-4271"/>
    <s v="Seattle"/>
    <s v="WA"/>
    <s v="United States"/>
    <s v="Leather Wallet Slim x1 | Denim Jacket x3 | Running Shoes - Women's x3"/>
    <x v="2"/>
    <n v="3"/>
    <n v="434.93"/>
    <s v="SUMMER20"/>
    <n v="86.99"/>
    <n v="0"/>
    <n v="27.84"/>
    <n v="375.78"/>
    <x v="6"/>
    <x v="5"/>
    <x v="4"/>
    <m/>
    <n v="0"/>
    <x v="8"/>
    <s v="Q4"/>
    <n v="347.94"/>
  </r>
  <r>
    <s v="#ORD-10084"/>
    <s v="2024-07-05"/>
    <s v="15:25:46"/>
    <s v="Victoria Rodriguez"/>
    <s v="victoria.rodriguez33@gmail.com"/>
    <s v="+1-293-327-8391"/>
    <s v="Milwaukee"/>
    <s v="WI"/>
    <s v="United States"/>
    <s v="Coffee Maker Programmable x2 | Bamboo Sunglasses x1 | Smart LED Desk Lamp x1"/>
    <x v="6"/>
    <n v="3"/>
    <n v="174.96"/>
    <s v="None"/>
    <n v="0"/>
    <n v="0"/>
    <n v="12.25"/>
    <n v="187.21"/>
    <x v="0"/>
    <x v="2"/>
    <x v="2"/>
    <s v="2024-07-09"/>
    <n v="0"/>
    <x v="2"/>
    <s v="Q3"/>
    <n v="174.96"/>
  </r>
  <r>
    <s v="#ORD-10085"/>
    <s v="2024-05-25"/>
    <s v="05:34:25"/>
    <s v="Emily Johnson"/>
    <s v="emily.johnson7@gmail.com"/>
    <s v="+1-239-393-8740"/>
    <s v="Columbus"/>
    <s v="OH"/>
    <s v="United States"/>
    <s v="USB-C Fast Charger 65W x1"/>
    <x v="7"/>
    <n v="1"/>
    <n v="29.99"/>
    <s v="None"/>
    <n v="0"/>
    <n v="7.99"/>
    <n v="1.8"/>
    <n v="39.78"/>
    <x v="4"/>
    <x v="0"/>
    <x v="2"/>
    <s v="2024-05-27"/>
    <n v="0"/>
    <x v="4"/>
    <s v="Q2"/>
    <n v="29.99"/>
  </r>
  <r>
    <s v="#ORD-10086"/>
    <s v="2024-01-31"/>
    <s v="18:26:15"/>
    <s v="Isabella Young"/>
    <s v="isabella.young79@gmail.com"/>
    <s v="+1-508-224-1782"/>
    <s v="Charlotte"/>
    <s v="NC"/>
    <s v="United States"/>
    <s v="Running Shoes - Women's x2"/>
    <x v="5"/>
    <n v="1"/>
    <n v="139.97999999999999"/>
    <s v="FLASH25"/>
    <n v="34.99"/>
    <n v="0"/>
    <n v="10.5"/>
    <n v="115.49"/>
    <x v="1"/>
    <x v="5"/>
    <x v="2"/>
    <s v="2024-02-02"/>
    <n v="0"/>
    <x v="6"/>
    <s v="Q1"/>
    <n v="104.98999999999998"/>
  </r>
  <r>
    <s v="#ORD-10087"/>
    <s v="2024-02-13"/>
    <s v="01:16:13"/>
    <s v="Oliver Clark"/>
    <s v="oliver.clark80@gmail.com"/>
    <s v="+1-626-291-2402"/>
    <s v="Oklahoma City"/>
    <s v="OK"/>
    <s v="United States"/>
    <s v="Stainless Steel Cookware Set x1 | Scented Soy Candle Set x1 | Coffee Maker Programmable x1"/>
    <x v="6"/>
    <n v="3"/>
    <n v="207.97"/>
    <s v="None"/>
    <n v="0"/>
    <n v="0"/>
    <n v="16.64"/>
    <n v="224.61"/>
    <x v="5"/>
    <x v="0"/>
    <x v="2"/>
    <s v="2024-02-18"/>
    <n v="0"/>
    <x v="0"/>
    <s v="Q1"/>
    <n v="207.97"/>
  </r>
  <r>
    <s v="#ORD-10088"/>
    <s v="2024-07-16"/>
    <s v="03:23:07"/>
    <s v="Owen White"/>
    <s v="owen.white68@outlook.com"/>
    <s v="+1-446-850-2698"/>
    <s v="Chicago"/>
    <s v="IL"/>
    <s v="United States"/>
    <s v="Protein Powder Chocolate 2lb x1 | Canvas Backpack 25L x1"/>
    <x v="8"/>
    <n v="2"/>
    <n v="99.98"/>
    <s v="SAVE10"/>
    <n v="10"/>
    <n v="0"/>
    <n v="7.2"/>
    <n v="97.18"/>
    <x v="6"/>
    <x v="3"/>
    <x v="2"/>
    <s v="2024-07-19"/>
    <n v="0"/>
    <x v="2"/>
    <s v="Q3"/>
    <n v="89.98"/>
  </r>
  <r>
    <s v="#ORD-10089"/>
    <s v="2024-05-11"/>
    <s v="11:29:20"/>
    <s v="Daniel Perez"/>
    <s v="daniel.perez6@gmail.com"/>
    <s v="+1-237-400-4302"/>
    <s v="Phoenix"/>
    <s v="AZ"/>
    <s v="United States"/>
    <s v="Running Shoes - Men's x1 | Denim Jacket x3 | Classic Fit Polo Shirt x1"/>
    <x v="5"/>
    <n v="3"/>
    <n v="304.95"/>
    <s v="None"/>
    <n v="0"/>
    <n v="0"/>
    <n v="21.35"/>
    <n v="326.3"/>
    <x v="0"/>
    <x v="6"/>
    <x v="3"/>
    <m/>
    <n v="0"/>
    <x v="4"/>
    <s v="Q2"/>
    <n v="304.95"/>
  </r>
  <r>
    <s v="#ORD-10090"/>
    <s v="2024-04-30"/>
    <s v="10:07:00"/>
    <s v="Olivia Gonzalez"/>
    <s v="olivia.gonzalez6@gmail.com"/>
    <s v="+1-327-918-7029"/>
    <s v="Albuquerque"/>
    <s v="NM"/>
    <s v="United States"/>
    <s v="Denim Jacket x1 | Coffee Maker Programmable x1"/>
    <x v="1"/>
    <n v="2"/>
    <n v="119.98"/>
    <s v="None"/>
    <n v="0"/>
    <n v="0"/>
    <n v="9.6"/>
    <n v="129.58000000000001"/>
    <x v="5"/>
    <x v="6"/>
    <x v="1"/>
    <s v="2024-05-03"/>
    <n v="0"/>
    <x v="10"/>
    <s v="Q2"/>
    <n v="119.98"/>
  </r>
  <r>
    <s v="#ORD-10091"/>
    <s v="2024-03-13"/>
    <s v="13:15:45"/>
    <s v="Jack Sanchez"/>
    <s v="jack.sanchez57@yahoo.com"/>
    <s v="+1-500-428-2680"/>
    <s v="Portland"/>
    <s v="OR"/>
    <s v="United States"/>
    <s v="Stainless Steel Cookware Set x3 | Insulated Water Bottle 32oz x1"/>
    <x v="6"/>
    <n v="2"/>
    <n v="417.96"/>
    <s v="None"/>
    <n v="0"/>
    <n v="0"/>
    <n v="41.8"/>
    <n v="459.76"/>
    <x v="5"/>
    <x v="5"/>
    <x v="2"/>
    <s v="2024-03-18"/>
    <n v="0"/>
    <x v="9"/>
    <s v="Q1"/>
    <n v="417.96"/>
  </r>
  <r>
    <s v="#ORD-10092"/>
    <s v="2024-08-22"/>
    <s v="00:50:26"/>
    <s v="Ethan Lee"/>
    <s v="ethan.lee38@gmail.com"/>
    <s v="+1-887-752-7655"/>
    <s v="El Paso"/>
    <s v="TX"/>
    <s v="United States"/>
    <s v="Running Shoes - Men's x1 | Sunscreen SPF 50 Face x1"/>
    <x v="5"/>
    <n v="2"/>
    <n v="93.98"/>
    <s v="SAVE10"/>
    <n v="9.4"/>
    <n v="0"/>
    <n v="7.61"/>
    <n v="92.19"/>
    <x v="3"/>
    <x v="3"/>
    <x v="2"/>
    <s v="2024-08-23"/>
    <n v="0"/>
    <x v="5"/>
    <s v="Q3"/>
    <n v="84.58"/>
  </r>
  <r>
    <s v="#ORD-10093"/>
    <s v="2024-02-25"/>
    <s v="10:48:03"/>
    <s v="Alexander King"/>
    <s v="alexander.king96@outlook.com"/>
    <s v="+1-579-480-8273"/>
    <s v="Louisville"/>
    <s v="KY"/>
    <s v="United States"/>
    <s v="Anti-Aging Serum 1oz x1 | High-Waist Leggings x1 | Organic Green Tea 100ct x2"/>
    <x v="0"/>
    <n v="3"/>
    <n v="122.96"/>
    <s v="SAVE10"/>
    <n v="12.3"/>
    <n v="0"/>
    <n v="8.85"/>
    <n v="119.51"/>
    <x v="5"/>
    <x v="0"/>
    <x v="2"/>
    <s v="2024-02-29"/>
    <n v="0"/>
    <x v="0"/>
    <s v="Q1"/>
    <n v="110.66"/>
  </r>
  <r>
    <s v="#ORD-10094"/>
    <s v="2024-05-02"/>
    <s v="02:17:04"/>
    <s v="Ava Nguyen"/>
    <s v="ava.nguyen68@gmail.com"/>
    <s v="+1-419-726-5678"/>
    <s v="Phoenix"/>
    <s v="AZ"/>
    <s v="United States"/>
    <s v="Casual Sneakers x1 | Smart LED Desk Lamp x1"/>
    <x v="5"/>
    <n v="2"/>
    <n v="99.98"/>
    <s v="FLASH25"/>
    <n v="25"/>
    <n v="0"/>
    <n v="6.37"/>
    <n v="81.349999999999994"/>
    <x v="2"/>
    <x v="3"/>
    <x v="2"/>
    <s v="2024-05-06"/>
    <n v="0"/>
    <x v="4"/>
    <s v="Q2"/>
    <n v="74.98"/>
  </r>
  <r>
    <s v="#ORD-10095"/>
    <s v="2024-12-15"/>
    <s v="00:17:44"/>
    <s v="Michael Gonzalez"/>
    <s v="michael.gonzalez18@yahoo.com"/>
    <s v="+1-507-971-3580"/>
    <s v="Houston"/>
    <s v="TX"/>
    <s v="United States"/>
    <s v="USB-C Fast Charger 65W x1 | High-Waist Leggings x2"/>
    <x v="7"/>
    <n v="2"/>
    <n v="115.97"/>
    <s v="SAVE10"/>
    <n v="11.6"/>
    <n v="0"/>
    <n v="10.44"/>
    <n v="114.81"/>
    <x v="0"/>
    <x v="3"/>
    <x v="0"/>
    <s v="2024-12-18"/>
    <n v="114.81"/>
    <x v="1"/>
    <s v="Q4"/>
    <n v="104.37"/>
  </r>
  <r>
    <s v="#ORD-10096"/>
    <s v="2024-03-19"/>
    <s v="01:16:22"/>
    <s v="Logan White"/>
    <s v="logan.white29@gmail.com"/>
    <s v="+1-934-836-8842"/>
    <s v="San Francisco"/>
    <s v="CA"/>
    <s v="United States"/>
    <s v="Casual Sneakers x1 | High-Waist Leggings x1 | Stainless Steel Cookware Set x1"/>
    <x v="5"/>
    <n v="3"/>
    <n v="232.97"/>
    <s v="FLASH25"/>
    <n v="58.24"/>
    <n v="0"/>
    <n v="12.23"/>
    <n v="186.96"/>
    <x v="1"/>
    <x v="3"/>
    <x v="2"/>
    <s v="2024-03-23"/>
    <n v="0"/>
    <x v="9"/>
    <s v="Q1"/>
    <n v="174.73"/>
  </r>
  <r>
    <s v="#ORD-10097"/>
    <s v="2024-05-03"/>
    <s v="02:54:43"/>
    <s v="Owen Clark"/>
    <s v="owen.clark53@yahoo.com"/>
    <s v="+1-730-256-5982"/>
    <s v="Memphis"/>
    <s v="TN"/>
    <s v="United States"/>
    <s v="Organic Green Tea 100ct x1 | Anti-Aging Serum 1oz x1"/>
    <x v="9"/>
    <n v="2"/>
    <n v="64.98"/>
    <s v="FLASH25"/>
    <n v="16.25"/>
    <n v="5.99"/>
    <n v="3.41"/>
    <n v="58.13"/>
    <x v="5"/>
    <x v="2"/>
    <x v="2"/>
    <s v="2024-05-04"/>
    <n v="0"/>
    <x v="4"/>
    <s v="Q2"/>
    <n v="48.730000000000004"/>
  </r>
  <r>
    <s v="#ORD-10098"/>
    <s v="2024-12-31"/>
    <s v="09:51:41"/>
    <s v="Mia Hernandez"/>
    <s v="mia.hernandez91@gmail.com"/>
    <s v="+1-714-756-3762"/>
    <s v="Austin"/>
    <s v="TX"/>
    <s v="United States"/>
    <s v="Yoga Mat Premium x1 | Canvas Backpack 25L x1"/>
    <x v="3"/>
    <n v="2"/>
    <n v="89.98"/>
    <s v="FLASH25"/>
    <n v="22.5"/>
    <n v="0"/>
    <n v="5.4"/>
    <n v="72.88"/>
    <x v="0"/>
    <x v="3"/>
    <x v="0"/>
    <s v="2025-01-01"/>
    <n v="72.88"/>
    <x v="1"/>
    <s v="Q4"/>
    <n v="67.48"/>
  </r>
  <r>
    <s v="#ORD-10099"/>
    <s v="2024-08-23"/>
    <s v="00:18:12"/>
    <s v="Daniel Hill"/>
    <s v="daniel.hill22@outlook.com"/>
    <s v="+1-985-685-7825"/>
    <s v="Phoenix"/>
    <s v="AZ"/>
    <s v="United States"/>
    <s v="Bamboo Sunglasses x1"/>
    <x v="2"/>
    <n v="1"/>
    <n v="24.99"/>
    <s v="None"/>
    <n v="0"/>
    <n v="4.99"/>
    <n v="1.5"/>
    <n v="31.48"/>
    <x v="2"/>
    <x v="6"/>
    <x v="2"/>
    <s v="2024-08-25"/>
    <n v="0"/>
    <x v="5"/>
    <s v="Q3"/>
    <n v="24.99"/>
  </r>
  <r>
    <s v="#ORD-10100"/>
    <s v="2024-04-27"/>
    <s v="07:43:16"/>
    <s v="Benjamin Johnson"/>
    <s v="benjamin.johnson81@outlook.com"/>
    <s v="+1-821-247-6121"/>
    <s v="Indianapolis"/>
    <s v="IN"/>
    <s v="United States"/>
    <s v="High-Waist Leggings x1 | Anti-Aging Serum 1oz x1"/>
    <x v="1"/>
    <n v="2"/>
    <n v="92.98"/>
    <s v="None"/>
    <n v="0"/>
    <n v="0"/>
    <n v="6.51"/>
    <n v="99.49"/>
    <x v="5"/>
    <x v="5"/>
    <x v="2"/>
    <s v="2024-04-30"/>
    <n v="0"/>
    <x v="10"/>
    <s v="Q2"/>
    <n v="92.98"/>
  </r>
  <r>
    <s v="#ORD-10101"/>
    <s v="2024-02-11"/>
    <s v="05:42:21"/>
    <s v="Abigail Thompson"/>
    <s v="abigail.thompson17@outlook.com"/>
    <s v="+1-830-528-5067"/>
    <s v="Fort Worth"/>
    <s v="TX"/>
    <s v="United States"/>
    <s v="Organic Green Tea 100ct x1"/>
    <x v="9"/>
    <n v="1"/>
    <n v="14.99"/>
    <s v="SUMMER20"/>
    <n v="3"/>
    <n v="5.99"/>
    <n v="0.84"/>
    <n v="18.82"/>
    <x v="0"/>
    <x v="3"/>
    <x v="4"/>
    <m/>
    <n v="0"/>
    <x v="0"/>
    <s v="Q1"/>
    <n v="11.99"/>
  </r>
  <r>
    <s v="#ORD-10102"/>
    <s v="2024-03-02"/>
    <s v="21:10:44"/>
    <s v="Mia Lee"/>
    <s v="mia.lee74@yahoo.com"/>
    <s v="+1-797-461-1797"/>
    <s v="Tucson"/>
    <s v="AZ"/>
    <s v="United States"/>
    <s v="Air Fryer 5.8Qt x1 | Organic Green Tea 100ct x1"/>
    <x v="6"/>
    <n v="2"/>
    <n v="94.98"/>
    <s v="None"/>
    <n v="0"/>
    <n v="0"/>
    <n v="5.7"/>
    <n v="100.68"/>
    <x v="2"/>
    <x v="5"/>
    <x v="2"/>
    <s v="2024-03-04"/>
    <n v="0"/>
    <x v="9"/>
    <s v="Q1"/>
    <n v="94.98"/>
  </r>
  <r>
    <s v="#ORD-10103"/>
    <s v="2024-07-01"/>
    <s v="18:11:14"/>
    <s v="Noah Jackson"/>
    <s v="noah.jackson77@outlook.com"/>
    <s v="+1-574-146-7563"/>
    <s v="Indianapolis"/>
    <s v="IN"/>
    <s v="United States"/>
    <s v="Wireless Noise-Cancelling Headphones x2"/>
    <x v="7"/>
    <n v="1"/>
    <n v="179.98"/>
    <s v="WELCOME15"/>
    <n v="27"/>
    <n v="0"/>
    <n v="10.71"/>
    <n v="163.69"/>
    <x v="4"/>
    <x v="4"/>
    <x v="4"/>
    <m/>
    <n v="0"/>
    <x v="2"/>
    <s v="Q3"/>
    <n v="152.97999999999999"/>
  </r>
  <r>
    <s v="#ORD-10104"/>
    <s v="2024-04-22"/>
    <s v="01:57:46"/>
    <s v="Noah Nguyen"/>
    <s v="noah.nguyen25@gmail.com"/>
    <s v="+1-299-503-7114"/>
    <s v="Seattle"/>
    <s v="WA"/>
    <s v="United States"/>
    <s v="Air Fryer 5.8Qt x1"/>
    <x v="6"/>
    <n v="1"/>
    <n v="79.989999999999995"/>
    <s v="FLASH25"/>
    <n v="20"/>
    <n v="0"/>
    <n v="4.8"/>
    <n v="64.790000000000006"/>
    <x v="6"/>
    <x v="0"/>
    <x v="2"/>
    <s v="2024-04-24"/>
    <n v="0"/>
    <x v="10"/>
    <s v="Q2"/>
    <n v="59.989999999999995"/>
  </r>
  <r>
    <s v="#ORD-10105"/>
    <s v="2024-08-21"/>
    <s v="23:21:42"/>
    <s v="Muhammad Torres"/>
    <s v="muhammad.torres97@gmail.com"/>
    <s v="+1-535-727-6218"/>
    <s v="Jacksonville"/>
    <s v="FL"/>
    <s v="United States"/>
    <s v="Air Fryer 5.8Qt x1 | Portable Bluetooth Speaker x1"/>
    <x v="6"/>
    <n v="2"/>
    <n v="129.97999999999999"/>
    <s v="SAVE10"/>
    <n v="13"/>
    <n v="0"/>
    <n v="9.94"/>
    <n v="126.92"/>
    <x v="5"/>
    <x v="3"/>
    <x v="0"/>
    <s v="2024-08-23"/>
    <n v="126.92"/>
    <x v="5"/>
    <s v="Q3"/>
    <n v="116.97999999999999"/>
  </r>
  <r>
    <s v="#ORD-10106"/>
    <s v="2024-07-16"/>
    <s v="00:31:06"/>
    <s v="Mia Sanchez"/>
    <s v="mia.sanchez95@outlook.com"/>
    <s v="+1-811-585-5350"/>
    <s v="Nashville"/>
    <s v="TN"/>
    <s v="United States"/>
    <s v="Coffee Maker Programmable x1 | Stainless Steel Cookware Set x1 | Sunscreen SPF 50 Face x1"/>
    <x v="6"/>
    <n v="3"/>
    <n v="203.97"/>
    <s v="SAVE10"/>
    <n v="20.399999999999999"/>
    <n v="0"/>
    <n v="18.36"/>
    <n v="201.93"/>
    <x v="0"/>
    <x v="5"/>
    <x v="2"/>
    <s v="2024-07-17"/>
    <n v="0"/>
    <x v="2"/>
    <s v="Q3"/>
    <n v="183.57"/>
  </r>
  <r>
    <s v="#ORD-10107"/>
    <s v="2024-07-05"/>
    <s v="14:06:26"/>
    <s v="Daniel Nguyen"/>
    <s v="daniel.nguyen93@gmail.com"/>
    <s v="+1-219-551-6139"/>
    <s v="San Diego"/>
    <s v="CA"/>
    <s v="United States"/>
    <s v="Essential Oil Diffuser x2"/>
    <x v="4"/>
    <n v="1"/>
    <n v="65.98"/>
    <s v="WELCOME15"/>
    <n v="9.9"/>
    <n v="5.99"/>
    <n v="5.61"/>
    <n v="67.680000000000007"/>
    <x v="0"/>
    <x v="0"/>
    <x v="2"/>
    <s v="2024-07-07"/>
    <n v="0"/>
    <x v="2"/>
    <s v="Q3"/>
    <n v="56.080000000000005"/>
  </r>
  <r>
    <s v="#ORD-10108"/>
    <s v="2024-07-13"/>
    <s v="21:17:48"/>
    <s v="Sofia Martinez"/>
    <s v="sofia.martinez89@gmail.com"/>
    <s v="+1-738-485-6140"/>
    <s v="Columbus"/>
    <s v="OH"/>
    <s v="United States"/>
    <s v="Bamboo Sunglasses x2 | Stainless Steel Cookware Set x2 | Canvas Backpack 25L x2"/>
    <x v="2"/>
    <n v="3"/>
    <n v="419.94"/>
    <s v="FLASH25"/>
    <n v="104.99"/>
    <n v="0"/>
    <n v="22.05"/>
    <n v="337"/>
    <x v="1"/>
    <x v="7"/>
    <x v="3"/>
    <m/>
    <n v="0"/>
    <x v="2"/>
    <s v="Q3"/>
    <n v="314.95"/>
  </r>
  <r>
    <s v="#ORD-10109"/>
    <s v="2024-05-17"/>
    <s v="14:11:38"/>
    <s v="Logan Walker"/>
    <s v="logan.walker69@gmail.com"/>
    <s v="+1-505-330-5876"/>
    <s v="Tucson"/>
    <s v="AZ"/>
    <s v="United States"/>
    <s v="Canvas Backpack 25L x1 | Men's Grooming Kit x2"/>
    <x v="2"/>
    <n v="2"/>
    <n v="126.97"/>
    <s v="SAVE10"/>
    <n v="12.7"/>
    <n v="0"/>
    <n v="10.28"/>
    <n v="124.55"/>
    <x v="5"/>
    <x v="1"/>
    <x v="2"/>
    <s v="2024-05-22"/>
    <n v="0"/>
    <x v="4"/>
    <s v="Q2"/>
    <n v="114.27"/>
  </r>
  <r>
    <s v="#ORD-10110"/>
    <s v="2024-07-05"/>
    <s v="08:05:31"/>
    <s v="Evelyn Wilson"/>
    <s v="evelyn.wilson91@gmail.com"/>
    <s v="+1-553-891-3399"/>
    <s v="Boston"/>
    <s v="MA"/>
    <s v="United States"/>
    <s v="Bamboo Sunglasses x3"/>
    <x v="2"/>
    <n v="1"/>
    <n v="74.97"/>
    <s v="SAVE10"/>
    <n v="7.5"/>
    <n v="7.99"/>
    <n v="4.05"/>
    <n v="79.510000000000005"/>
    <x v="1"/>
    <x v="5"/>
    <x v="4"/>
    <m/>
    <n v="0"/>
    <x v="2"/>
    <s v="Q3"/>
    <n v="67.47"/>
  </r>
  <r>
    <s v="#ORD-10111"/>
    <s v="2024-12-24"/>
    <s v="20:23:38"/>
    <s v="Evelyn Williams"/>
    <s v="evelyn.williams92@gmail.com"/>
    <s v="+1-340-211-4920"/>
    <s v="San Jose"/>
    <s v="CA"/>
    <s v="United States"/>
    <s v="Hiking Boots x2"/>
    <x v="5"/>
    <n v="1"/>
    <n v="219.98"/>
    <s v="None"/>
    <n v="0"/>
    <n v="0"/>
    <n v="15.4"/>
    <n v="235.38"/>
    <x v="6"/>
    <x v="3"/>
    <x v="0"/>
    <s v="2024-12-27"/>
    <n v="235.38"/>
    <x v="1"/>
    <s v="Q4"/>
    <n v="219.98"/>
  </r>
  <r>
    <s v="#ORD-10112"/>
    <s v="2024-03-31"/>
    <s v="10:11:38"/>
    <s v="Oliver Brown"/>
    <s v="oliver.brown68@gmail.com"/>
    <s v="+1-616-768-8793"/>
    <s v="El Paso"/>
    <s v="TX"/>
    <s v="United States"/>
    <s v="Multivitamin Daily Pack x1"/>
    <x v="8"/>
    <n v="1"/>
    <n v="19.989999999999998"/>
    <s v="SUMMER20"/>
    <n v="4"/>
    <n v="4.99"/>
    <n v="1.6"/>
    <n v="22.58"/>
    <x v="6"/>
    <x v="3"/>
    <x v="0"/>
    <s v="2024-04-02"/>
    <n v="22.58"/>
    <x v="9"/>
    <s v="Q1"/>
    <n v="15.989999999999998"/>
  </r>
  <r>
    <s v="#ORD-10113"/>
    <s v="2024-09-07"/>
    <s v="20:12:17"/>
    <s v="Ella Gonzalez"/>
    <s v="ella.gonzalez37@gmail.com"/>
    <s v="+1-627-957-3880"/>
    <s v="Memphis"/>
    <s v="TN"/>
    <s v="United States"/>
    <s v="Classic Fit Polo Shirt x1"/>
    <x v="1"/>
    <n v="1"/>
    <n v="34.99"/>
    <s v="LOYALTY5"/>
    <n v="1.75"/>
    <n v="5.99"/>
    <n v="2.99"/>
    <n v="42.22"/>
    <x v="6"/>
    <x v="2"/>
    <x v="2"/>
    <s v="2024-09-09"/>
    <n v="0"/>
    <x v="11"/>
    <s v="Q3"/>
    <n v="33.24"/>
  </r>
  <r>
    <s v="#ORD-10114"/>
    <s v="2024-10-17"/>
    <s v="21:12:56"/>
    <s v="Olivia Sanchez"/>
    <s v="olivia.sanchez64@gmail.com"/>
    <s v="+1-479-297-2845"/>
    <s v="Louisville"/>
    <s v="KY"/>
    <s v="United States"/>
    <s v="Bamboo Sunglasses x1 | Yoga Mat Premium x1 | Leather Wallet Slim x3 | Portable Bluetooth Speaker x1 | Wireless Noise-Cancelling Headphones x1"/>
    <x v="2"/>
    <n v="5"/>
    <n v="289.93"/>
    <s v="FLASH25"/>
    <n v="72.48"/>
    <n v="0"/>
    <n v="19.57"/>
    <n v="237.02"/>
    <x v="5"/>
    <x v="1"/>
    <x v="0"/>
    <s v="2024-10-21"/>
    <n v="237.02"/>
    <x v="7"/>
    <s v="Q4"/>
    <n v="217.45"/>
  </r>
  <r>
    <s v="#ORD-10115"/>
    <s v="2024-01-06"/>
    <s v="11:16:27"/>
    <s v="Muhammad Hernandez"/>
    <s v="muhammad.hernandez59@outlook.com"/>
    <s v="+1-343-588-6301"/>
    <s v="Portland"/>
    <s v="OR"/>
    <s v="United States"/>
    <s v="High-Waist Leggings x1 | Yoga Mat Premium x1 | Linen Throw Blanket x1"/>
    <x v="1"/>
    <n v="3"/>
    <n v="117.97"/>
    <s v="WELCOME15"/>
    <n v="17.7"/>
    <n v="0"/>
    <n v="8.52"/>
    <n v="108.79"/>
    <x v="5"/>
    <x v="3"/>
    <x v="2"/>
    <s v="2024-01-08"/>
    <n v="0"/>
    <x v="6"/>
    <s v="Q1"/>
    <n v="100.27"/>
  </r>
  <r>
    <s v="#ORD-10116"/>
    <s v="2024-10-19"/>
    <s v="17:31:16"/>
    <s v="Oliver Smith"/>
    <s v="oliver.smith50@gmail.com"/>
    <s v="+1-676-414-3616"/>
    <s v="Dallas"/>
    <s v="TX"/>
    <s v="United States"/>
    <s v="Resistance Band Set x1"/>
    <x v="3"/>
    <n v="1"/>
    <n v="24.99"/>
    <s v="LOYALTY5"/>
    <n v="1.25"/>
    <n v="4.99"/>
    <n v="1.9"/>
    <n v="30.63"/>
    <x v="1"/>
    <x v="4"/>
    <x v="2"/>
    <s v="2024-10-20"/>
    <n v="0"/>
    <x v="7"/>
    <s v="Q4"/>
    <n v="23.74"/>
  </r>
  <r>
    <s v="#ORD-10117"/>
    <s v="2024-09-05"/>
    <s v="01:13:15"/>
    <s v="Henry King"/>
    <s v="henry.king91@outlook.com"/>
    <s v="+1-975-650-4578"/>
    <s v="Tucson"/>
    <s v="AZ"/>
    <s v="United States"/>
    <s v="Yoga Mat Premium x1 | Insulated Water Bottle 32oz x1 | Scented Soy Candle Set x1 | Casual Sneakers x2"/>
    <x v="3"/>
    <n v="4"/>
    <n v="205.95"/>
    <s v="LOYALTY5"/>
    <n v="10.3"/>
    <n v="0"/>
    <n v="15.65"/>
    <n v="211.3"/>
    <x v="5"/>
    <x v="5"/>
    <x v="3"/>
    <m/>
    <n v="0"/>
    <x v="11"/>
    <s v="Q3"/>
    <n v="195.64999999999998"/>
  </r>
  <r>
    <s v="#ORD-10118"/>
    <s v="2024-05-20"/>
    <s v="12:04:45"/>
    <s v="Oliver Flores"/>
    <s v="oliver.flores11@outlook.com"/>
    <s v="+1-319-796-4365"/>
    <s v="Milwaukee"/>
    <s v="WI"/>
    <s v="United States"/>
    <s v="Linen Throw Blanket x1"/>
    <x v="4"/>
    <n v="1"/>
    <n v="39.99"/>
    <s v="FLASH25"/>
    <n v="10"/>
    <n v="5.99"/>
    <n v="2.7"/>
    <n v="38.68"/>
    <x v="5"/>
    <x v="3"/>
    <x v="0"/>
    <s v="2024-05-24"/>
    <n v="38.68"/>
    <x v="4"/>
    <s v="Q2"/>
    <n v="29.990000000000002"/>
  </r>
  <r>
    <s v="#ORD-10119"/>
    <s v="2024-01-22"/>
    <s v="14:33:47"/>
    <s v="Daniel Allen"/>
    <s v="daniel.allen66@gmail.com"/>
    <s v="+1-460-936-1049"/>
    <s v="Chicago"/>
    <s v="IL"/>
    <s v="United States"/>
    <s v="Air Fryer 5.8Qt x1 | Multivitamin Daily Pack x1"/>
    <x v="6"/>
    <n v="2"/>
    <n v="99.98"/>
    <s v="SUMMER20"/>
    <n v="20"/>
    <n v="0"/>
    <n v="8"/>
    <n v="87.98"/>
    <x v="6"/>
    <x v="4"/>
    <x v="4"/>
    <m/>
    <n v="0"/>
    <x v="6"/>
    <s v="Q1"/>
    <n v="79.98"/>
  </r>
  <r>
    <s v="#ORD-10120"/>
    <s v="2024-09-29"/>
    <s v="00:03:36"/>
    <s v="Lucas Hill"/>
    <s v="lucas.hill6@gmail.com"/>
    <s v="+1-583-491-8348"/>
    <s v="Chicago"/>
    <s v="IL"/>
    <s v="United States"/>
    <s v="Portable Bluetooth Speaker x3"/>
    <x v="7"/>
    <n v="1"/>
    <n v="149.97"/>
    <s v="None"/>
    <n v="0"/>
    <n v="0"/>
    <n v="12.75"/>
    <n v="162.72"/>
    <x v="0"/>
    <x v="5"/>
    <x v="2"/>
    <s v="2024-10-03"/>
    <n v="0"/>
    <x v="11"/>
    <s v="Q3"/>
    <n v="149.97"/>
  </r>
  <r>
    <s v="#ORD-10121"/>
    <s v="2024-02-21"/>
    <s v="15:33:17"/>
    <s v="Elizabeth Harris"/>
    <s v="elizabeth.harris88@outlook.com"/>
    <s v="+1-674-789-9920"/>
    <s v="Chicago"/>
    <s v="IL"/>
    <s v="United States"/>
    <s v="Insulated Water Bottle 32oz x1 | Smart LED Desk Lamp x1"/>
    <x v="3"/>
    <n v="2"/>
    <n v="67.98"/>
    <s v="FLASH25"/>
    <n v="17"/>
    <n v="5.99"/>
    <n v="5.0999999999999996"/>
    <n v="62.07"/>
    <x v="7"/>
    <x v="6"/>
    <x v="2"/>
    <s v="2024-02-24"/>
    <n v="0"/>
    <x v="0"/>
    <s v="Q1"/>
    <n v="50.980000000000004"/>
  </r>
  <r>
    <s v="#ORD-10122"/>
    <s v="2024-05-14"/>
    <s v="10:26:33"/>
    <s v="Jack Scott"/>
    <s v="jack.scott30@gmail.com"/>
    <s v="+1-411-168-2653"/>
    <s v="Fort Worth"/>
    <s v="TX"/>
    <s v="United States"/>
    <s v="Running Shoes - Women's x3"/>
    <x v="5"/>
    <n v="1"/>
    <n v="209.97"/>
    <s v="None"/>
    <n v="0"/>
    <n v="0"/>
    <n v="12.6"/>
    <n v="222.57"/>
    <x v="6"/>
    <x v="5"/>
    <x v="2"/>
    <s v="2024-05-16"/>
    <n v="0"/>
    <x v="4"/>
    <s v="Q2"/>
    <n v="209.97"/>
  </r>
  <r>
    <s v="#ORD-10123"/>
    <s v="2024-04-05"/>
    <s v="01:05:15"/>
    <s v="Victoria Williams"/>
    <s v="victoria.williams77@outlook.com"/>
    <s v="+1-812-891-6253"/>
    <s v="Charlotte"/>
    <s v="NC"/>
    <s v="United States"/>
    <s v="Protein Powder Chocolate 2lb x1 | Organic Green Tea 100ct x2 | Casual Sneakers x2"/>
    <x v="8"/>
    <n v="3"/>
    <n v="194.95"/>
    <s v="None"/>
    <n v="0"/>
    <n v="0"/>
    <n v="17.55"/>
    <n v="212.5"/>
    <x v="3"/>
    <x v="3"/>
    <x v="1"/>
    <s v="2024-04-10"/>
    <n v="0"/>
    <x v="10"/>
    <s v="Q2"/>
    <n v="194.95"/>
  </r>
  <r>
    <s v="#ORD-10124"/>
    <s v="2024-06-09"/>
    <s v="14:39:37"/>
    <s v="Oliver Martin"/>
    <s v="oliver.martin19@outlook.com"/>
    <s v="+1-858-787-7244"/>
    <s v="Albuquerque"/>
    <s v="NM"/>
    <s v="United States"/>
    <s v="Portable Bluetooth Speaker x1"/>
    <x v="7"/>
    <n v="1"/>
    <n v="49.99"/>
    <s v="LOYALTY5"/>
    <n v="2.5"/>
    <n v="5.99"/>
    <n v="4.75"/>
    <n v="58.23"/>
    <x v="1"/>
    <x v="0"/>
    <x v="2"/>
    <s v="2024-06-12"/>
    <n v="0"/>
    <x v="3"/>
    <s v="Q2"/>
    <n v="47.49"/>
  </r>
  <r>
    <s v="#ORD-10125"/>
    <s v="2024-04-26"/>
    <s v="11:09:48"/>
    <s v="Owen Lee"/>
    <s v="owen.lee54@gmail.com"/>
    <s v="+1-259-675-7761"/>
    <s v="Boston"/>
    <s v="MA"/>
    <s v="United States"/>
    <s v="Classic Fit Polo Shirt x1"/>
    <x v="1"/>
    <n v="1"/>
    <n v="34.99"/>
    <s v="None"/>
    <n v="0"/>
    <n v="5.99"/>
    <n v="2.8"/>
    <n v="43.78"/>
    <x v="4"/>
    <x v="3"/>
    <x v="3"/>
    <m/>
    <n v="0"/>
    <x v="10"/>
    <s v="Q2"/>
    <n v="34.99"/>
  </r>
  <r>
    <s v="#ORD-10126"/>
    <s v="2024-04-09"/>
    <s v="00:43:54"/>
    <s v="Sofia Torres"/>
    <s v="sofia.torres18@gmail.com"/>
    <s v="+1-586-789-1647"/>
    <s v="San Francisco"/>
    <s v="CA"/>
    <s v="United States"/>
    <s v="Essential Oil Diffuser x1"/>
    <x v="4"/>
    <n v="1"/>
    <n v="32.99"/>
    <s v="SUMMER20"/>
    <n v="6.6"/>
    <n v="7.99"/>
    <n v="1.58"/>
    <n v="35.96"/>
    <x v="5"/>
    <x v="6"/>
    <x v="2"/>
    <s v="2024-04-12"/>
    <n v="0"/>
    <x v="10"/>
    <s v="Q2"/>
    <n v="26.39"/>
  </r>
  <r>
    <s v="#ORD-10127"/>
    <s v="2024-03-25"/>
    <s v="06:44:26"/>
    <s v="Ava Gonzalez"/>
    <s v="ava.gonzalez98@outlook.com"/>
    <s v="+1-448-812-4350"/>
    <s v="Louisville"/>
    <s v="KY"/>
    <s v="United States"/>
    <s v="Canvas Backpack 25L x1 | Bamboo Sunglasses x3"/>
    <x v="2"/>
    <n v="2"/>
    <n v="129.96"/>
    <s v="None"/>
    <n v="0"/>
    <n v="0"/>
    <n v="9.1"/>
    <n v="139.06"/>
    <x v="2"/>
    <x v="1"/>
    <x v="2"/>
    <s v="2024-03-29"/>
    <n v="0"/>
    <x v="9"/>
    <s v="Q1"/>
    <n v="129.96"/>
  </r>
  <r>
    <s v="#ORD-10128"/>
    <s v="2024-07-26"/>
    <s v="05:58:46"/>
    <s v="Henry Thomas"/>
    <s v="henry.thomas42@yahoo.com"/>
    <s v="+1-579-420-7781"/>
    <s v="Seattle"/>
    <s v="WA"/>
    <s v="United States"/>
    <s v="Yoga Mat Premium x1 | Hiking Boots x2"/>
    <x v="3"/>
    <n v="2"/>
    <n v="254.97"/>
    <s v="SUMMER20"/>
    <n v="50.99"/>
    <n v="0"/>
    <n v="12.24"/>
    <n v="216.22"/>
    <x v="6"/>
    <x v="4"/>
    <x v="1"/>
    <s v="2024-07-28"/>
    <n v="0"/>
    <x v="2"/>
    <s v="Q3"/>
    <n v="203.98"/>
  </r>
  <r>
    <s v="#ORD-10129"/>
    <s v="2024-08-02"/>
    <s v="21:14:15"/>
    <s v="Olivia Nguyen"/>
    <s v="olivia.nguyen29@yahoo.com"/>
    <s v="+1-940-757-9037"/>
    <s v="Milwaukee"/>
    <s v="WI"/>
    <s v="United States"/>
    <s v="Linen Throw Blanket x1 | Men's Grooming Kit x1 | Multivitamin Daily Pack x1 | Yoga Mat Premium x2"/>
    <x v="4"/>
    <n v="4"/>
    <n v="165.95"/>
    <s v="SUMMER20"/>
    <n v="33.19"/>
    <n v="0"/>
    <n v="11.95"/>
    <n v="144.71"/>
    <x v="1"/>
    <x v="4"/>
    <x v="2"/>
    <s v="2024-08-06"/>
    <n v="0"/>
    <x v="5"/>
    <s v="Q3"/>
    <n v="132.76"/>
  </r>
  <r>
    <s v="#ORD-10130"/>
    <s v="2024-10-06"/>
    <s v="17:48:31"/>
    <s v="Sebastian Hernandez"/>
    <s v="sebastian.hernandez46@gmail.com"/>
    <s v="+1-622-240-4791"/>
    <s v="Portland"/>
    <s v="OR"/>
    <s v="United States"/>
    <s v="Running Shoes - Men's x2 | Bamboo Sunglasses x3"/>
    <x v="5"/>
    <n v="2"/>
    <n v="224.95"/>
    <s v="None"/>
    <n v="0"/>
    <n v="0"/>
    <n v="20.25"/>
    <n v="245.2"/>
    <x v="0"/>
    <x v="6"/>
    <x v="2"/>
    <s v="2024-10-07"/>
    <n v="0"/>
    <x v="7"/>
    <s v="Q4"/>
    <n v="224.95"/>
  </r>
  <r>
    <s v="#ORD-10131"/>
    <s v="2024-08-27"/>
    <s v="22:38:30"/>
    <s v="Ava Martinez"/>
    <s v="ava.martinez28@yahoo.com"/>
    <s v="+1-748-393-1280"/>
    <s v="New York"/>
    <s v="NY"/>
    <s v="United States"/>
    <s v="Bamboo Sunglasses x2 | Scented Soy Candle Set x1"/>
    <x v="2"/>
    <n v="2"/>
    <n v="72.97"/>
    <s v="None"/>
    <n v="0"/>
    <n v="4.99"/>
    <n v="6.57"/>
    <n v="84.53"/>
    <x v="1"/>
    <x v="3"/>
    <x v="0"/>
    <s v="2024-08-30"/>
    <n v="84.53"/>
    <x v="5"/>
    <s v="Q3"/>
    <n v="72.97"/>
  </r>
  <r>
    <s v="#ORD-10132"/>
    <s v="2024-02-07"/>
    <s v="09:42:37"/>
    <s v="Scarlett Lewis"/>
    <s v="scarlett.lewis23@gmail.com"/>
    <s v="+1-670-678-4984"/>
    <s v="Louisville"/>
    <s v="KY"/>
    <s v="United States"/>
    <s v="Casual Sneakers x1 | Running Shoes - Women's x1"/>
    <x v="5"/>
    <n v="2"/>
    <n v="129.97999999999999"/>
    <s v="SAVE10"/>
    <n v="13"/>
    <n v="0"/>
    <n v="9.36"/>
    <n v="126.34"/>
    <x v="6"/>
    <x v="3"/>
    <x v="4"/>
    <m/>
    <n v="0"/>
    <x v="0"/>
    <s v="Q1"/>
    <n v="116.97999999999999"/>
  </r>
  <r>
    <s v="#ORD-10133"/>
    <s v="2024-10-21"/>
    <s v="23:51:11"/>
    <s v="Amelia Martin"/>
    <s v="amelia.martin11@outlook.com"/>
    <s v="+1-644-760-6427"/>
    <s v="El Paso"/>
    <s v="TX"/>
    <s v="United States"/>
    <s v="Protein Powder Chocolate 2lb x1"/>
    <x v="8"/>
    <n v="1"/>
    <n v="44.99"/>
    <s v="FLASH25"/>
    <n v="11.25"/>
    <n v="9.99"/>
    <n v="2.02"/>
    <n v="45.75"/>
    <x v="1"/>
    <x v="4"/>
    <x v="2"/>
    <s v="2024-10-25"/>
    <n v="0"/>
    <x v="7"/>
    <s v="Q4"/>
    <n v="33.74"/>
  </r>
  <r>
    <s v="#ORD-10134"/>
    <s v="2024-12-16"/>
    <s v="00:28:22"/>
    <s v="Chloe Miller"/>
    <s v="chloe.miller68@yahoo.com"/>
    <s v="+1-412-701-3362"/>
    <s v="Albuquerque"/>
    <s v="NM"/>
    <s v="United States"/>
    <s v="Leather Wallet Slim x1 | Linen Throw Blanket x3 | Stainless Steel Cookware Set x1"/>
    <x v="2"/>
    <n v="3"/>
    <n v="279.95"/>
    <s v="SAVE10"/>
    <n v="28"/>
    <n v="0"/>
    <n v="22.68"/>
    <n v="274.63"/>
    <x v="1"/>
    <x v="3"/>
    <x v="1"/>
    <s v="2024-12-17"/>
    <n v="0"/>
    <x v="1"/>
    <s v="Q4"/>
    <n v="251.95"/>
  </r>
  <r>
    <s v="#ORD-10135"/>
    <s v="2024-11-25"/>
    <s v="21:22:38"/>
    <s v="Henry Jones"/>
    <s v="henry.jones21@outlook.com"/>
    <s v="+1-300-547-4803"/>
    <s v="San Jose"/>
    <s v="CA"/>
    <s v="United States"/>
    <s v="Leather Wallet Slim x1"/>
    <x v="2"/>
    <n v="1"/>
    <n v="29.99"/>
    <s v="WELCOME15"/>
    <n v="4.5"/>
    <n v="5.99"/>
    <n v="2.5499999999999998"/>
    <n v="34.03"/>
    <x v="1"/>
    <x v="5"/>
    <x v="1"/>
    <s v="2024-11-26"/>
    <n v="0"/>
    <x v="8"/>
    <s v="Q4"/>
    <n v="25.49"/>
  </r>
  <r>
    <s v="#ORD-10136"/>
    <s v="2024-10-27"/>
    <s v="10:03:15"/>
    <s v="Ava Perez"/>
    <s v="ava.perez99@outlook.com"/>
    <s v="+1-390-796-7227"/>
    <s v="Nashville"/>
    <s v="TN"/>
    <s v="United States"/>
    <s v="Essential Oil Diffuser x1"/>
    <x v="4"/>
    <n v="1"/>
    <n v="32.99"/>
    <s v="SUMMER20"/>
    <n v="6.6"/>
    <n v="9.99"/>
    <n v="1.85"/>
    <n v="38.229999999999997"/>
    <x v="5"/>
    <x v="1"/>
    <x v="4"/>
    <m/>
    <n v="0"/>
    <x v="7"/>
    <s v="Q4"/>
    <n v="26.39"/>
  </r>
  <r>
    <s v="#ORD-10137"/>
    <s v="2024-02-29"/>
    <s v="21:26:36"/>
    <s v="Ethan Green"/>
    <s v="ethan.green32@yahoo.com"/>
    <s v="+1-568-879-5419"/>
    <s v="San Jose"/>
    <s v="CA"/>
    <s v="United States"/>
    <s v="High-Waist Leggings x1"/>
    <x v="1"/>
    <n v="1"/>
    <n v="42.99"/>
    <s v="WELCOME15"/>
    <n v="6.45"/>
    <n v="7.99"/>
    <n v="2.92"/>
    <n v="47.45"/>
    <x v="0"/>
    <x v="3"/>
    <x v="2"/>
    <s v="2024-03-04"/>
    <n v="0"/>
    <x v="0"/>
    <s v="Q1"/>
    <n v="36.54"/>
  </r>
  <r>
    <s v="#ORD-10138"/>
    <s v="2024-08-04"/>
    <s v="07:28:36"/>
    <s v="Sophia Rodriguez"/>
    <s v="sophia.rodriguez24@gmail.com"/>
    <s v="+1-448-685-9537"/>
    <s v="Chicago"/>
    <s v="IL"/>
    <s v="United States"/>
    <s v="Multivitamin Daily Pack x1 | Smart LED Desk Lamp x1"/>
    <x v="8"/>
    <n v="2"/>
    <n v="59.98"/>
    <s v="None"/>
    <n v="0"/>
    <n v="7.99"/>
    <n v="5.0999999999999996"/>
    <n v="73.069999999999993"/>
    <x v="0"/>
    <x v="5"/>
    <x v="2"/>
    <s v="2024-08-09"/>
    <n v="0"/>
    <x v="5"/>
    <s v="Q3"/>
    <n v="59.98"/>
  </r>
  <r>
    <s v="#ORD-10139"/>
    <s v="2024-04-14"/>
    <s v="05:43:57"/>
    <s v="Mia Harris"/>
    <s v="mia.harris18@gmail.com"/>
    <s v="+1-808-731-4203"/>
    <s v="Philadelphia"/>
    <s v="PA"/>
    <s v="United States"/>
    <s v="USB-C Fast Charger 65W x1 | Running Shoes - Men's x1"/>
    <x v="7"/>
    <n v="2"/>
    <n v="104.98"/>
    <s v="SUMMER20"/>
    <n v="21"/>
    <n v="0"/>
    <n v="5.04"/>
    <n v="89.02"/>
    <x v="5"/>
    <x v="1"/>
    <x v="3"/>
    <m/>
    <n v="0"/>
    <x v="10"/>
    <s v="Q2"/>
    <n v="83.98"/>
  </r>
  <r>
    <s v="#ORD-10140"/>
    <s v="2024-06-02"/>
    <s v="16:06:59"/>
    <s v="Sebastian Miller"/>
    <s v="sebastian.miller39@gmail.com"/>
    <s v="+1-528-717-4290"/>
    <s v="Phoenix"/>
    <s v="AZ"/>
    <s v="United States"/>
    <s v="Scented Soy Candle Set x1"/>
    <x v="4"/>
    <n v="1"/>
    <n v="22.99"/>
    <s v="SAVE10"/>
    <n v="2.2999999999999998"/>
    <n v="9.99"/>
    <n v="1.66"/>
    <n v="32.340000000000003"/>
    <x v="5"/>
    <x v="6"/>
    <x v="2"/>
    <s v="2024-06-05"/>
    <n v="0"/>
    <x v="3"/>
    <s v="Q2"/>
    <n v="20.689999999999998"/>
  </r>
  <r>
    <s v="#ORD-10141"/>
    <s v="2024-09-26"/>
    <s v="21:28:33"/>
    <s v="Ella Lee"/>
    <s v="ella.lee51@yahoo.com"/>
    <s v="+1-898-886-1440"/>
    <s v="Philadelphia"/>
    <s v="PA"/>
    <s v="United States"/>
    <s v="Linen Throw Blanket x1 | High-Waist Leggings x1"/>
    <x v="4"/>
    <n v="2"/>
    <n v="82.98"/>
    <s v="WELCOME15"/>
    <n v="12.45"/>
    <n v="0"/>
    <n v="5.64"/>
    <n v="76.17"/>
    <x v="0"/>
    <x v="0"/>
    <x v="0"/>
    <s v="2024-09-28"/>
    <n v="76.17"/>
    <x v="11"/>
    <s v="Q3"/>
    <n v="70.53"/>
  </r>
  <r>
    <s v="#ORD-10142"/>
    <s v="2024-11-25"/>
    <s v="05:57:22"/>
    <s v="Sebastian Wilson"/>
    <s v="sebastian.wilson38@yahoo.com"/>
    <s v="+1-812-590-7566"/>
    <s v="Charlotte"/>
    <s v="NC"/>
    <s v="United States"/>
    <s v="Multivitamin Daily Pack x1 | Anti-Aging Serum 1oz x1 | Stainless Steel Cookware Set x1"/>
    <x v="8"/>
    <n v="3"/>
    <n v="199.97"/>
    <s v="None"/>
    <n v="0"/>
    <n v="0"/>
    <n v="20"/>
    <n v="219.97"/>
    <x v="5"/>
    <x v="3"/>
    <x v="3"/>
    <m/>
    <n v="0"/>
    <x v="8"/>
    <s v="Q4"/>
    <n v="199.97"/>
  </r>
  <r>
    <s v="#ORD-10143"/>
    <s v="2024-01-15"/>
    <s v="06:40:34"/>
    <s v="Grace King"/>
    <s v="grace.king89@gmail.com"/>
    <s v="+1-860-793-7547"/>
    <s v="Tucson"/>
    <s v="AZ"/>
    <s v="United States"/>
    <s v="Insulated Water Bottle 32oz x2 | Sunscreen SPF 50 Face x1 | Leather Wallet Slim x2"/>
    <x v="3"/>
    <n v="3"/>
    <n v="134.94999999999999"/>
    <s v="None"/>
    <n v="0"/>
    <n v="0"/>
    <n v="9.4499999999999993"/>
    <n v="144.4"/>
    <x v="1"/>
    <x v="3"/>
    <x v="2"/>
    <s v="2024-01-20"/>
    <n v="0"/>
    <x v="6"/>
    <s v="Q1"/>
    <n v="134.94999999999999"/>
  </r>
  <r>
    <s v="#ORD-10144"/>
    <s v="2024-03-27"/>
    <s v="05:12:00"/>
    <s v="Muhammad Lewis"/>
    <s v="muhammad.lewis2@gmail.com"/>
    <s v="+1-553-125-8909"/>
    <s v="Houston"/>
    <s v="TX"/>
    <s v="United States"/>
    <s v="Air Fryer 5.8Qt x1 | Coffee Maker Programmable x1"/>
    <x v="6"/>
    <n v="2"/>
    <n v="134.97999999999999"/>
    <s v="SUMMER20"/>
    <n v="27"/>
    <n v="0"/>
    <n v="8.64"/>
    <n v="116.62"/>
    <x v="5"/>
    <x v="6"/>
    <x v="0"/>
    <s v="2024-03-29"/>
    <n v="116.62"/>
    <x v="9"/>
    <s v="Q1"/>
    <n v="107.97999999999999"/>
  </r>
  <r>
    <s v="#ORD-10145"/>
    <s v="2024-12-31"/>
    <s v="07:44:14"/>
    <s v="Sophia Jackson"/>
    <s v="sophia.jackson11@gmail.com"/>
    <s v="+1-507-145-2885"/>
    <s v="Columbus"/>
    <s v="OH"/>
    <s v="United States"/>
    <s v="Insulated Water Bottle 32oz x1 | Yoga Mat Premium x1 | Resistance Band Set x1"/>
    <x v="3"/>
    <n v="3"/>
    <n v="87.97"/>
    <s v="SUMMER20"/>
    <n v="17.59"/>
    <n v="0"/>
    <n v="4.22"/>
    <n v="74.599999999999994"/>
    <x v="5"/>
    <x v="4"/>
    <x v="1"/>
    <s v="2025-01-01"/>
    <n v="0"/>
    <x v="1"/>
    <s v="Q4"/>
    <n v="70.38"/>
  </r>
  <r>
    <s v="#ORD-10146"/>
    <s v="2024-10-14"/>
    <s v="13:51:44"/>
    <s v="Liam Perez"/>
    <s v="liam.perez14@yahoo.com"/>
    <s v="+1-855-773-8080"/>
    <s v="Oklahoma City"/>
    <s v="OK"/>
    <s v="United States"/>
    <s v="Running Shoes - Men's x1"/>
    <x v="5"/>
    <n v="1"/>
    <n v="74.989999999999995"/>
    <s v="SAVE10"/>
    <n v="7.5"/>
    <n v="9.99"/>
    <n v="5.74"/>
    <n v="83.22"/>
    <x v="0"/>
    <x v="5"/>
    <x v="2"/>
    <s v="2024-10-16"/>
    <n v="0"/>
    <x v="7"/>
    <s v="Q4"/>
    <n v="67.489999999999995"/>
  </r>
  <r>
    <s v="#ORD-10147"/>
    <s v="2024-06-15"/>
    <s v="19:43:21"/>
    <s v="Henry Johnson"/>
    <s v="henry.johnson79@yahoo.com"/>
    <s v="+1-533-301-8496"/>
    <s v="Portland"/>
    <s v="OR"/>
    <s v="United States"/>
    <s v="Sunscreen SPF 50 Face x1"/>
    <x v="0"/>
    <n v="1"/>
    <n v="18.989999999999998"/>
    <s v="SAVE10"/>
    <n v="1.9"/>
    <n v="4.99"/>
    <n v="1.54"/>
    <n v="23.62"/>
    <x v="0"/>
    <x v="2"/>
    <x v="2"/>
    <s v="2024-06-18"/>
    <n v="0"/>
    <x v="3"/>
    <s v="Q2"/>
    <n v="17.09"/>
  </r>
  <r>
    <s v="#ORD-10148"/>
    <s v="2024-08-19"/>
    <s v="20:10:17"/>
    <s v="Mason Taylor"/>
    <s v="mason.taylor63@outlook.com"/>
    <s v="+1-804-186-3194"/>
    <s v="El Paso"/>
    <s v="TX"/>
    <s v="United States"/>
    <s v="Protein Powder Chocolate 2lb x1"/>
    <x v="8"/>
    <n v="1"/>
    <n v="44.99"/>
    <s v="SAVE10"/>
    <n v="4.5"/>
    <n v="7.99"/>
    <n v="3.44"/>
    <n v="51.92"/>
    <x v="1"/>
    <x v="6"/>
    <x v="2"/>
    <s v="2024-08-24"/>
    <n v="0"/>
    <x v="5"/>
    <s v="Q3"/>
    <n v="40.49"/>
  </r>
  <r>
    <s v="#ORD-10149"/>
    <s v="2024-05-24"/>
    <s v="23:27:53"/>
    <s v="Abigail Davis"/>
    <s v="abigail.davis40@gmail.com"/>
    <s v="+1-370-601-5732"/>
    <s v="San Diego"/>
    <s v="CA"/>
    <s v="United States"/>
    <s v="Air Fryer 5.8Qt x1 | Protein Powder Chocolate 2lb x1"/>
    <x v="6"/>
    <n v="2"/>
    <n v="124.98"/>
    <s v="WELCOME15"/>
    <n v="18.75"/>
    <n v="0"/>
    <n v="9.0299999999999994"/>
    <n v="115.26"/>
    <x v="0"/>
    <x v="0"/>
    <x v="2"/>
    <s v="2024-05-29"/>
    <n v="0"/>
    <x v="4"/>
    <s v="Q2"/>
    <n v="106.23"/>
  </r>
  <r>
    <s v="#ORD-10150"/>
    <s v="2024-01-04"/>
    <s v="17:19:26"/>
    <s v="Isabella Lopez"/>
    <s v="isabella.lopez58@outlook.com"/>
    <s v="+1-700-271-2354"/>
    <s v="Austin"/>
    <s v="TX"/>
    <s v="United States"/>
    <s v="Running Shoes - Women's x1 | Denim Jacket x1"/>
    <x v="5"/>
    <n v="2"/>
    <n v="134.97999999999999"/>
    <s v="SUMMER20"/>
    <n v="27"/>
    <n v="0"/>
    <n v="9.18"/>
    <n v="117.16"/>
    <x v="1"/>
    <x v="5"/>
    <x v="3"/>
    <m/>
    <n v="0"/>
    <x v="6"/>
    <s v="Q1"/>
    <n v="107.97999999999999"/>
  </r>
  <r>
    <s v="#ORD-10151"/>
    <s v="2024-01-13"/>
    <s v="16:44:25"/>
    <s v="Chloe Johnson"/>
    <s v="chloe.johnson98@gmail.com"/>
    <s v="+1-575-655-1681"/>
    <s v="Louisville"/>
    <s v="KY"/>
    <s v="United States"/>
    <s v="Coffee Maker Programmable x1"/>
    <x v="6"/>
    <n v="1"/>
    <n v="54.99"/>
    <s v="SUMMER20"/>
    <n v="11"/>
    <n v="9.99"/>
    <n v="3.96"/>
    <n v="57.94"/>
    <x v="5"/>
    <x v="0"/>
    <x v="2"/>
    <s v="2024-01-18"/>
    <n v="0"/>
    <x v="6"/>
    <s v="Q1"/>
    <n v="43.99"/>
  </r>
  <r>
    <s v="#ORD-10152"/>
    <s v="2024-11-18"/>
    <s v="08:49:11"/>
    <s v="Avery Scott"/>
    <s v="avery.scott55@gmail.com"/>
    <s v="+1-414-930-6744"/>
    <s v="San Antonio"/>
    <s v="TX"/>
    <s v="United States"/>
    <s v="Casual Sneakers x2 | Yoga Mat Premium x1"/>
    <x v="5"/>
    <n v="2"/>
    <n v="154.97"/>
    <s v="SAVE10"/>
    <n v="15.5"/>
    <n v="0"/>
    <n v="11.16"/>
    <n v="150.63"/>
    <x v="4"/>
    <x v="3"/>
    <x v="2"/>
    <s v="2024-11-20"/>
    <n v="0"/>
    <x v="8"/>
    <s v="Q4"/>
    <n v="139.47"/>
  </r>
  <r>
    <s v="#ORD-10153"/>
    <s v="2024-03-21"/>
    <s v="05:50:05"/>
    <s v="Benjamin Lewis"/>
    <s v="benjamin.lewis79@gmail.com"/>
    <s v="+1-338-868-7743"/>
    <s v="Philadelphia"/>
    <s v="PA"/>
    <s v="United States"/>
    <s v="High-Waist Leggings x1 | Portable Bluetooth Speaker x1 | Linen Throw Blanket x1"/>
    <x v="1"/>
    <n v="3"/>
    <n v="132.97"/>
    <s v="SAVE10"/>
    <n v="13.3"/>
    <n v="0"/>
    <n v="11.97"/>
    <n v="131.63999999999999"/>
    <x v="0"/>
    <x v="0"/>
    <x v="0"/>
    <s v="2024-03-22"/>
    <n v="131.63999999999999"/>
    <x v="9"/>
    <s v="Q1"/>
    <n v="119.67"/>
  </r>
  <r>
    <s v="#ORD-10154"/>
    <s v="2024-12-02"/>
    <s v="08:26:22"/>
    <s v="Noah Moore"/>
    <s v="noah.moore84@gmail.com"/>
    <s v="+1-584-562-2237"/>
    <s v="Milwaukee"/>
    <s v="WI"/>
    <s v="United States"/>
    <s v="Mechanical Keyboard x2"/>
    <x v="7"/>
    <n v="1"/>
    <n v="239.98"/>
    <s v="None"/>
    <n v="0"/>
    <n v="0"/>
    <n v="24"/>
    <n v="263.98"/>
    <x v="5"/>
    <x v="3"/>
    <x v="2"/>
    <s v="2024-12-06"/>
    <n v="0"/>
    <x v="1"/>
    <s v="Q4"/>
    <n v="239.98"/>
  </r>
  <r>
    <s v="#ORD-10155"/>
    <s v="2024-12-29"/>
    <s v="15:17:06"/>
    <s v="Ethan Sanchez"/>
    <s v="ethan.sanchez96@gmail.com"/>
    <s v="+1-747-507-4568"/>
    <s v="San Francisco"/>
    <s v="CA"/>
    <s v="United States"/>
    <s v="Organic Green Tea 100ct x1 | Stainless Steel Cookware Set x2 | Resistance Band Set x2"/>
    <x v="9"/>
    <n v="3"/>
    <n v="324.95"/>
    <s v="None"/>
    <n v="0"/>
    <n v="0"/>
    <n v="32.5"/>
    <n v="357.45"/>
    <x v="7"/>
    <x v="0"/>
    <x v="1"/>
    <s v="2024-12-30"/>
    <n v="0"/>
    <x v="1"/>
    <s v="Q4"/>
    <n v="324.95"/>
  </r>
  <r>
    <s v="#ORD-10156"/>
    <s v="2024-04-20"/>
    <s v="03:16:44"/>
    <s v="Jack Wilson"/>
    <s v="jack.wilson35@gmail.com"/>
    <s v="+1-216-227-3588"/>
    <s v="Indianapolis"/>
    <s v="IN"/>
    <s v="United States"/>
    <s v="Linen Throw Blanket x1"/>
    <x v="4"/>
    <n v="1"/>
    <n v="39.99"/>
    <s v="SUMMER20"/>
    <n v="8"/>
    <n v="7.99"/>
    <n v="3.2"/>
    <n v="43.18"/>
    <x v="6"/>
    <x v="3"/>
    <x v="3"/>
    <m/>
    <n v="0"/>
    <x v="10"/>
    <s v="Q2"/>
    <n v="31.990000000000002"/>
  </r>
  <r>
    <s v="#ORD-10157"/>
    <s v="2024-09-24"/>
    <s v="10:08:29"/>
    <s v="Avery Walker"/>
    <s v="avery.walker55@gmail.com"/>
    <s v="+1-840-412-4836"/>
    <s v="New York"/>
    <s v="NY"/>
    <s v="United States"/>
    <s v="Leather Wallet Slim x2 | Essential Oil Diffuser x2 | Yoga Mat Premium x1 | Running Shoes - Men's x1"/>
    <x v="2"/>
    <n v="4"/>
    <n v="235.94"/>
    <s v="None"/>
    <n v="0"/>
    <n v="0"/>
    <n v="18.88"/>
    <n v="254.82"/>
    <x v="1"/>
    <x v="0"/>
    <x v="2"/>
    <s v="2024-09-28"/>
    <n v="0"/>
    <x v="11"/>
    <s v="Q3"/>
    <n v="235.94"/>
  </r>
  <r>
    <s v="#ORD-10158"/>
    <s v="2024-07-04"/>
    <s v="04:09:38"/>
    <s v="Jack Garcia"/>
    <s v="jack.garcia13@gmail.com"/>
    <s v="+1-910-235-8826"/>
    <s v="Boston"/>
    <s v="MA"/>
    <s v="United States"/>
    <s v="Linen Throw Blanket x1"/>
    <x v="4"/>
    <n v="1"/>
    <n v="39.99"/>
    <s v="SUMMER20"/>
    <n v="8"/>
    <n v="4.99"/>
    <n v="1.92"/>
    <n v="38.9"/>
    <x v="1"/>
    <x v="6"/>
    <x v="4"/>
    <m/>
    <n v="0"/>
    <x v="2"/>
    <s v="Q3"/>
    <n v="31.990000000000002"/>
  </r>
  <r>
    <s v="#ORD-10159"/>
    <s v="2024-05-01"/>
    <s v="16:38:50"/>
    <s v="Ava Anderson"/>
    <s v="ava.anderson12@yahoo.com"/>
    <s v="+1-559-839-4490"/>
    <s v="Fort Worth"/>
    <s v="TX"/>
    <s v="United States"/>
    <s v="Yoga Mat Premium x1"/>
    <x v="3"/>
    <n v="1"/>
    <n v="34.99"/>
    <s v="None"/>
    <n v="0"/>
    <n v="5.99"/>
    <n v="2.1"/>
    <n v="43.08"/>
    <x v="5"/>
    <x v="3"/>
    <x v="2"/>
    <s v="2024-05-05"/>
    <n v="0"/>
    <x v="4"/>
    <s v="Q2"/>
    <n v="34.99"/>
  </r>
  <r>
    <s v="#ORD-10160"/>
    <s v="2024-03-25"/>
    <s v="08:52:01"/>
    <s v="James Clark"/>
    <s v="james.clark88@gmail.com"/>
    <s v="+1-483-760-2380"/>
    <s v="Nashville"/>
    <s v="TN"/>
    <s v="United States"/>
    <s v="Smart LED Desk Lamp x1"/>
    <x v="7"/>
    <n v="1"/>
    <n v="39.99"/>
    <s v="None"/>
    <n v="0"/>
    <n v="9.99"/>
    <n v="3.2"/>
    <n v="53.18"/>
    <x v="7"/>
    <x v="3"/>
    <x v="2"/>
    <s v="2024-03-27"/>
    <n v="0"/>
    <x v="9"/>
    <s v="Q1"/>
    <n v="39.99"/>
  </r>
  <r>
    <s v="#ORD-10161"/>
    <s v="2024-12-31"/>
    <s v="13:21:30"/>
    <s v="Oliver Torres"/>
    <s v="oliver.torres77@yahoo.com"/>
    <s v="+1-706-495-2847"/>
    <s v="Nashville"/>
    <s v="TN"/>
    <s v="United States"/>
    <s v="Canvas Backpack 25L x2 | Anti-Aging Serum 1oz x1"/>
    <x v="2"/>
    <n v="2"/>
    <n v="159.97"/>
    <s v="LOYALTY5"/>
    <n v="8"/>
    <n v="0"/>
    <n v="13.68"/>
    <n v="165.65"/>
    <x v="0"/>
    <x v="3"/>
    <x v="2"/>
    <s v="2025-01-02"/>
    <n v="0"/>
    <x v="1"/>
    <s v="Q4"/>
    <n v="151.97"/>
  </r>
  <r>
    <s v="#ORD-10162"/>
    <s v="2024-12-11"/>
    <s v="03:30:46"/>
    <s v="Oliver Allen"/>
    <s v="oliver.allen77@gmail.com"/>
    <s v="+1-261-908-7520"/>
    <s v="Oklahoma City"/>
    <s v="OK"/>
    <s v="United States"/>
    <s v="Insulated Water Bottle 32oz x2 | Bamboo Sunglasses x1 | Resistance Band Set x1 | Mechanical Keyboard x1 | Protein Powder Chocolate 2lb x2"/>
    <x v="3"/>
    <n v="5"/>
    <n v="315.93"/>
    <s v="None"/>
    <n v="0"/>
    <n v="0"/>
    <n v="18.96"/>
    <n v="334.89"/>
    <x v="1"/>
    <x v="3"/>
    <x v="2"/>
    <s v="2024-12-12"/>
    <n v="0"/>
    <x v="1"/>
    <s v="Q4"/>
    <n v="315.93"/>
  </r>
  <r>
    <s v="#ORD-10163"/>
    <s v="2024-09-29"/>
    <s v="13:20:57"/>
    <s v="Scarlett Jackson"/>
    <s v="scarlett.jackson92@yahoo.com"/>
    <s v="+1-749-434-7401"/>
    <s v="Oklahoma City"/>
    <s v="OK"/>
    <s v="United States"/>
    <s v="Essential Oil Diffuser x1"/>
    <x v="4"/>
    <n v="1"/>
    <n v="32.99"/>
    <s v="LOYALTY5"/>
    <n v="1.65"/>
    <n v="5.99"/>
    <n v="2.5099999999999998"/>
    <n v="39.840000000000003"/>
    <x v="0"/>
    <x v="3"/>
    <x v="2"/>
    <s v="2024-10-01"/>
    <n v="0"/>
    <x v="11"/>
    <s v="Q3"/>
    <n v="31.340000000000003"/>
  </r>
  <r>
    <s v="#ORD-10164"/>
    <s v="2024-11-24"/>
    <s v="17:39:16"/>
    <s v="Daniel Jones"/>
    <s v="daniel.jones90@gmail.com"/>
    <s v="+1-212-824-3248"/>
    <s v="San Jose"/>
    <s v="CA"/>
    <s v="United States"/>
    <s v="Casual Sneakers x1"/>
    <x v="5"/>
    <n v="1"/>
    <n v="59.99"/>
    <s v="WELCOME15"/>
    <n v="9"/>
    <n v="4.99"/>
    <n v="4.33"/>
    <n v="60.31"/>
    <x v="1"/>
    <x v="3"/>
    <x v="2"/>
    <s v="2024-11-25"/>
    <n v="0"/>
    <x v="8"/>
    <s v="Q4"/>
    <n v="50.99"/>
  </r>
  <r>
    <s v="#ORD-10165"/>
    <s v="2024-10-06"/>
    <s v="22:01:17"/>
    <s v="Emma Hernandez"/>
    <s v="emma.hernandez45@outlook.com"/>
    <s v="+1-469-829-2262"/>
    <s v="Indianapolis"/>
    <s v="IN"/>
    <s v="United States"/>
    <s v="Insulated Water Bottle 32oz x1"/>
    <x v="3"/>
    <n v="1"/>
    <n v="27.99"/>
    <s v="SAVE10"/>
    <n v="2.8"/>
    <n v="4.99"/>
    <n v="1.51"/>
    <n v="31.69"/>
    <x v="0"/>
    <x v="5"/>
    <x v="0"/>
    <s v="2024-10-07"/>
    <n v="31.69"/>
    <x v="7"/>
    <s v="Q4"/>
    <n v="25.189999999999998"/>
  </r>
  <r>
    <s v="#ORD-10166"/>
    <s v="2024-11-29"/>
    <s v="17:48:49"/>
    <s v="Michael Walker"/>
    <s v="michael.walker47@gmail.com"/>
    <s v="+1-245-979-1201"/>
    <s v="San Francisco"/>
    <s v="CA"/>
    <s v="United States"/>
    <s v="Insulated Water Bottle 32oz x1 | Running Shoes - Men's x1"/>
    <x v="3"/>
    <n v="2"/>
    <n v="102.98"/>
    <s v="LOYALTY5"/>
    <n v="5.15"/>
    <n v="0"/>
    <n v="9.7799999999999994"/>
    <n v="107.61"/>
    <x v="1"/>
    <x v="3"/>
    <x v="0"/>
    <s v="2024-11-30"/>
    <n v="107.61"/>
    <x v="8"/>
    <s v="Q4"/>
    <n v="97.83"/>
  </r>
  <r>
    <s v="#ORD-10167"/>
    <s v="2024-02-28"/>
    <s v="06:53:25"/>
    <s v="Oliver Williams"/>
    <s v="oliver.williams47@gmail.com"/>
    <s v="+1-279-685-7108"/>
    <s v="Indianapolis"/>
    <s v="IN"/>
    <s v="United States"/>
    <s v="Canvas Backpack 25L x1"/>
    <x v="2"/>
    <n v="1"/>
    <n v="54.99"/>
    <s v="WELCOME15"/>
    <n v="8.25"/>
    <n v="5.99"/>
    <n v="3.74"/>
    <n v="56.47"/>
    <x v="0"/>
    <x v="2"/>
    <x v="1"/>
    <s v="2024-03-02"/>
    <n v="0"/>
    <x v="0"/>
    <s v="Q1"/>
    <n v="46.74"/>
  </r>
  <r>
    <s v="#ORD-10168"/>
    <s v="2024-11-08"/>
    <s v="08:58:25"/>
    <s v="Mason King"/>
    <s v="mason.king7@gmail.com"/>
    <s v="+1-405-398-5979"/>
    <s v="El Paso"/>
    <s v="TX"/>
    <s v="United States"/>
    <s v="Portable Bluetooth Speaker x1 | Protein Powder Chocolate 2lb x1"/>
    <x v="7"/>
    <n v="2"/>
    <n v="94.98"/>
    <s v="SAVE10"/>
    <n v="9.5"/>
    <n v="0"/>
    <n v="6.84"/>
    <n v="92.32"/>
    <x v="0"/>
    <x v="0"/>
    <x v="2"/>
    <s v="2024-11-11"/>
    <n v="0"/>
    <x v="8"/>
    <s v="Q4"/>
    <n v="85.48"/>
  </r>
  <r>
    <s v="#ORD-10169"/>
    <s v="2024-10-27"/>
    <s v="01:16:39"/>
    <s v="Benjamin Thomas"/>
    <s v="benjamin.thomas48@yahoo.com"/>
    <s v="+1-201-877-7164"/>
    <s v="Charlotte"/>
    <s v="NC"/>
    <s v="United States"/>
    <s v="Men's Grooming Kit x2 | Leather Wallet Slim x1 | Coffee Maker Programmable x1"/>
    <x v="0"/>
    <n v="3"/>
    <n v="156.96"/>
    <s v="WELCOME15"/>
    <n v="23.54"/>
    <n v="0"/>
    <n v="8.01"/>
    <n v="141.43"/>
    <x v="0"/>
    <x v="3"/>
    <x v="2"/>
    <s v="2024-10-30"/>
    <n v="0"/>
    <x v="7"/>
    <s v="Q4"/>
    <n v="133.42000000000002"/>
  </r>
  <r>
    <s v="#ORD-10170"/>
    <s v="2024-01-24"/>
    <s v="06:15:45"/>
    <s v="Aiden Miller"/>
    <s v="aiden.miller68@yahoo.com"/>
    <s v="+1-276-706-2020"/>
    <s v="San Antonio"/>
    <s v="TX"/>
    <s v="United States"/>
    <s v="Mechanical Keyboard x3 | Sunscreen SPF 50 Face x2 | Hiking Boots x1 | USB-C Fast Charger 65W x2 | Portable Bluetooth Speaker x1"/>
    <x v="7"/>
    <n v="5"/>
    <n v="617.91"/>
    <s v="None"/>
    <n v="0"/>
    <n v="0"/>
    <n v="55.61"/>
    <n v="673.52"/>
    <x v="0"/>
    <x v="3"/>
    <x v="4"/>
    <m/>
    <n v="0"/>
    <x v="6"/>
    <s v="Q1"/>
    <n v="617.91"/>
  </r>
  <r>
    <s v="#ORD-10171"/>
    <s v="2024-05-02"/>
    <s v="08:05:45"/>
    <s v="Jack Rodriguez"/>
    <s v="jack.rodriguez38@gmail.com"/>
    <s v="+1-677-421-7660"/>
    <s v="San Diego"/>
    <s v="CA"/>
    <s v="United States"/>
    <s v="Protein Powder Chocolate 2lb x1 | Sunscreen SPF 50 Face x1 | Denim Jacket x1 | Men's Grooming Kit x3"/>
    <x v="8"/>
    <n v="4"/>
    <n v="236.94"/>
    <s v="None"/>
    <n v="0"/>
    <n v="0"/>
    <n v="21.32"/>
    <n v="258.26"/>
    <x v="0"/>
    <x v="3"/>
    <x v="3"/>
    <m/>
    <n v="0"/>
    <x v="4"/>
    <s v="Q2"/>
    <n v="236.94"/>
  </r>
  <r>
    <s v="#ORD-10172"/>
    <s v="2024-04-29"/>
    <s v="17:38:10"/>
    <s v="Mason Scott"/>
    <s v="mason.scott99@gmail.com"/>
    <s v="+1-293-828-5066"/>
    <s v="Jacksonville"/>
    <s v="FL"/>
    <s v="United States"/>
    <s v="Canvas Backpack 25L x1 | Smart LED Desk Lamp x2"/>
    <x v="2"/>
    <n v="2"/>
    <n v="134.97"/>
    <s v="SAVE10"/>
    <n v="13.5"/>
    <n v="0"/>
    <n v="12.15"/>
    <n v="133.62"/>
    <x v="1"/>
    <x v="3"/>
    <x v="1"/>
    <s v="2024-05-01"/>
    <n v="0"/>
    <x v="10"/>
    <s v="Q2"/>
    <n v="121.47"/>
  </r>
  <r>
    <s v="#ORD-10173"/>
    <s v="2024-03-08"/>
    <s v="12:33:53"/>
    <s v="Emily Sanchez"/>
    <s v="emily.sanchez7@yahoo.com"/>
    <s v="+1-324-112-2010"/>
    <s v="San Francisco"/>
    <s v="CA"/>
    <s v="United States"/>
    <s v="Protein Powder Chocolate 2lb x2"/>
    <x v="8"/>
    <n v="1"/>
    <n v="89.98"/>
    <s v="FLASH25"/>
    <n v="22.5"/>
    <n v="0"/>
    <n v="6.75"/>
    <n v="74.23"/>
    <x v="1"/>
    <x v="3"/>
    <x v="2"/>
    <s v="2024-03-10"/>
    <n v="0"/>
    <x v="9"/>
    <s v="Q1"/>
    <n v="67.48"/>
  </r>
  <r>
    <s v="#ORD-10174"/>
    <s v="2024-09-01"/>
    <s v="18:47:56"/>
    <s v="Amelia Rodriguez"/>
    <s v="amelia.rodriguez52@gmail.com"/>
    <s v="+1-243-572-1829"/>
    <s v="San Antonio"/>
    <s v="TX"/>
    <s v="United States"/>
    <s v="USB-C Fast Charger 65W x2 | Linen Throw Blanket x1 | Hiking Boots x1 | Bamboo Sunglasses x2"/>
    <x v="7"/>
    <n v="4"/>
    <n v="259.94"/>
    <s v="SUMMER20"/>
    <n v="51.99"/>
    <n v="0"/>
    <n v="14.56"/>
    <n v="222.51"/>
    <x v="0"/>
    <x v="6"/>
    <x v="1"/>
    <s v="2024-09-02"/>
    <n v="0"/>
    <x v="11"/>
    <s v="Q3"/>
    <n v="207.95"/>
  </r>
  <r>
    <s v="#ORD-10175"/>
    <s v="2024-01-12"/>
    <s v="10:47:41"/>
    <s v="Mia Nguyen"/>
    <s v="mia.nguyen93@gmail.com"/>
    <s v="+1-834-731-5026"/>
    <s v="Columbus"/>
    <s v="OH"/>
    <s v="United States"/>
    <s v="Multivitamin Daily Pack x1"/>
    <x v="8"/>
    <n v="1"/>
    <n v="19.989999999999998"/>
    <s v="None"/>
    <n v="0"/>
    <n v="5.99"/>
    <n v="1.6"/>
    <n v="27.58"/>
    <x v="0"/>
    <x v="2"/>
    <x v="2"/>
    <s v="2024-01-17"/>
    <n v="0"/>
    <x v="6"/>
    <s v="Q1"/>
    <n v="19.989999999999998"/>
  </r>
  <r>
    <s v="#ORD-10176"/>
    <s v="2024-02-04"/>
    <s v="01:37:26"/>
    <s v="Evelyn Allen"/>
    <s v="evelyn.allen71@gmail.com"/>
    <s v="+1-930-467-8859"/>
    <s v="Columbus"/>
    <s v="OH"/>
    <s v="United States"/>
    <s v="Mechanical Keyboard x1"/>
    <x v="7"/>
    <n v="1"/>
    <n v="119.99"/>
    <s v="FLASH25"/>
    <n v="30"/>
    <n v="0"/>
    <n v="6.3"/>
    <n v="96.29"/>
    <x v="1"/>
    <x v="6"/>
    <x v="2"/>
    <s v="2024-02-08"/>
    <n v="0"/>
    <x v="0"/>
    <s v="Q1"/>
    <n v="89.99"/>
  </r>
  <r>
    <s v="#ORD-10177"/>
    <s v="2024-03-10"/>
    <s v="20:00:19"/>
    <s v="Grace Allen"/>
    <s v="grace.allen73@yahoo.com"/>
    <s v="+1-302-353-4951"/>
    <s v="Jacksonville"/>
    <s v="FL"/>
    <s v="United States"/>
    <s v="Scented Soy Candle Set x1"/>
    <x v="4"/>
    <n v="1"/>
    <n v="22.99"/>
    <s v="SAVE10"/>
    <n v="2.2999999999999998"/>
    <n v="4.99"/>
    <n v="1.76"/>
    <n v="27.44"/>
    <x v="5"/>
    <x v="4"/>
    <x v="2"/>
    <s v="2024-03-12"/>
    <n v="0"/>
    <x v="9"/>
    <s v="Q1"/>
    <n v="20.689999999999998"/>
  </r>
  <r>
    <s v="#ORD-10178"/>
    <s v="2024-03-26"/>
    <s v="05:03:51"/>
    <s v="Elijah Scott"/>
    <s v="elijah.scott95@gmail.com"/>
    <s v="+1-228-820-6761"/>
    <s v="Baltimore"/>
    <s v="MD"/>
    <s v="United States"/>
    <s v="High-Waist Leggings x1 | Protein Powder Chocolate 2lb x2"/>
    <x v="1"/>
    <n v="2"/>
    <n v="132.97"/>
    <s v="None"/>
    <n v="0"/>
    <n v="0"/>
    <n v="9.31"/>
    <n v="142.28"/>
    <x v="0"/>
    <x v="3"/>
    <x v="1"/>
    <s v="2024-03-31"/>
    <n v="0"/>
    <x v="9"/>
    <s v="Q1"/>
    <n v="132.97"/>
  </r>
  <r>
    <s v="#ORD-10179"/>
    <s v="2024-11-10"/>
    <s v="17:29:10"/>
    <s v="Chloe Nguyen"/>
    <s v="chloe.nguyen73@outlook.com"/>
    <s v="+1-548-834-3907"/>
    <s v="Phoenix"/>
    <s v="AZ"/>
    <s v="United States"/>
    <s v="Stainless Steel Cookware Set x1 | Coffee Maker Programmable x1 | Yoga Mat Premium x1 | Running Shoes - Men's x1"/>
    <x v="6"/>
    <n v="4"/>
    <n v="294.95999999999998"/>
    <s v="FLASH25"/>
    <n v="73.739999999999995"/>
    <n v="0"/>
    <n v="18.8"/>
    <n v="240.02"/>
    <x v="0"/>
    <x v="2"/>
    <x v="2"/>
    <s v="2024-11-12"/>
    <n v="0"/>
    <x v="8"/>
    <s v="Q4"/>
    <n v="221.21999999999997"/>
  </r>
  <r>
    <s v="#ORD-10180"/>
    <s v="2024-10-27"/>
    <s v="17:37:08"/>
    <s v="Abigail Brown"/>
    <s v="abigail.brown19@outlook.com"/>
    <s v="+1-509-430-3235"/>
    <s v="New York"/>
    <s v="NY"/>
    <s v="United States"/>
    <s v="Air Fryer 5.8Qt x2"/>
    <x v="6"/>
    <n v="1"/>
    <n v="159.97999999999999"/>
    <s v="None"/>
    <n v="0"/>
    <n v="0"/>
    <n v="12.8"/>
    <n v="172.78"/>
    <x v="1"/>
    <x v="0"/>
    <x v="2"/>
    <s v="2024-10-30"/>
    <n v="0"/>
    <x v="7"/>
    <s v="Q4"/>
    <n v="159.97999999999999"/>
  </r>
  <r>
    <s v="#ORD-10181"/>
    <s v="2024-03-08"/>
    <s v="15:41:11"/>
    <s v="Mia Lewis"/>
    <s v="mia.lewis82@outlook.com"/>
    <s v="+1-514-851-5825"/>
    <s v="Louisville"/>
    <s v="KY"/>
    <s v="United States"/>
    <s v="Coffee Maker Programmable x2 | Sunscreen SPF 50 Face x1"/>
    <x v="6"/>
    <n v="2"/>
    <n v="128.97"/>
    <s v="SAVE10"/>
    <n v="12.9"/>
    <n v="0"/>
    <n v="8.1199999999999992"/>
    <n v="124.19"/>
    <x v="1"/>
    <x v="6"/>
    <x v="4"/>
    <m/>
    <n v="0"/>
    <x v="9"/>
    <s v="Q1"/>
    <n v="116.07"/>
  </r>
  <r>
    <s v="#ORD-10182"/>
    <s v="2024-06-01"/>
    <s v="01:59:23"/>
    <s v="Isabella Lopez"/>
    <s v="isabella.lopez1@outlook.com"/>
    <s v="+1-344-439-2274"/>
    <s v="Portland"/>
    <s v="OR"/>
    <s v="United States"/>
    <s v="Classic Fit Polo Shirt x1 | Linen Throw Blanket x1 | Portable Bluetooth Speaker x2"/>
    <x v="1"/>
    <n v="3"/>
    <n v="174.96"/>
    <s v="LOYALTY5"/>
    <n v="8.75"/>
    <n v="0"/>
    <n v="11.63"/>
    <n v="177.84"/>
    <x v="1"/>
    <x v="3"/>
    <x v="3"/>
    <m/>
    <n v="0"/>
    <x v="3"/>
    <s v="Q2"/>
    <n v="166.21"/>
  </r>
  <r>
    <s v="#ORD-10183"/>
    <s v="2024-11-15"/>
    <s v="02:26:35"/>
    <s v="Oliver Thompson"/>
    <s v="oliver.thompson22@outlook.com"/>
    <s v="+1-937-101-1788"/>
    <s v="Austin"/>
    <s v="TX"/>
    <s v="United States"/>
    <s v="Essential Oil Diffuser x2 | Men's Grooming Kit x1"/>
    <x v="4"/>
    <n v="2"/>
    <n v="101.97"/>
    <s v="SAVE10"/>
    <n v="10.199999999999999"/>
    <n v="0"/>
    <n v="6.42"/>
    <n v="98.19"/>
    <x v="0"/>
    <x v="3"/>
    <x v="2"/>
    <s v="2024-11-16"/>
    <n v="0"/>
    <x v="8"/>
    <s v="Q4"/>
    <n v="91.77"/>
  </r>
  <r>
    <s v="#ORD-10184"/>
    <s v="2024-07-10"/>
    <s v="11:51:26"/>
    <s v="Elizabeth Robinson"/>
    <s v="elizabeth.robinson54@outlook.com"/>
    <s v="+1-220-426-5278"/>
    <s v="Portland"/>
    <s v="OR"/>
    <s v="United States"/>
    <s v="Insulated Water Bottle 32oz x2 | Coffee Maker Programmable x2 | Protein Powder Chocolate 2lb x1 | Smart LED Desk Lamp x2"/>
    <x v="3"/>
    <n v="4"/>
    <n v="290.93"/>
    <s v="None"/>
    <n v="0"/>
    <n v="0"/>
    <n v="20.37"/>
    <n v="311.3"/>
    <x v="5"/>
    <x v="6"/>
    <x v="2"/>
    <s v="2024-07-13"/>
    <n v="0"/>
    <x v="2"/>
    <s v="Q3"/>
    <n v="290.93"/>
  </r>
  <r>
    <s v="#ORD-10185"/>
    <s v="2024-01-30"/>
    <s v="03:04:23"/>
    <s v="Sophia Jones"/>
    <s v="sophia.jones22@yahoo.com"/>
    <s v="+1-644-260-1877"/>
    <s v="Austin"/>
    <s v="TX"/>
    <s v="United States"/>
    <s v="Leather Wallet Slim x1 | USB-C Fast Charger 65W x3"/>
    <x v="2"/>
    <n v="2"/>
    <n v="119.96"/>
    <s v="SUMMER20"/>
    <n v="23.99"/>
    <n v="0"/>
    <n v="9.6"/>
    <n v="105.57"/>
    <x v="0"/>
    <x v="1"/>
    <x v="2"/>
    <s v="2024-02-04"/>
    <n v="0"/>
    <x v="6"/>
    <s v="Q1"/>
    <n v="95.97"/>
  </r>
  <r>
    <s v="#ORD-10186"/>
    <s v="2024-08-03"/>
    <s v="04:42:07"/>
    <s v="Sophia Perez"/>
    <s v="sophia.perez25@gmail.com"/>
    <s v="+1-357-155-6911"/>
    <s v="San Antonio"/>
    <s v="TX"/>
    <s v="United States"/>
    <s v="Men's Grooming Kit x1 | Coffee Maker Programmable x1"/>
    <x v="0"/>
    <n v="2"/>
    <n v="90.98"/>
    <s v="None"/>
    <n v="0"/>
    <n v="0"/>
    <n v="5.46"/>
    <n v="96.44"/>
    <x v="0"/>
    <x v="0"/>
    <x v="3"/>
    <m/>
    <n v="0"/>
    <x v="5"/>
    <s v="Q3"/>
    <n v="90.98"/>
  </r>
  <r>
    <s v="#ORD-10187"/>
    <s v="2024-07-05"/>
    <s v="12:59:06"/>
    <s v="Emma Lewis"/>
    <s v="emma.lewis38@outlook.com"/>
    <s v="+1-682-600-5341"/>
    <s v="Chicago"/>
    <s v="IL"/>
    <s v="United States"/>
    <s v="Wireless Noise-Cancelling Headphones x1"/>
    <x v="7"/>
    <n v="1"/>
    <n v="89.99"/>
    <s v="SAVE10"/>
    <n v="9"/>
    <n v="0"/>
    <n v="4.8600000000000003"/>
    <n v="85.85"/>
    <x v="5"/>
    <x v="3"/>
    <x v="4"/>
    <m/>
    <n v="0"/>
    <x v="2"/>
    <s v="Q3"/>
    <n v="80.989999999999995"/>
  </r>
  <r>
    <s v="#ORD-10188"/>
    <s v="2024-05-28"/>
    <s v="03:19:36"/>
    <s v="Ethan Scott"/>
    <s v="ethan.scott24@gmail.com"/>
    <s v="+1-970-813-2584"/>
    <s v="Fort Worth"/>
    <s v="TX"/>
    <s v="United States"/>
    <s v="Organic Green Tea 100ct x1"/>
    <x v="9"/>
    <n v="1"/>
    <n v="14.99"/>
    <s v="SUMMER20"/>
    <n v="3"/>
    <n v="9.99"/>
    <n v="0.96"/>
    <n v="22.94"/>
    <x v="0"/>
    <x v="3"/>
    <x v="2"/>
    <s v="2024-05-30"/>
    <n v="0"/>
    <x v="4"/>
    <s v="Q2"/>
    <n v="11.99"/>
  </r>
  <r>
    <s v="#ORD-10189"/>
    <s v="2024-10-20"/>
    <s v="18:41:21"/>
    <s v="Ethan Thompson"/>
    <s v="ethan.thompson70@gmail.com"/>
    <s v="+1-506-180-7468"/>
    <s v="Louisville"/>
    <s v="KY"/>
    <s v="United States"/>
    <s v="Coffee Maker Programmable x2 | Portable Bluetooth Speaker x2"/>
    <x v="6"/>
    <n v="2"/>
    <n v="209.96"/>
    <s v="WELCOME15"/>
    <n v="31.49"/>
    <n v="0"/>
    <n v="16.059999999999999"/>
    <n v="194.53"/>
    <x v="1"/>
    <x v="1"/>
    <x v="2"/>
    <s v="2024-10-24"/>
    <n v="0"/>
    <x v="7"/>
    <s v="Q4"/>
    <n v="178.47"/>
  </r>
  <r>
    <s v="#ORD-10190"/>
    <s v="2024-08-28"/>
    <s v="21:21:52"/>
    <s v="Olivia King"/>
    <s v="olivia.king67@outlook.com"/>
    <s v="+1-406-942-3422"/>
    <s v="Denver"/>
    <s v="CO"/>
    <s v="United States"/>
    <s v="Classic Fit Polo Shirt x1"/>
    <x v="1"/>
    <n v="1"/>
    <n v="34.99"/>
    <s v="None"/>
    <n v="0"/>
    <n v="5.99"/>
    <n v="2.4500000000000002"/>
    <n v="43.43"/>
    <x v="0"/>
    <x v="5"/>
    <x v="4"/>
    <m/>
    <n v="0"/>
    <x v="5"/>
    <s v="Q3"/>
    <n v="34.99"/>
  </r>
  <r>
    <s v="#ORD-10191"/>
    <s v="2024-05-30"/>
    <s v="17:20:46"/>
    <s v="Victoria Taylor"/>
    <s v="victoria.taylor94@yahoo.com"/>
    <s v="+1-315-524-3451"/>
    <s v="Austin"/>
    <s v="TX"/>
    <s v="United States"/>
    <s v="Coffee Maker Programmable x2 | Resistance Band Set x1"/>
    <x v="6"/>
    <n v="2"/>
    <n v="134.97"/>
    <s v="None"/>
    <n v="0"/>
    <n v="0"/>
    <n v="13.5"/>
    <n v="148.47"/>
    <x v="1"/>
    <x v="5"/>
    <x v="4"/>
    <m/>
    <n v="0"/>
    <x v="4"/>
    <s v="Q2"/>
    <n v="134.97"/>
  </r>
  <r>
    <s v="#ORD-10192"/>
    <s v="2024-12-25"/>
    <s v="04:57:19"/>
    <s v="James Nguyen"/>
    <s v="james.nguyen75@outlook.com"/>
    <s v="+1-238-276-5512"/>
    <s v="Denver"/>
    <s v="CO"/>
    <s v="United States"/>
    <s v="Classic Fit Polo Shirt x1"/>
    <x v="1"/>
    <n v="1"/>
    <n v="34.99"/>
    <s v="SAVE10"/>
    <n v="3.5"/>
    <n v="7.99"/>
    <n v="2.68"/>
    <n v="42.16"/>
    <x v="0"/>
    <x v="0"/>
    <x v="3"/>
    <m/>
    <n v="0"/>
    <x v="1"/>
    <s v="Q4"/>
    <n v="31.490000000000002"/>
  </r>
  <r>
    <s v="#ORD-10193"/>
    <s v="2024-06-02"/>
    <s v="17:03:20"/>
    <s v="Henry Martinez"/>
    <s v="henry.martinez78@yahoo.com"/>
    <s v="+1-337-407-8259"/>
    <s v="Nashville"/>
    <s v="TN"/>
    <s v="United States"/>
    <s v="Resistance Band Set x2 | Sunscreen SPF 50 Face x3 | Casual Sneakers x2 | Portable Bluetooth Speaker x1"/>
    <x v="3"/>
    <n v="4"/>
    <n v="276.92"/>
    <s v="SAVE10"/>
    <n v="27.69"/>
    <n v="0"/>
    <n v="19.940000000000001"/>
    <n v="269.17"/>
    <x v="0"/>
    <x v="5"/>
    <x v="2"/>
    <s v="2024-06-04"/>
    <n v="0"/>
    <x v="3"/>
    <s v="Q2"/>
    <n v="249.23000000000002"/>
  </r>
  <r>
    <s v="#ORD-10194"/>
    <s v="2024-06-20"/>
    <s v="13:05:49"/>
    <s v="Abigail Moore"/>
    <s v="abigail.moore54@yahoo.com"/>
    <s v="+1-613-238-9589"/>
    <s v="Portland"/>
    <s v="OR"/>
    <s v="United States"/>
    <s v="Denim Jacket x1"/>
    <x v="1"/>
    <n v="1"/>
    <n v="64.989999999999995"/>
    <s v="SUMMER20"/>
    <n v="13"/>
    <n v="7.99"/>
    <n v="3.12"/>
    <n v="63.1"/>
    <x v="5"/>
    <x v="3"/>
    <x v="2"/>
    <s v="2024-06-25"/>
    <n v="0"/>
    <x v="3"/>
    <s v="Q2"/>
    <n v="51.989999999999995"/>
  </r>
  <r>
    <s v="#ORD-10195"/>
    <s v="2024-01-23"/>
    <s v="09:07:38"/>
    <s v="Chloe Johnson"/>
    <s v="chloe.johnson25@yahoo.com"/>
    <s v="+1-850-226-1500"/>
    <s v="Philadelphia"/>
    <s v="PA"/>
    <s v="United States"/>
    <s v="Organic Green Tea 100ct x1"/>
    <x v="9"/>
    <n v="1"/>
    <n v="14.99"/>
    <s v="SAVE10"/>
    <n v="1.5"/>
    <n v="5.99"/>
    <n v="1.08"/>
    <n v="20.56"/>
    <x v="5"/>
    <x v="5"/>
    <x v="4"/>
    <m/>
    <n v="0"/>
    <x v="6"/>
    <s v="Q1"/>
    <n v="13.49"/>
  </r>
  <r>
    <s v="#ORD-10196"/>
    <s v="2024-12-04"/>
    <s v="01:28:07"/>
    <s v="Oliver White"/>
    <s v="oliver.white77@gmail.com"/>
    <s v="+1-250-266-4511"/>
    <s v="Indianapolis"/>
    <s v="IN"/>
    <s v="United States"/>
    <s v="Coffee Maker Programmable x1 | Insulated Water Bottle 32oz x2"/>
    <x v="6"/>
    <n v="2"/>
    <n v="110.97"/>
    <s v="SAVE10"/>
    <n v="11.1"/>
    <n v="0"/>
    <n v="9.99"/>
    <n v="109.86"/>
    <x v="4"/>
    <x v="3"/>
    <x v="2"/>
    <s v="2024-12-08"/>
    <n v="0"/>
    <x v="1"/>
    <s v="Q4"/>
    <n v="99.87"/>
  </r>
  <r>
    <s v="#ORD-10197"/>
    <s v="2024-06-08"/>
    <s v="00:53:01"/>
    <s v="Amelia Anderson"/>
    <s v="amelia.anderson27@gmail.com"/>
    <s v="+1-458-722-6004"/>
    <s v="El Paso"/>
    <s v="TX"/>
    <s v="United States"/>
    <s v="Canvas Backpack 25L x3 | Classic Fit Polo Shirt x1"/>
    <x v="2"/>
    <n v="2"/>
    <n v="199.96"/>
    <s v="SUMMER20"/>
    <n v="39.99"/>
    <n v="0"/>
    <n v="11.2"/>
    <n v="171.17"/>
    <x v="1"/>
    <x v="0"/>
    <x v="2"/>
    <s v="2024-06-10"/>
    <n v="0"/>
    <x v="3"/>
    <s v="Q2"/>
    <n v="159.97"/>
  </r>
  <r>
    <s v="#ORD-10198"/>
    <s v="2024-03-25"/>
    <s v="17:51:20"/>
    <s v="Elijah Lewis"/>
    <s v="elijah.lewis49@yahoo.com"/>
    <s v="+1-862-708-5631"/>
    <s v="Albuquerque"/>
    <s v="NM"/>
    <s v="United States"/>
    <s v="Anti-Aging Serum 1oz x2 | Air Fryer 5.8Qt x1"/>
    <x v="0"/>
    <n v="2"/>
    <n v="179.97"/>
    <s v="None"/>
    <n v="0"/>
    <n v="0"/>
    <n v="10.8"/>
    <n v="190.77"/>
    <x v="5"/>
    <x v="0"/>
    <x v="1"/>
    <s v="2024-03-30"/>
    <n v="0"/>
    <x v="9"/>
    <s v="Q1"/>
    <n v="179.97"/>
  </r>
  <r>
    <s v="#ORD-10199"/>
    <s v="2024-04-17"/>
    <s v="09:00:38"/>
    <s v="Aiden Miller"/>
    <s v="aiden.miller9@gmail.com"/>
    <s v="+1-613-776-6236"/>
    <s v="Indianapolis"/>
    <s v="IN"/>
    <s v="United States"/>
    <s v="Canvas Backpack 25L x1 | Hiking Boots x2"/>
    <x v="2"/>
    <n v="2"/>
    <n v="274.97000000000003"/>
    <s v="SAVE10"/>
    <n v="27.5"/>
    <n v="0"/>
    <n v="17.32"/>
    <n v="264.79000000000002"/>
    <x v="0"/>
    <x v="4"/>
    <x v="2"/>
    <s v="2024-04-22"/>
    <n v="0"/>
    <x v="10"/>
    <s v="Q2"/>
    <n v="247.47000000000003"/>
  </r>
  <r>
    <s v="#ORD-10200"/>
    <s v="2024-06-11"/>
    <s v="13:18:53"/>
    <s v="Isabella Johnson"/>
    <s v="isabella.johnson64@yahoo.com"/>
    <s v="+1-887-467-9311"/>
    <s v="Oklahoma City"/>
    <s v="OK"/>
    <s v="United States"/>
    <s v="Men's Grooming Kit x1"/>
    <x v="0"/>
    <n v="1"/>
    <n v="35.99"/>
    <s v="LOYALTY5"/>
    <n v="1.8"/>
    <n v="5.99"/>
    <n v="2.74"/>
    <n v="42.92"/>
    <x v="1"/>
    <x v="3"/>
    <x v="0"/>
    <s v="2024-06-15"/>
    <n v="42.92"/>
    <x v="3"/>
    <s v="Q2"/>
    <n v="34.190000000000005"/>
  </r>
  <r>
    <s v="#ORD-10201"/>
    <s v="2024-02-07"/>
    <s v="21:43:35"/>
    <s v="Aiden Hernandez"/>
    <s v="aiden.hernandez85@yahoo.com"/>
    <s v="+1-428-862-6031"/>
    <s v="Baltimore"/>
    <s v="MD"/>
    <s v="United States"/>
    <s v="Men's Grooming Kit x2 | Hiking Boots x1"/>
    <x v="0"/>
    <n v="2"/>
    <n v="181.97"/>
    <s v="None"/>
    <n v="0"/>
    <n v="0"/>
    <n v="18.2"/>
    <n v="200.17"/>
    <x v="4"/>
    <x v="0"/>
    <x v="2"/>
    <s v="2024-02-10"/>
    <n v="0"/>
    <x v="0"/>
    <s v="Q1"/>
    <n v="181.97"/>
  </r>
  <r>
    <s v="#ORD-10202"/>
    <s v="2024-02-15"/>
    <s v="17:48:10"/>
    <s v="Sofia Perez"/>
    <s v="sofia.perez34@yahoo.com"/>
    <s v="+1-742-405-7768"/>
    <s v="Jacksonville"/>
    <s v="FL"/>
    <s v="United States"/>
    <s v="Canvas Backpack 25L x1 | Essential Oil Diffuser x3"/>
    <x v="2"/>
    <n v="2"/>
    <n v="153.96"/>
    <s v="None"/>
    <n v="0"/>
    <n v="0"/>
    <n v="13.09"/>
    <n v="167.05"/>
    <x v="4"/>
    <x v="5"/>
    <x v="4"/>
    <m/>
    <n v="0"/>
    <x v="0"/>
    <s v="Q1"/>
    <n v="153.96"/>
  </r>
  <r>
    <s v="#ORD-10203"/>
    <s v="2024-08-09"/>
    <s v="03:13:33"/>
    <s v="Noah Martinez"/>
    <s v="noah.martinez26@gmail.com"/>
    <s v="+1-979-892-3762"/>
    <s v="Phoenix"/>
    <s v="AZ"/>
    <s v="United States"/>
    <s v="Organic Green Tea 100ct x2 | Mechanical Keyboard x2 | Resistance Band Set x1 | Canvas Backpack 25L x1"/>
    <x v="9"/>
    <n v="4"/>
    <n v="349.94"/>
    <s v="None"/>
    <n v="0"/>
    <n v="0"/>
    <n v="28"/>
    <n v="377.94"/>
    <x v="1"/>
    <x v="3"/>
    <x v="2"/>
    <s v="2024-08-11"/>
    <n v="0"/>
    <x v="5"/>
    <s v="Q3"/>
    <n v="349.94"/>
  </r>
  <r>
    <s v="#ORD-10204"/>
    <s v="2024-06-17"/>
    <s v="10:29:00"/>
    <s v="Chloe Hernandez"/>
    <s v="chloe.hernandez98@yahoo.com"/>
    <s v="+1-975-953-9700"/>
    <s v="Indianapolis"/>
    <s v="IN"/>
    <s v="United States"/>
    <s v="Protein Powder Chocolate 2lb x3 | Multivitamin Daily Pack x1"/>
    <x v="8"/>
    <n v="2"/>
    <n v="154.96"/>
    <s v="None"/>
    <n v="0"/>
    <n v="0"/>
    <n v="13.95"/>
    <n v="168.91"/>
    <x v="0"/>
    <x v="3"/>
    <x v="2"/>
    <s v="2024-06-20"/>
    <n v="0"/>
    <x v="3"/>
    <s v="Q2"/>
    <n v="154.96"/>
  </r>
  <r>
    <s v="#ORD-10205"/>
    <s v="2024-09-26"/>
    <s v="08:07:08"/>
    <s v="Charlotte Johnson"/>
    <s v="charlotte.johnson1@yahoo.com"/>
    <s v="+1-736-445-8105"/>
    <s v="El Paso"/>
    <s v="TX"/>
    <s v="United States"/>
    <s v="Yoga Mat Premium x1 | Mechanical Keyboard x1 | Smart LED Desk Lamp x1"/>
    <x v="3"/>
    <n v="3"/>
    <n v="194.97"/>
    <s v="None"/>
    <n v="0"/>
    <n v="0"/>
    <n v="15.6"/>
    <n v="210.57"/>
    <x v="2"/>
    <x v="5"/>
    <x v="0"/>
    <s v="2024-10-01"/>
    <n v="210.57"/>
    <x v="11"/>
    <s v="Q3"/>
    <n v="194.97"/>
  </r>
  <r>
    <s v="#ORD-10206"/>
    <s v="2024-03-14"/>
    <s v="04:15:28"/>
    <s v="Isabella Perez"/>
    <s v="isabella.perez63@gmail.com"/>
    <s v="+1-803-616-3768"/>
    <s v="Albuquerque"/>
    <s v="NM"/>
    <s v="United States"/>
    <s v="Bamboo Sunglasses x2"/>
    <x v="2"/>
    <n v="1"/>
    <n v="49.98"/>
    <s v="WELCOME15"/>
    <n v="7.5"/>
    <n v="4.99"/>
    <n v="2.97"/>
    <n v="50.44"/>
    <x v="0"/>
    <x v="7"/>
    <x v="2"/>
    <s v="2024-03-15"/>
    <n v="0"/>
    <x v="9"/>
    <s v="Q1"/>
    <n v="42.48"/>
  </r>
  <r>
    <s v="#ORD-10207"/>
    <s v="2024-09-05"/>
    <s v="16:13:30"/>
    <s v="Mason White"/>
    <s v="mason.white84@yahoo.com"/>
    <s v="+1-626-554-7230"/>
    <s v="Boston"/>
    <s v="MA"/>
    <s v="United States"/>
    <s v="Coffee Maker Programmable x1"/>
    <x v="6"/>
    <n v="1"/>
    <n v="54.99"/>
    <s v="LOYALTY5"/>
    <n v="2.75"/>
    <n v="4.99"/>
    <n v="5.22"/>
    <n v="62.45"/>
    <x v="0"/>
    <x v="6"/>
    <x v="2"/>
    <s v="2024-09-06"/>
    <n v="0"/>
    <x v="11"/>
    <s v="Q3"/>
    <n v="52.24"/>
  </r>
  <r>
    <s v="#ORD-10208"/>
    <s v="2024-09-23"/>
    <s v="07:33:37"/>
    <s v="Mason Torres"/>
    <s v="mason.torres61@yahoo.com"/>
    <s v="+1-316-903-2741"/>
    <s v="Dallas"/>
    <s v="TX"/>
    <s v="United States"/>
    <s v="Yoga Mat Premium x1 | Multivitamin Daily Pack x1"/>
    <x v="3"/>
    <n v="2"/>
    <n v="54.98"/>
    <s v="SAVE10"/>
    <n v="5.5"/>
    <n v="5.99"/>
    <n v="4.21"/>
    <n v="59.68"/>
    <x v="4"/>
    <x v="3"/>
    <x v="2"/>
    <s v="2024-09-26"/>
    <n v="0"/>
    <x v="11"/>
    <s v="Q3"/>
    <n v="49.48"/>
  </r>
  <r>
    <s v="#ORD-10209"/>
    <s v="2024-03-19"/>
    <s v="07:43:49"/>
    <s v="Michael Gonzalez"/>
    <s v="michael.gonzalez26@outlook.com"/>
    <s v="+1-213-787-2458"/>
    <s v="Nashville"/>
    <s v="TN"/>
    <s v="United States"/>
    <s v="Multivitamin Daily Pack x1"/>
    <x v="8"/>
    <n v="1"/>
    <n v="19.989999999999998"/>
    <s v="None"/>
    <n v="0"/>
    <n v="9.99"/>
    <n v="1.4"/>
    <n v="31.38"/>
    <x v="1"/>
    <x v="5"/>
    <x v="2"/>
    <s v="2024-03-20"/>
    <n v="0"/>
    <x v="9"/>
    <s v="Q1"/>
    <n v="19.989999999999998"/>
  </r>
  <r>
    <s v="#ORD-10210"/>
    <s v="2024-02-04"/>
    <s v="23:37:52"/>
    <s v="Mason Nguyen"/>
    <s v="mason.nguyen64@gmail.com"/>
    <s v="+1-497-468-6123"/>
    <s v="El Paso"/>
    <s v="TX"/>
    <s v="United States"/>
    <s v="USB-C Fast Charger 65W x2 | Men's Grooming Kit x1 | Smart LED Desk Lamp x1"/>
    <x v="7"/>
    <n v="3"/>
    <n v="135.96"/>
    <s v="SAVE10"/>
    <n v="13.6"/>
    <n v="0"/>
    <n v="9.7899999999999991"/>
    <n v="132.15"/>
    <x v="5"/>
    <x v="3"/>
    <x v="2"/>
    <s v="2024-02-05"/>
    <n v="0"/>
    <x v="0"/>
    <s v="Q1"/>
    <n v="122.36000000000001"/>
  </r>
  <r>
    <s v="#ORD-10211"/>
    <s v="2024-02-23"/>
    <s v="17:55:46"/>
    <s v="Jack Davis"/>
    <s v="jack.davis98@yahoo.com"/>
    <s v="+1-316-510-7557"/>
    <s v="Houston"/>
    <s v="TX"/>
    <s v="United States"/>
    <s v="Running Shoes - Men's x1 | Resistance Band Set x1"/>
    <x v="5"/>
    <n v="2"/>
    <n v="99.98"/>
    <s v="LOYALTY5"/>
    <n v="5"/>
    <n v="0"/>
    <n v="7.6"/>
    <n v="102.58"/>
    <x v="4"/>
    <x v="3"/>
    <x v="1"/>
    <s v="2024-02-25"/>
    <n v="0"/>
    <x v="0"/>
    <s v="Q1"/>
    <n v="94.98"/>
  </r>
  <r>
    <s v="#ORD-10212"/>
    <s v="2024-06-12"/>
    <s v="18:54:00"/>
    <s v="Sebastian Moore"/>
    <s v="sebastian.moore50@yahoo.com"/>
    <s v="+1-782-794-8178"/>
    <s v="Baltimore"/>
    <s v="MD"/>
    <s v="United States"/>
    <s v="High-Waist Leggings x1 | Running Shoes - Men's x1"/>
    <x v="1"/>
    <n v="2"/>
    <n v="117.98"/>
    <s v="None"/>
    <n v="0"/>
    <n v="0"/>
    <n v="8.26"/>
    <n v="126.24"/>
    <x v="0"/>
    <x v="2"/>
    <x v="3"/>
    <m/>
    <n v="0"/>
    <x v="3"/>
    <s v="Q2"/>
    <n v="117.98"/>
  </r>
  <r>
    <s v="#ORD-10213"/>
    <s v="2024-12-07"/>
    <s v="17:43:50"/>
    <s v="Logan Green"/>
    <s v="logan.green46@outlook.com"/>
    <s v="+1-941-678-4669"/>
    <s v="Fort Worth"/>
    <s v="TX"/>
    <s v="United States"/>
    <s v="Leather Wallet Slim x3 | Mechanical Keyboard x1 | Stainless Steel Cookware Set x1"/>
    <x v="2"/>
    <n v="3"/>
    <n v="339.95"/>
    <s v="None"/>
    <n v="0"/>
    <n v="0"/>
    <n v="20.399999999999999"/>
    <n v="360.35"/>
    <x v="0"/>
    <x v="3"/>
    <x v="0"/>
    <s v="2024-12-12"/>
    <n v="360.35"/>
    <x v="1"/>
    <s v="Q4"/>
    <n v="339.95"/>
  </r>
  <r>
    <s v="#ORD-10214"/>
    <s v="2024-09-13"/>
    <s v="23:36:52"/>
    <s v="Muhammad Wright"/>
    <s v="muhammad.wright89@yahoo.com"/>
    <s v="+1-717-969-8688"/>
    <s v="San Francisco"/>
    <s v="CA"/>
    <s v="United States"/>
    <s v="Stainless Steel Cookware Set x1 | Insulated Water Bottle 32oz x1"/>
    <x v="6"/>
    <n v="2"/>
    <n v="157.97999999999999"/>
    <s v="None"/>
    <n v="0"/>
    <n v="0"/>
    <n v="14.22"/>
    <n v="172.2"/>
    <x v="4"/>
    <x v="0"/>
    <x v="2"/>
    <s v="2024-09-15"/>
    <n v="0"/>
    <x v="11"/>
    <s v="Q3"/>
    <n v="157.97999999999999"/>
  </r>
  <r>
    <s v="#ORD-10215"/>
    <s v="2024-04-03"/>
    <s v="13:16:28"/>
    <s v="Michael Hernandez"/>
    <s v="michael.hernandez97@gmail.com"/>
    <s v="+1-670-554-8341"/>
    <s v="Chicago"/>
    <s v="IL"/>
    <s v="United States"/>
    <s v="Hiking Boots x1"/>
    <x v="5"/>
    <n v="1"/>
    <n v="109.99"/>
    <s v="None"/>
    <n v="0"/>
    <n v="0"/>
    <n v="9.9"/>
    <n v="119.89"/>
    <x v="1"/>
    <x v="5"/>
    <x v="2"/>
    <s v="2024-04-04"/>
    <n v="0"/>
    <x v="10"/>
    <s v="Q2"/>
    <n v="109.99"/>
  </r>
  <r>
    <s v="#ORD-10216"/>
    <s v="2024-07-12"/>
    <s v="03:51:20"/>
    <s v="Ethan Allen"/>
    <s v="ethan.allen41@gmail.com"/>
    <s v="+1-411-770-8474"/>
    <s v="Charlotte"/>
    <s v="NC"/>
    <s v="United States"/>
    <s v="Wireless Noise-Cancelling Headphones x1 | Smart LED Desk Lamp x1 | Protein Powder Chocolate 2lb x1"/>
    <x v="7"/>
    <n v="3"/>
    <n v="174.97"/>
    <s v="None"/>
    <n v="0"/>
    <n v="0"/>
    <n v="15.75"/>
    <n v="190.72"/>
    <x v="7"/>
    <x v="0"/>
    <x v="0"/>
    <s v="2024-07-17"/>
    <n v="190.72"/>
    <x v="2"/>
    <s v="Q3"/>
    <n v="174.97"/>
  </r>
  <r>
    <s v="#ORD-10217"/>
    <s v="2024-05-08"/>
    <s v="22:12:32"/>
    <s v="Muhammad White"/>
    <s v="muhammad.white7@outlook.com"/>
    <s v="+1-563-949-5783"/>
    <s v="Baltimore"/>
    <s v="MD"/>
    <s v="United States"/>
    <s v="Scented Soy Candle Set x2 | Stainless Steel Cookware Set x1"/>
    <x v="4"/>
    <n v="2"/>
    <n v="175.97"/>
    <s v="SUMMER20"/>
    <n v="35.19"/>
    <n v="0"/>
    <n v="8.4499999999999993"/>
    <n v="149.22999999999999"/>
    <x v="0"/>
    <x v="0"/>
    <x v="2"/>
    <s v="2024-05-11"/>
    <n v="0"/>
    <x v="4"/>
    <s v="Q2"/>
    <n v="140.78"/>
  </r>
  <r>
    <s v="#ORD-10218"/>
    <s v="2024-12-14"/>
    <s v="07:30:02"/>
    <s v="William Wright"/>
    <s v="william.wright90@gmail.com"/>
    <s v="+1-420-568-4122"/>
    <s v="Jacksonville"/>
    <s v="FL"/>
    <s v="United States"/>
    <s v="Mechanical Keyboard x2"/>
    <x v="7"/>
    <n v="1"/>
    <n v="239.98"/>
    <s v="WELCOME15"/>
    <n v="36"/>
    <n v="0"/>
    <n v="12.24"/>
    <n v="216.22"/>
    <x v="0"/>
    <x v="3"/>
    <x v="2"/>
    <s v="2024-12-18"/>
    <n v="0"/>
    <x v="1"/>
    <s v="Q4"/>
    <n v="203.98"/>
  </r>
  <r>
    <s v="#ORD-10219"/>
    <s v="2024-09-02"/>
    <s v="22:13:44"/>
    <s v="Muhammad Miller"/>
    <s v="muhammad.miller54@gmail.com"/>
    <s v="+1-643-958-8912"/>
    <s v="Memphis"/>
    <s v="TN"/>
    <s v="United States"/>
    <s v="Linen Throw Blanket x2 | Smart LED Desk Lamp x1 | Classic Fit Polo Shirt x1"/>
    <x v="4"/>
    <n v="3"/>
    <n v="154.96"/>
    <s v="FLASH25"/>
    <n v="38.74"/>
    <n v="0"/>
    <n v="8.14"/>
    <n v="124.36"/>
    <x v="7"/>
    <x v="3"/>
    <x v="2"/>
    <s v="2024-09-07"/>
    <n v="0"/>
    <x v="11"/>
    <s v="Q3"/>
    <n v="116.22"/>
  </r>
  <r>
    <s v="#ORD-10220"/>
    <s v="2024-11-12"/>
    <s v="14:37:34"/>
    <s v="Scarlett Lopez"/>
    <s v="scarlett.lopez75@gmail.com"/>
    <s v="+1-607-451-5819"/>
    <s v="Boston"/>
    <s v="MA"/>
    <s v="United States"/>
    <s v="Protein Powder Chocolate 2lb x1"/>
    <x v="8"/>
    <n v="1"/>
    <n v="44.99"/>
    <s v="LOYALTY5"/>
    <n v="2.25"/>
    <n v="7.99"/>
    <n v="3.85"/>
    <n v="54.58"/>
    <x v="4"/>
    <x v="5"/>
    <x v="2"/>
    <s v="2024-11-15"/>
    <n v="0"/>
    <x v="8"/>
    <s v="Q4"/>
    <n v="42.74"/>
  </r>
  <r>
    <s v="#ORD-10221"/>
    <s v="2024-07-17"/>
    <s v="22:55:55"/>
    <s v="Avery Rodriguez"/>
    <s v="avery.rodriguez53@outlook.com"/>
    <s v="+1-927-765-3913"/>
    <s v="Phoenix"/>
    <s v="AZ"/>
    <s v="United States"/>
    <s v="Sunscreen SPF 50 Face x1"/>
    <x v="0"/>
    <n v="1"/>
    <n v="18.989999999999998"/>
    <s v="SAVE10"/>
    <n v="1.9"/>
    <n v="5.99"/>
    <n v="1.2"/>
    <n v="24.28"/>
    <x v="0"/>
    <x v="4"/>
    <x v="1"/>
    <s v="2024-07-19"/>
    <n v="0"/>
    <x v="2"/>
    <s v="Q3"/>
    <n v="17.09"/>
  </r>
  <r>
    <s v="#ORD-10222"/>
    <s v="2024-02-14"/>
    <s v="19:39:17"/>
    <s v="Scarlett Scott"/>
    <s v="scarlett.scott82@gmail.com"/>
    <s v="+1-309-125-7240"/>
    <s v="Boston"/>
    <s v="MA"/>
    <s v="United States"/>
    <s v="Coffee Maker Programmable x1 | Stainless Steel Cookware Set x1 | Linen Throw Blanket x1"/>
    <x v="6"/>
    <n v="3"/>
    <n v="224.97"/>
    <s v="FLASH25"/>
    <n v="56.24"/>
    <n v="0"/>
    <n v="13.5"/>
    <n v="182.23"/>
    <x v="4"/>
    <x v="5"/>
    <x v="2"/>
    <s v="2024-02-19"/>
    <n v="0"/>
    <x v="0"/>
    <s v="Q1"/>
    <n v="168.73"/>
  </r>
  <r>
    <s v="#ORD-10223"/>
    <s v="2024-10-18"/>
    <s v="08:13:52"/>
    <s v="James Brown"/>
    <s v="james.brown8@gmail.com"/>
    <s v="+1-891-857-4675"/>
    <s v="El Paso"/>
    <s v="TX"/>
    <s v="United States"/>
    <s v="Yoga Mat Premium x1 | Anti-Aging Serum 1oz x1 | Hiking Boots x2"/>
    <x v="3"/>
    <n v="3"/>
    <n v="304.95999999999998"/>
    <s v="None"/>
    <n v="0"/>
    <n v="0"/>
    <n v="27.45"/>
    <n v="332.41"/>
    <x v="0"/>
    <x v="6"/>
    <x v="2"/>
    <s v="2024-10-23"/>
    <n v="0"/>
    <x v="7"/>
    <s v="Q4"/>
    <n v="304.95999999999998"/>
  </r>
  <r>
    <s v="#ORD-10224"/>
    <s v="2024-04-21"/>
    <s v="16:59:11"/>
    <s v="William Harris"/>
    <s v="william.harris66@outlook.com"/>
    <s v="+1-430-748-7025"/>
    <s v="San Diego"/>
    <s v="CA"/>
    <s v="United States"/>
    <s v="Portable Bluetooth Speaker x1 | Bamboo Sunglasses x1"/>
    <x v="7"/>
    <n v="2"/>
    <n v="74.98"/>
    <s v="SAVE10"/>
    <n v="7.5"/>
    <n v="4.99"/>
    <n v="4.05"/>
    <n v="76.52"/>
    <x v="6"/>
    <x v="3"/>
    <x v="3"/>
    <m/>
    <n v="0"/>
    <x v="10"/>
    <s v="Q2"/>
    <n v="67.48"/>
  </r>
  <r>
    <s v="#ORD-10225"/>
    <s v="2024-10-08"/>
    <s v="12:41:34"/>
    <s v="Daniel Scott"/>
    <s v="daniel.scott78@gmail.com"/>
    <s v="+1-538-577-3536"/>
    <s v="Portland"/>
    <s v="OR"/>
    <s v="United States"/>
    <s v="Yoga Mat Premium x1 | Organic Green Tea 100ct x1 | Running Shoes - Men's x1 | Anti-Aging Serum 1oz x1 | USB-C Fast Charger 65W x1"/>
    <x v="3"/>
    <n v="5"/>
    <n v="204.95"/>
    <s v="FLASH25"/>
    <n v="51.24"/>
    <n v="0"/>
    <n v="12.3"/>
    <n v="166.01"/>
    <x v="0"/>
    <x v="0"/>
    <x v="2"/>
    <s v="2024-10-09"/>
    <n v="0"/>
    <x v="7"/>
    <s v="Q4"/>
    <n v="153.70999999999998"/>
  </r>
  <r>
    <s v="#ORD-10226"/>
    <s v="2024-08-30"/>
    <s v="20:50:23"/>
    <s v="Olivia Martinez"/>
    <s v="olivia.martinez42@outlook.com"/>
    <s v="+1-733-169-9276"/>
    <s v="Tucson"/>
    <s v="AZ"/>
    <s v="United States"/>
    <s v="Anti-Aging Serum 1oz x1 | Yoga Mat Premium x1"/>
    <x v="0"/>
    <n v="2"/>
    <n v="84.98"/>
    <s v="SAVE10"/>
    <n v="8.5"/>
    <n v="0"/>
    <n v="4.59"/>
    <n v="81.069999999999993"/>
    <x v="6"/>
    <x v="3"/>
    <x v="2"/>
    <s v="2024-09-01"/>
    <n v="0"/>
    <x v="5"/>
    <s v="Q3"/>
    <n v="76.48"/>
  </r>
  <r>
    <s v="#ORD-10227"/>
    <s v="2024-05-15"/>
    <s v="16:40:17"/>
    <s v="Mia Clark"/>
    <s v="mia.clark69@gmail.com"/>
    <s v="+1-774-943-1144"/>
    <s v="Seattle"/>
    <s v="WA"/>
    <s v="United States"/>
    <s v="Running Shoes - Women's x1"/>
    <x v="5"/>
    <n v="1"/>
    <n v="69.989999999999995"/>
    <s v="SAVE10"/>
    <n v="7"/>
    <n v="7.99"/>
    <n v="5.04"/>
    <n v="76.02"/>
    <x v="0"/>
    <x v="4"/>
    <x v="0"/>
    <s v="2024-05-19"/>
    <n v="76.02"/>
    <x v="4"/>
    <s v="Q2"/>
    <n v="62.989999999999995"/>
  </r>
  <r>
    <s v="#ORD-10228"/>
    <s v="2024-08-29"/>
    <s v="05:22:01"/>
    <s v="Mason Thompson"/>
    <s v="mason.thompson31@outlook.com"/>
    <s v="+1-729-941-7143"/>
    <s v="Charlotte"/>
    <s v="NC"/>
    <s v="United States"/>
    <s v="Portable Bluetooth Speaker x1"/>
    <x v="7"/>
    <n v="1"/>
    <n v="49.99"/>
    <s v="SAVE10"/>
    <n v="5"/>
    <n v="9.99"/>
    <n v="2.7"/>
    <n v="57.68"/>
    <x v="5"/>
    <x v="5"/>
    <x v="2"/>
    <s v="2024-08-30"/>
    <n v="0"/>
    <x v="5"/>
    <s v="Q3"/>
    <n v="44.99"/>
  </r>
  <r>
    <s v="#ORD-10229"/>
    <s v="2024-12-14"/>
    <s v="20:35:29"/>
    <s v="Scarlett King"/>
    <s v="scarlett.king63@gmail.com"/>
    <s v="+1-306-310-9810"/>
    <s v="Charlotte"/>
    <s v="NC"/>
    <s v="United States"/>
    <s v="Resistance Band Set x1 | Air Fryer 5.8Qt x1"/>
    <x v="3"/>
    <n v="2"/>
    <n v="104.98"/>
    <s v="FLASH25"/>
    <n v="26.24"/>
    <n v="0"/>
    <n v="7.09"/>
    <n v="85.83"/>
    <x v="0"/>
    <x v="3"/>
    <x v="2"/>
    <s v="2024-12-18"/>
    <n v="0"/>
    <x v="1"/>
    <s v="Q4"/>
    <n v="78.740000000000009"/>
  </r>
  <r>
    <s v="#ORD-10230"/>
    <s v="2024-06-27"/>
    <s v="08:17:21"/>
    <s v="Jack Jones"/>
    <s v="jack.jones88@gmail.com"/>
    <s v="+1-597-561-7626"/>
    <s v="Portland"/>
    <s v="OR"/>
    <s v="United States"/>
    <s v="Portable Bluetooth Speaker x1 | USB-C Fast Charger 65W x1"/>
    <x v="7"/>
    <n v="2"/>
    <n v="79.98"/>
    <s v="SAVE10"/>
    <n v="8"/>
    <n v="0"/>
    <n v="6.48"/>
    <n v="78.459999999999994"/>
    <x v="0"/>
    <x v="6"/>
    <x v="2"/>
    <s v="2024-07-01"/>
    <n v="0"/>
    <x v="3"/>
    <s v="Q2"/>
    <n v="71.98"/>
  </r>
  <r>
    <s v="#ORD-10231"/>
    <s v="2024-09-06"/>
    <s v="02:29:35"/>
    <s v="Jack Lee"/>
    <s v="jack.lee50@outlook.com"/>
    <s v="+1-288-388-8170"/>
    <s v="New York"/>
    <s v="NY"/>
    <s v="United States"/>
    <s v="USB-C Fast Charger 65W x2 | Classic Fit Polo Shirt x1"/>
    <x v="7"/>
    <n v="2"/>
    <n v="94.97"/>
    <s v="None"/>
    <n v="0"/>
    <n v="0"/>
    <n v="7.6"/>
    <n v="102.57"/>
    <x v="2"/>
    <x v="3"/>
    <x v="2"/>
    <s v="2024-09-11"/>
    <n v="0"/>
    <x v="11"/>
    <s v="Q3"/>
    <n v="94.97"/>
  </r>
  <r>
    <s v="#ORD-10232"/>
    <s v="2024-03-01"/>
    <s v="17:02:25"/>
    <s v="Elizabeth Sanchez"/>
    <s v="elizabeth.sanchez85@gmail.com"/>
    <s v="+1-766-995-3316"/>
    <s v="Baltimore"/>
    <s v="MD"/>
    <s v="United States"/>
    <s v="Mechanical Keyboard x1 | Men's Grooming Kit x2"/>
    <x v="7"/>
    <n v="2"/>
    <n v="191.97"/>
    <s v="FLASH25"/>
    <n v="47.99"/>
    <n v="0"/>
    <n v="11.52"/>
    <n v="155.5"/>
    <x v="7"/>
    <x v="3"/>
    <x v="1"/>
    <s v="2024-03-02"/>
    <n v="0"/>
    <x v="9"/>
    <s v="Q1"/>
    <n v="143.97999999999999"/>
  </r>
  <r>
    <s v="#ORD-10233"/>
    <s v="2024-02-03"/>
    <s v="01:26:23"/>
    <s v="Mason Williams"/>
    <s v="mason.williams74@outlook.com"/>
    <s v="+1-388-326-5140"/>
    <s v="New York"/>
    <s v="NY"/>
    <s v="United States"/>
    <s v="Men's Grooming Kit x2"/>
    <x v="0"/>
    <n v="1"/>
    <n v="71.98"/>
    <s v="SAVE10"/>
    <n v="7.2"/>
    <n v="5.99"/>
    <n v="5.51"/>
    <n v="76.28"/>
    <x v="2"/>
    <x v="2"/>
    <x v="2"/>
    <s v="2024-02-05"/>
    <n v="0"/>
    <x v="0"/>
    <s v="Q1"/>
    <n v="64.78"/>
  </r>
  <r>
    <s v="#ORD-10234"/>
    <s v="2024-11-26"/>
    <s v="15:30:31"/>
    <s v="Charlotte Davis"/>
    <s v="charlotte.davis86@outlook.com"/>
    <s v="+1-331-787-4842"/>
    <s v="Philadelphia"/>
    <s v="PA"/>
    <s v="United States"/>
    <s v="Coffee Maker Programmable x1 | Organic Green Tea 100ct x1 | Essential Oil Diffuser x1"/>
    <x v="6"/>
    <n v="3"/>
    <n v="102.97"/>
    <s v="None"/>
    <n v="0"/>
    <n v="0"/>
    <n v="7.21"/>
    <n v="110.18"/>
    <x v="1"/>
    <x v="5"/>
    <x v="1"/>
    <s v="2024-11-29"/>
    <n v="0"/>
    <x v="8"/>
    <s v="Q4"/>
    <n v="102.97"/>
  </r>
  <r>
    <s v="#ORD-10235"/>
    <s v="2024-06-24"/>
    <s v="00:19:29"/>
    <s v="Sophia Jackson"/>
    <s v="sophia.jackson9@yahoo.com"/>
    <s v="+1-372-104-6131"/>
    <s v="Nashville"/>
    <s v="TN"/>
    <s v="United States"/>
    <s v="Anti-Aging Serum 1oz x1"/>
    <x v="0"/>
    <n v="1"/>
    <n v="49.99"/>
    <s v="LOYALTY5"/>
    <n v="2.5"/>
    <n v="5.99"/>
    <n v="4.2699999999999996"/>
    <n v="57.75"/>
    <x v="1"/>
    <x v="6"/>
    <x v="4"/>
    <m/>
    <n v="0"/>
    <x v="3"/>
    <s v="Q2"/>
    <n v="47.49"/>
  </r>
  <r>
    <s v="#ORD-10236"/>
    <s v="2024-05-19"/>
    <s v="14:39:08"/>
    <s v="Oliver Anderson"/>
    <s v="oliver.anderson95@yahoo.com"/>
    <s v="+1-379-761-2343"/>
    <s v="Boston"/>
    <s v="MA"/>
    <s v="United States"/>
    <s v="Men's Grooming Kit x1"/>
    <x v="0"/>
    <n v="1"/>
    <n v="35.99"/>
    <s v="SUMMER20"/>
    <n v="7.2"/>
    <n v="9.99"/>
    <n v="2.4500000000000002"/>
    <n v="41.23"/>
    <x v="5"/>
    <x v="3"/>
    <x v="0"/>
    <s v="2024-05-20"/>
    <n v="41.23"/>
    <x v="4"/>
    <s v="Q2"/>
    <n v="28.790000000000003"/>
  </r>
  <r>
    <s v="#ORD-10237"/>
    <s v="2024-10-11"/>
    <s v="21:07:52"/>
    <s v="Elijah Rodriguez"/>
    <s v="elijah.rodriguez69@gmail.com"/>
    <s v="+1-683-769-3435"/>
    <s v="Albuquerque"/>
    <s v="NM"/>
    <s v="United States"/>
    <s v="USB-C Fast Charger 65W x2 | Men's Grooming Kit x1 | Leather Wallet Slim x2 | Wireless Noise-Cancelling Headphones x1"/>
    <x v="7"/>
    <n v="4"/>
    <n v="245.94"/>
    <s v="LOYALTY5"/>
    <n v="12.3"/>
    <n v="0"/>
    <n v="16.350000000000001"/>
    <n v="249.99"/>
    <x v="2"/>
    <x v="0"/>
    <x v="0"/>
    <s v="2024-10-16"/>
    <n v="249.99"/>
    <x v="7"/>
    <s v="Q4"/>
    <n v="233.64"/>
  </r>
  <r>
    <s v="#ORD-10238"/>
    <s v="2024-02-21"/>
    <s v="23:51:49"/>
    <s v="Alexander Sanchez"/>
    <s v="alexander.sanchez99@outlook.com"/>
    <s v="+1-363-283-3395"/>
    <s v="San Diego"/>
    <s v="CA"/>
    <s v="United States"/>
    <s v="Air Fryer 5.8Qt x1 | USB-C Fast Charger 65W x1"/>
    <x v="6"/>
    <n v="2"/>
    <n v="109.98"/>
    <s v="None"/>
    <n v="0"/>
    <n v="0"/>
    <n v="9.9"/>
    <n v="119.88"/>
    <x v="1"/>
    <x v="4"/>
    <x v="2"/>
    <s v="2024-02-25"/>
    <n v="0"/>
    <x v="0"/>
    <s v="Q1"/>
    <n v="109.98"/>
  </r>
  <r>
    <s v="#ORD-10239"/>
    <s v="2024-04-12"/>
    <s v="15:59:12"/>
    <s v="Ella Thompson"/>
    <s v="ella.thompson29@yahoo.com"/>
    <s v="+1-864-431-2691"/>
    <s v="Los Angeles"/>
    <s v="CA"/>
    <s v="United States"/>
    <s v="Portable Bluetooth Speaker x1"/>
    <x v="7"/>
    <n v="1"/>
    <n v="49.99"/>
    <s v="FLASH25"/>
    <n v="12.5"/>
    <n v="7.99"/>
    <n v="3.19"/>
    <n v="48.67"/>
    <x v="5"/>
    <x v="5"/>
    <x v="2"/>
    <s v="2024-04-13"/>
    <n v="0"/>
    <x v="10"/>
    <s v="Q2"/>
    <n v="37.49"/>
  </r>
  <r>
    <s v="#ORD-10240"/>
    <s v="2024-07-30"/>
    <s v="09:42:37"/>
    <s v="Owen Moore"/>
    <s v="owen.moore95@gmail.com"/>
    <s v="+1-615-461-6653"/>
    <s v="Baltimore"/>
    <s v="MD"/>
    <s v="United States"/>
    <s v="Protein Powder Chocolate 2lb x1 | Essential Oil Diffuser x1"/>
    <x v="8"/>
    <n v="2"/>
    <n v="77.98"/>
    <s v="None"/>
    <n v="0"/>
    <n v="0"/>
    <n v="7.02"/>
    <n v="85"/>
    <x v="0"/>
    <x v="7"/>
    <x v="2"/>
    <s v="2024-08-04"/>
    <n v="0"/>
    <x v="2"/>
    <s v="Q3"/>
    <n v="77.98"/>
  </r>
  <r>
    <s v="#ORD-10241"/>
    <s v="2024-12-08"/>
    <s v="13:09:18"/>
    <s v="Michael Young"/>
    <s v="michael.young78@gmail.com"/>
    <s v="+1-624-930-6410"/>
    <s v="Albuquerque"/>
    <s v="NM"/>
    <s v="United States"/>
    <s v="Running Shoes - Men's x1"/>
    <x v="5"/>
    <n v="1"/>
    <n v="74.989999999999995"/>
    <s v="FLASH25"/>
    <n v="18.75"/>
    <n v="7.99"/>
    <n v="3.94"/>
    <n v="68.17"/>
    <x v="0"/>
    <x v="3"/>
    <x v="2"/>
    <s v="2024-12-10"/>
    <n v="0"/>
    <x v="1"/>
    <s v="Q4"/>
    <n v="56.239999999999995"/>
  </r>
  <r>
    <s v="#ORD-10242"/>
    <s v="2024-08-17"/>
    <s v="10:34:13"/>
    <s v="Mason Young"/>
    <s v="mason.young62@gmail.com"/>
    <s v="+1-786-250-1916"/>
    <s v="El Paso"/>
    <s v="TX"/>
    <s v="United States"/>
    <s v="Denim Jacket x1"/>
    <x v="1"/>
    <n v="1"/>
    <n v="64.989999999999995"/>
    <s v="None"/>
    <n v="0"/>
    <n v="4.99"/>
    <n v="4.55"/>
    <n v="74.53"/>
    <x v="1"/>
    <x v="3"/>
    <x v="0"/>
    <s v="2024-08-18"/>
    <n v="74.53"/>
    <x v="5"/>
    <s v="Q3"/>
    <n v="64.989999999999995"/>
  </r>
  <r>
    <s v="#ORD-10243"/>
    <s v="2024-08-06"/>
    <s v="21:10:35"/>
    <s v="Mia Taylor"/>
    <s v="mia.taylor24@yahoo.com"/>
    <s v="+1-374-324-7730"/>
    <s v="Tucson"/>
    <s v="AZ"/>
    <s v="United States"/>
    <s v="Leather Wallet Slim x2 | Men's Grooming Kit x2"/>
    <x v="2"/>
    <n v="2"/>
    <n v="131.96"/>
    <s v="None"/>
    <n v="0"/>
    <n v="0"/>
    <n v="9.24"/>
    <n v="141.19999999999999"/>
    <x v="5"/>
    <x v="7"/>
    <x v="3"/>
    <m/>
    <n v="0"/>
    <x v="5"/>
    <s v="Q3"/>
    <n v="131.96"/>
  </r>
  <r>
    <s v="#ORD-10244"/>
    <s v="2024-09-13"/>
    <s v="04:22:19"/>
    <s v="Victoria Martinez"/>
    <s v="victoria.martinez75@yahoo.com"/>
    <s v="+1-216-307-9564"/>
    <s v="Louisville"/>
    <s v="KY"/>
    <s v="United States"/>
    <s v="Running Shoes - Men's x1 | Men's Grooming Kit x3"/>
    <x v="5"/>
    <n v="2"/>
    <n v="182.96"/>
    <s v="LOYALTY5"/>
    <n v="9.15"/>
    <n v="0"/>
    <n v="15.64"/>
    <n v="189.45"/>
    <x v="0"/>
    <x v="3"/>
    <x v="2"/>
    <s v="2024-09-14"/>
    <n v="0"/>
    <x v="11"/>
    <s v="Q3"/>
    <n v="173.81"/>
  </r>
  <r>
    <s v="#ORD-10245"/>
    <s v="2024-12-16"/>
    <s v="03:35:51"/>
    <s v="Scarlett Clark"/>
    <s v="scarlett.clark20@yahoo.com"/>
    <s v="+1-993-794-8069"/>
    <s v="Baltimore"/>
    <s v="MD"/>
    <s v="United States"/>
    <s v="Portable Bluetooth Speaker x2 | Leather Wallet Slim x1"/>
    <x v="7"/>
    <n v="2"/>
    <n v="129.97"/>
    <s v="None"/>
    <n v="0"/>
    <n v="0"/>
    <n v="7.8"/>
    <n v="137.77000000000001"/>
    <x v="5"/>
    <x v="3"/>
    <x v="0"/>
    <s v="2024-12-17"/>
    <n v="137.77000000000001"/>
    <x v="1"/>
    <s v="Q4"/>
    <n v="129.97"/>
  </r>
  <r>
    <s v="#ORD-10246"/>
    <s v="2024-12-30"/>
    <s v="10:43:24"/>
    <s v="Owen Clark"/>
    <s v="owen.clark6@yahoo.com"/>
    <s v="+1-490-712-9908"/>
    <s v="Jacksonville"/>
    <s v="FL"/>
    <s v="United States"/>
    <s v="High-Waist Leggings x1 | Classic Fit Polo Shirt x2 | Protein Powder Chocolate 2lb x2"/>
    <x v="1"/>
    <n v="3"/>
    <n v="202.95"/>
    <s v="LOYALTY5"/>
    <n v="10.15"/>
    <n v="0"/>
    <n v="11.57"/>
    <n v="204.37"/>
    <x v="5"/>
    <x v="3"/>
    <x v="2"/>
    <s v="2024-12-31"/>
    <n v="0"/>
    <x v="1"/>
    <s v="Q4"/>
    <n v="192.79999999999998"/>
  </r>
  <r>
    <s v="#ORD-10247"/>
    <s v="2024-08-12"/>
    <s v="11:13:50"/>
    <s v="Sofia Taylor"/>
    <s v="sofia.taylor1@outlook.com"/>
    <s v="+1-748-533-6990"/>
    <s v="San Antonio"/>
    <s v="TX"/>
    <s v="United States"/>
    <s v="Air Fryer 5.8Qt x1 | Wireless Noise-Cancelling Headphones x1"/>
    <x v="6"/>
    <n v="2"/>
    <n v="169.98"/>
    <s v="SAVE10"/>
    <n v="17"/>
    <n v="0"/>
    <n v="13"/>
    <n v="165.98"/>
    <x v="5"/>
    <x v="3"/>
    <x v="2"/>
    <s v="2024-08-15"/>
    <n v="0"/>
    <x v="5"/>
    <s v="Q3"/>
    <n v="152.97999999999999"/>
  </r>
  <r>
    <s v="#ORD-10248"/>
    <s v="2024-10-31"/>
    <s v="09:26:15"/>
    <s v="Benjamin Moore"/>
    <s v="benjamin.moore51@yahoo.com"/>
    <s v="+1-965-335-8317"/>
    <s v="El Paso"/>
    <s v="TX"/>
    <s v="United States"/>
    <s v="Running Shoes - Men's x1 | Insulated Water Bottle 32oz x1"/>
    <x v="5"/>
    <n v="2"/>
    <n v="102.98"/>
    <s v="SAVE10"/>
    <n v="10.3"/>
    <n v="0"/>
    <n v="8.34"/>
    <n v="101.02"/>
    <x v="0"/>
    <x v="4"/>
    <x v="2"/>
    <s v="2024-11-01"/>
    <n v="0"/>
    <x v="7"/>
    <s v="Q4"/>
    <n v="92.68"/>
  </r>
  <r>
    <s v="#ORD-10249"/>
    <s v="2024-05-11"/>
    <s v="10:28:09"/>
    <s v="Mia Miller"/>
    <s v="mia.miller66@gmail.com"/>
    <s v="+1-290-165-5310"/>
    <s v="San Antonio"/>
    <s v="TX"/>
    <s v="United States"/>
    <s v="Scented Soy Candle Set x2 | Sunscreen SPF 50 Face x1 | Anti-Aging Serum 1oz x3"/>
    <x v="4"/>
    <n v="3"/>
    <n v="214.94"/>
    <s v="None"/>
    <n v="0"/>
    <n v="0"/>
    <n v="12.9"/>
    <n v="227.84"/>
    <x v="6"/>
    <x v="5"/>
    <x v="4"/>
    <m/>
    <n v="0"/>
    <x v="4"/>
    <s v="Q2"/>
    <n v="214.94"/>
  </r>
  <r>
    <s v="#ORD-10250"/>
    <s v="2024-05-29"/>
    <s v="06:10:40"/>
    <s v="Amelia White"/>
    <s v="amelia.white78@gmail.com"/>
    <s v="+1-399-134-9364"/>
    <s v="Chicago"/>
    <s v="IL"/>
    <s v="United States"/>
    <s v="Protein Powder Chocolate 2lb x1 | Scented Soy Candle Set x3 | Essential Oil Diffuser x1 | Air Fryer 5.8Qt x2"/>
    <x v="8"/>
    <n v="4"/>
    <n v="306.93"/>
    <s v="None"/>
    <n v="0"/>
    <n v="0"/>
    <n v="30.69"/>
    <n v="337.62"/>
    <x v="5"/>
    <x v="3"/>
    <x v="0"/>
    <s v="2024-06-01"/>
    <n v="337.62"/>
    <x v="4"/>
    <s v="Q2"/>
    <n v="306.93"/>
  </r>
  <r>
    <s v="#ORD-10251"/>
    <s v="2024-09-11"/>
    <s v="09:13:14"/>
    <s v="Owen Anderson"/>
    <s v="owen.anderson22@yahoo.com"/>
    <s v="+1-215-854-2124"/>
    <s v="Nashville"/>
    <s v="TN"/>
    <s v="United States"/>
    <s v="Running Shoes - Men's x1"/>
    <x v="5"/>
    <n v="1"/>
    <n v="74.989999999999995"/>
    <s v="SAVE10"/>
    <n v="7.5"/>
    <n v="9.99"/>
    <n v="5.4"/>
    <n v="82.88"/>
    <x v="1"/>
    <x v="5"/>
    <x v="2"/>
    <s v="2024-09-16"/>
    <n v="0"/>
    <x v="11"/>
    <s v="Q3"/>
    <n v="67.489999999999995"/>
  </r>
  <r>
    <s v="#ORD-10252"/>
    <s v="2024-05-15"/>
    <s v="04:28:58"/>
    <s v="Ethan Torres"/>
    <s v="ethan.torres93@outlook.com"/>
    <s v="+1-616-618-2744"/>
    <s v="San Jose"/>
    <s v="CA"/>
    <s v="United States"/>
    <s v="Denim Jacket x1"/>
    <x v="1"/>
    <n v="1"/>
    <n v="64.989999999999995"/>
    <s v="LOYALTY5"/>
    <n v="3.25"/>
    <n v="5.99"/>
    <n v="5.25"/>
    <n v="72.98"/>
    <x v="2"/>
    <x v="0"/>
    <x v="2"/>
    <s v="2024-05-17"/>
    <n v="0"/>
    <x v="4"/>
    <s v="Q2"/>
    <n v="61.739999999999995"/>
  </r>
  <r>
    <s v="#ORD-10253"/>
    <s v="2024-02-15"/>
    <s v="10:36:10"/>
    <s v="William Jones"/>
    <s v="william.jones38@gmail.com"/>
    <s v="+1-897-571-1448"/>
    <s v="San Francisco"/>
    <s v="CA"/>
    <s v="United States"/>
    <s v="Hiking Boots x2 | Leather Wallet Slim x1 | Coffee Maker Programmable x1"/>
    <x v="5"/>
    <n v="3"/>
    <n v="304.95999999999998"/>
    <s v="WELCOME15"/>
    <n v="45.74"/>
    <n v="0"/>
    <n v="23.33"/>
    <n v="282.55"/>
    <x v="5"/>
    <x v="3"/>
    <x v="1"/>
    <s v="2024-02-19"/>
    <n v="0"/>
    <x v="0"/>
    <s v="Q1"/>
    <n v="259.21999999999997"/>
  </r>
  <r>
    <s v="#ORD-10254"/>
    <s v="2024-11-02"/>
    <s v="06:48:24"/>
    <s v="Ella Davis"/>
    <s v="ella.davis9@gmail.com"/>
    <s v="+1-767-282-8807"/>
    <s v="Dallas"/>
    <s v="TX"/>
    <s v="United States"/>
    <s v="Anti-Aging Serum 1oz x1 | Sunscreen SPF 50 Face x1 | Casual Sneakers x1 | High-Waist Leggings x2 | Resistance Band Set x1"/>
    <x v="0"/>
    <n v="5"/>
    <n v="239.94"/>
    <s v="SAVE10"/>
    <n v="23.99"/>
    <n v="0"/>
    <n v="12.96"/>
    <n v="228.91"/>
    <x v="5"/>
    <x v="4"/>
    <x v="1"/>
    <s v="2024-11-03"/>
    <n v="0"/>
    <x v="8"/>
    <s v="Q4"/>
    <n v="215.95"/>
  </r>
  <r>
    <s v="#ORD-10255"/>
    <s v="2024-10-16"/>
    <s v="18:40:49"/>
    <s v="Abigail Thompson"/>
    <s v="abigail.thompson74@gmail.com"/>
    <s v="+1-564-259-2747"/>
    <s v="San Antonio"/>
    <s v="TX"/>
    <s v="United States"/>
    <s v="Bamboo Sunglasses x1 | Running Shoes - Women's x1"/>
    <x v="2"/>
    <n v="2"/>
    <n v="94.98"/>
    <s v="None"/>
    <n v="0"/>
    <n v="0"/>
    <n v="7.6"/>
    <n v="102.58"/>
    <x v="0"/>
    <x v="3"/>
    <x v="2"/>
    <s v="2024-10-21"/>
    <n v="0"/>
    <x v="7"/>
    <s v="Q4"/>
    <n v="94.98"/>
  </r>
  <r>
    <s v="#ORD-10256"/>
    <s v="2024-01-03"/>
    <s v="13:44:13"/>
    <s v="Mason Garcia"/>
    <s v="mason.garcia85@gmail.com"/>
    <s v="+1-607-327-3101"/>
    <s v="El Paso"/>
    <s v="TX"/>
    <s v="United States"/>
    <s v="Coffee Maker Programmable x1 | Portable Bluetooth Speaker x1 | Canvas Backpack 25L x1"/>
    <x v="6"/>
    <n v="3"/>
    <n v="159.97"/>
    <s v="LOYALTY5"/>
    <n v="8"/>
    <n v="0"/>
    <n v="12.16"/>
    <n v="164.13"/>
    <x v="5"/>
    <x v="7"/>
    <x v="0"/>
    <s v="2024-01-06"/>
    <n v="164.13"/>
    <x v="6"/>
    <s v="Q1"/>
    <n v="151.97"/>
  </r>
  <r>
    <s v="#ORD-10257"/>
    <s v="2024-07-29"/>
    <s v="00:19:21"/>
    <s v="Noah Wright"/>
    <s v="noah.wright55@gmail.com"/>
    <s v="+1-890-315-7216"/>
    <s v="Louisville"/>
    <s v="KY"/>
    <s v="United States"/>
    <s v="Insulated Water Bottle 32oz x1"/>
    <x v="3"/>
    <n v="1"/>
    <n v="27.99"/>
    <s v="None"/>
    <n v="0"/>
    <n v="9.99"/>
    <n v="1.68"/>
    <n v="39.659999999999997"/>
    <x v="1"/>
    <x v="5"/>
    <x v="2"/>
    <s v="2024-07-30"/>
    <n v="0"/>
    <x v="2"/>
    <s v="Q3"/>
    <n v="27.99"/>
  </r>
  <r>
    <s v="#ORD-10258"/>
    <s v="2024-08-01"/>
    <s v="00:58:53"/>
    <s v="Daniel Miller"/>
    <s v="daniel.miller47@yahoo.com"/>
    <s v="+1-917-870-7099"/>
    <s v="Austin"/>
    <s v="TX"/>
    <s v="United States"/>
    <s v="Hiking Boots x1"/>
    <x v="5"/>
    <n v="1"/>
    <n v="109.99"/>
    <s v="LOYALTY5"/>
    <n v="5.5"/>
    <n v="0"/>
    <n v="8.36"/>
    <n v="112.85"/>
    <x v="5"/>
    <x v="5"/>
    <x v="2"/>
    <s v="2024-08-05"/>
    <n v="0"/>
    <x v="5"/>
    <s v="Q3"/>
    <n v="104.49"/>
  </r>
  <r>
    <s v="#ORD-10259"/>
    <s v="2024-02-20"/>
    <s v="22:18:20"/>
    <s v="Alexander Sanchez"/>
    <s v="alexander.sanchez58@gmail.com"/>
    <s v="+1-337-969-9470"/>
    <s v="Dallas"/>
    <s v="TX"/>
    <s v="United States"/>
    <s v="Anti-Aging Serum 1oz x1 | Casual Sneakers x1 | Denim Jacket x1 | Smart LED Desk Lamp x1 | Men's Grooming Kit x1"/>
    <x v="0"/>
    <n v="5"/>
    <n v="250.95"/>
    <s v="None"/>
    <n v="0"/>
    <n v="0"/>
    <n v="21.33"/>
    <n v="272.27999999999997"/>
    <x v="6"/>
    <x v="3"/>
    <x v="3"/>
    <m/>
    <n v="0"/>
    <x v="0"/>
    <s v="Q1"/>
    <n v="250.95"/>
  </r>
  <r>
    <s v="#ORD-10260"/>
    <s v="2024-08-06"/>
    <s v="07:30:36"/>
    <s v="Grace Lee"/>
    <s v="grace.lee63@gmail.com"/>
    <s v="+1-568-673-5222"/>
    <s v="Louisville"/>
    <s v="KY"/>
    <s v="United States"/>
    <s v="Portable Bluetooth Speaker x1 | Protein Powder Chocolate 2lb x1 | Smart LED Desk Lamp x2"/>
    <x v="7"/>
    <n v="3"/>
    <n v="174.96"/>
    <s v="SUMMER20"/>
    <n v="34.99"/>
    <n v="0"/>
    <n v="14"/>
    <n v="153.97"/>
    <x v="0"/>
    <x v="4"/>
    <x v="2"/>
    <s v="2024-08-09"/>
    <n v="0"/>
    <x v="5"/>
    <s v="Q3"/>
    <n v="139.97"/>
  </r>
  <r>
    <s v="#ORD-10261"/>
    <s v="2024-09-20"/>
    <s v="22:11:57"/>
    <s v="Emily Johnson"/>
    <s v="emily.johnson16@gmail.com"/>
    <s v="+1-855-927-6527"/>
    <s v="Columbus"/>
    <s v="OH"/>
    <s v="United States"/>
    <s v="Running Shoes - Women's x3 | Linen Throw Blanket x1 | Essential Oil Diffuser x1 | Coffee Maker Programmable x1 | Running Shoes - Men's x2"/>
    <x v="5"/>
    <n v="5"/>
    <n v="487.92"/>
    <s v="SUMMER20"/>
    <n v="97.58"/>
    <n v="0"/>
    <n v="23.42"/>
    <n v="413.76"/>
    <x v="5"/>
    <x v="3"/>
    <x v="2"/>
    <s v="2024-09-22"/>
    <n v="0"/>
    <x v="11"/>
    <s v="Q3"/>
    <n v="390.34000000000003"/>
  </r>
  <r>
    <s v="#ORD-10262"/>
    <s v="2024-03-03"/>
    <s v="21:56:40"/>
    <s v="Sofia Green"/>
    <s v="sofia.green52@yahoo.com"/>
    <s v="+1-999-983-6950"/>
    <s v="Denver"/>
    <s v="CO"/>
    <s v="United States"/>
    <s v="Resistance Band Set x1"/>
    <x v="3"/>
    <n v="1"/>
    <n v="24.99"/>
    <s v="SAVE10"/>
    <n v="2.5"/>
    <n v="7.99"/>
    <n v="2.02"/>
    <n v="32.5"/>
    <x v="1"/>
    <x v="3"/>
    <x v="3"/>
    <m/>
    <n v="0"/>
    <x v="9"/>
    <s v="Q1"/>
    <n v="22.49"/>
  </r>
  <r>
    <s v="#ORD-10263"/>
    <s v="2024-11-27"/>
    <s v="17:49:53"/>
    <s v="Daniel Wright"/>
    <s v="daniel.wright53@gmail.com"/>
    <s v="+1-761-155-1431"/>
    <s v="Charlotte"/>
    <s v="NC"/>
    <s v="United States"/>
    <s v="Men's Grooming Kit x1"/>
    <x v="0"/>
    <n v="1"/>
    <n v="35.99"/>
    <s v="SAVE10"/>
    <n v="3.6"/>
    <n v="4.99"/>
    <n v="2.27"/>
    <n v="39.65"/>
    <x v="0"/>
    <x v="3"/>
    <x v="2"/>
    <s v="2024-12-01"/>
    <n v="0"/>
    <x v="8"/>
    <s v="Q4"/>
    <n v="32.39"/>
  </r>
  <r>
    <s v="#ORD-10264"/>
    <s v="2024-08-28"/>
    <s v="01:07:47"/>
    <s v="Henry Wright"/>
    <s v="henry.wright11@gmail.com"/>
    <s v="+1-841-229-3150"/>
    <s v="Memphis"/>
    <s v="TN"/>
    <s v="United States"/>
    <s v="Essential Oil Diffuser x3"/>
    <x v="4"/>
    <n v="1"/>
    <n v="98.97"/>
    <s v="WELCOME15"/>
    <n v="14.85"/>
    <n v="0"/>
    <n v="6.73"/>
    <n v="90.85"/>
    <x v="0"/>
    <x v="4"/>
    <x v="3"/>
    <m/>
    <n v="0"/>
    <x v="5"/>
    <s v="Q3"/>
    <n v="84.12"/>
  </r>
  <r>
    <s v="#ORD-10265"/>
    <s v="2024-05-06"/>
    <s v="07:05:45"/>
    <s v="Owen Hernandez"/>
    <s v="owen.hernandez5@outlook.com"/>
    <s v="+1-736-755-9745"/>
    <s v="New York"/>
    <s v="NY"/>
    <s v="United States"/>
    <s v="Organic Green Tea 100ct x3 | Canvas Backpack 25L x1 | Coffee Maker Programmable x1"/>
    <x v="9"/>
    <n v="3"/>
    <n v="154.94999999999999"/>
    <s v="FLASH25"/>
    <n v="38.74"/>
    <n v="0"/>
    <n v="8.1300000000000008"/>
    <n v="124.34"/>
    <x v="1"/>
    <x v="5"/>
    <x v="4"/>
    <m/>
    <n v="0"/>
    <x v="4"/>
    <s v="Q2"/>
    <n v="116.20999999999998"/>
  </r>
  <r>
    <s v="#ORD-10266"/>
    <s v="2024-02-04"/>
    <s v="18:42:14"/>
    <s v="Aiden Thompson"/>
    <s v="aiden.thompson70@gmail.com"/>
    <s v="+1-493-580-9767"/>
    <s v="Indianapolis"/>
    <s v="IN"/>
    <s v="United States"/>
    <s v="Insulated Water Bottle 32oz x1"/>
    <x v="3"/>
    <n v="1"/>
    <n v="27.99"/>
    <s v="None"/>
    <n v="0"/>
    <n v="7.99"/>
    <n v="1.68"/>
    <n v="37.659999999999997"/>
    <x v="0"/>
    <x v="6"/>
    <x v="2"/>
    <s v="2024-02-07"/>
    <n v="0"/>
    <x v="0"/>
    <s v="Q1"/>
    <n v="27.99"/>
  </r>
  <r>
    <s v="#ORD-10267"/>
    <s v="2024-10-24"/>
    <s v="10:25:06"/>
    <s v="Emma Allen"/>
    <s v="emma.allen62@gmail.com"/>
    <s v="+1-455-267-7385"/>
    <s v="Memphis"/>
    <s v="TN"/>
    <s v="United States"/>
    <s v="Yoga Mat Premium x1"/>
    <x v="3"/>
    <n v="1"/>
    <n v="34.99"/>
    <s v="None"/>
    <n v="0"/>
    <n v="7.99"/>
    <n v="2.4500000000000002"/>
    <n v="45.43"/>
    <x v="5"/>
    <x v="0"/>
    <x v="4"/>
    <m/>
    <n v="0"/>
    <x v="7"/>
    <s v="Q4"/>
    <n v="34.99"/>
  </r>
  <r>
    <s v="#ORD-10268"/>
    <s v="2024-04-03"/>
    <s v="00:52:40"/>
    <s v="Elizabeth Anderson"/>
    <s v="elizabeth.anderson11@gmail.com"/>
    <s v="+1-392-973-2121"/>
    <s v="Dallas"/>
    <s v="TX"/>
    <s v="United States"/>
    <s v="High-Waist Leggings x1 | Bamboo Sunglasses x1"/>
    <x v="1"/>
    <n v="2"/>
    <n v="67.98"/>
    <s v="SAVE10"/>
    <n v="6.8"/>
    <n v="7.99"/>
    <n v="6.12"/>
    <n v="75.290000000000006"/>
    <x v="6"/>
    <x v="6"/>
    <x v="4"/>
    <m/>
    <n v="0"/>
    <x v="10"/>
    <s v="Q2"/>
    <n v="61.180000000000007"/>
  </r>
  <r>
    <s v="#ORD-10269"/>
    <s v="2024-04-15"/>
    <s v="16:28:26"/>
    <s v="Logan Rodriguez"/>
    <s v="logan.rodriguez15@outlook.com"/>
    <s v="+1-932-548-1134"/>
    <s v="San Jose"/>
    <s v="CA"/>
    <s v="United States"/>
    <s v="Stainless Steel Cookware Set x1 | Running Shoes - Women's x1"/>
    <x v="6"/>
    <n v="2"/>
    <n v="199.98"/>
    <s v="FLASH25"/>
    <n v="50"/>
    <n v="0"/>
    <n v="9"/>
    <n v="158.97999999999999"/>
    <x v="0"/>
    <x v="3"/>
    <x v="2"/>
    <s v="2024-04-17"/>
    <n v="0"/>
    <x v="10"/>
    <s v="Q2"/>
    <n v="149.97999999999999"/>
  </r>
  <r>
    <s v="#ORD-10270"/>
    <s v="2024-05-12"/>
    <s v="18:51:31"/>
    <s v="Amelia Garcia"/>
    <s v="amelia.garcia2@gmail.com"/>
    <s v="+1-257-372-7429"/>
    <s v="Phoenix"/>
    <s v="AZ"/>
    <s v="United States"/>
    <s v="High-Waist Leggings x2"/>
    <x v="1"/>
    <n v="1"/>
    <n v="85.98"/>
    <s v="SAVE10"/>
    <n v="8.6"/>
    <n v="0"/>
    <n v="6.58"/>
    <n v="83.96"/>
    <x v="1"/>
    <x v="3"/>
    <x v="2"/>
    <s v="2024-05-14"/>
    <n v="0"/>
    <x v="4"/>
    <s v="Q2"/>
    <n v="77.38000000000001"/>
  </r>
  <r>
    <s v="#ORD-10271"/>
    <s v="2024-11-22"/>
    <s v="19:42:52"/>
    <s v="Ava Scott"/>
    <s v="ava.scott24@gmail.com"/>
    <s v="+1-453-855-1549"/>
    <s v="Indianapolis"/>
    <s v="IN"/>
    <s v="United States"/>
    <s v="Protein Powder Chocolate 2lb x2"/>
    <x v="8"/>
    <n v="1"/>
    <n v="89.98"/>
    <s v="None"/>
    <n v="0"/>
    <n v="0"/>
    <n v="9"/>
    <n v="98.98"/>
    <x v="0"/>
    <x v="6"/>
    <x v="3"/>
    <m/>
    <n v="0"/>
    <x v="8"/>
    <s v="Q4"/>
    <n v="89.98"/>
  </r>
  <r>
    <s v="#ORD-10272"/>
    <s v="2024-09-15"/>
    <s v="15:38:36"/>
    <s v="Charlotte Walker"/>
    <s v="charlotte.walker99@gmail.com"/>
    <s v="+1-315-341-8113"/>
    <s v="Portland"/>
    <s v="OR"/>
    <s v="United States"/>
    <s v="Stainless Steel Cookware Set x1 | Protein Powder Chocolate 2lb x1 | Anti-Aging Serum 1oz x1 | Yoga Mat Premium x3 | Bamboo Sunglasses x1"/>
    <x v="6"/>
    <n v="5"/>
    <n v="354.93"/>
    <s v="SAVE10"/>
    <n v="35.49"/>
    <n v="0"/>
    <n v="27.15"/>
    <n v="346.59"/>
    <x v="1"/>
    <x v="3"/>
    <x v="2"/>
    <s v="2024-09-17"/>
    <n v="0"/>
    <x v="11"/>
    <s v="Q3"/>
    <n v="319.44"/>
  </r>
  <r>
    <s v="#ORD-10273"/>
    <s v="2024-04-04"/>
    <s v="09:45:24"/>
    <s v="Abigail Smith"/>
    <s v="abigail.smith36@yahoo.com"/>
    <s v="+1-293-802-6544"/>
    <s v="Philadelphia"/>
    <s v="PA"/>
    <s v="United States"/>
    <s v="Portable Bluetooth Speaker x1"/>
    <x v="7"/>
    <n v="1"/>
    <n v="49.99"/>
    <s v="SUMMER20"/>
    <n v="10"/>
    <n v="5.99"/>
    <n v="3.2"/>
    <n v="49.18"/>
    <x v="6"/>
    <x v="3"/>
    <x v="3"/>
    <m/>
    <n v="0"/>
    <x v="10"/>
    <s v="Q2"/>
    <n v="39.99"/>
  </r>
  <r>
    <s v="#ORD-10274"/>
    <s v="2024-07-27"/>
    <s v="07:10:31"/>
    <s v="Noah Brown"/>
    <s v="noah.brown83@gmail.com"/>
    <s v="+1-566-841-3207"/>
    <s v="Jacksonville"/>
    <s v="FL"/>
    <s v="United States"/>
    <s v="Mechanical Keyboard x1 | Stainless Steel Cookware Set x1 | Casual Sneakers x1"/>
    <x v="7"/>
    <n v="3"/>
    <n v="309.97000000000003"/>
    <s v="SAVE10"/>
    <n v="31"/>
    <n v="0"/>
    <n v="23.71"/>
    <n v="302.68"/>
    <x v="6"/>
    <x v="3"/>
    <x v="4"/>
    <m/>
    <n v="0"/>
    <x v="2"/>
    <s v="Q3"/>
    <n v="278.97000000000003"/>
  </r>
  <r>
    <s v="#ORD-10275"/>
    <s v="2024-04-24"/>
    <s v="10:56:20"/>
    <s v="Harper Williams"/>
    <s v="harper.williams91@gmail.com"/>
    <s v="+1-270-643-3539"/>
    <s v="Indianapolis"/>
    <s v="IN"/>
    <s v="United States"/>
    <s v="Stainless Steel Cookware Set x1 | Running Shoes - Women's x1"/>
    <x v="6"/>
    <n v="2"/>
    <n v="199.98"/>
    <s v="SAVE10"/>
    <n v="20"/>
    <n v="0"/>
    <n v="18"/>
    <n v="197.98"/>
    <x v="5"/>
    <x v="2"/>
    <x v="0"/>
    <s v="2024-04-26"/>
    <n v="197.98"/>
    <x v="10"/>
    <s v="Q2"/>
    <n v="179.98"/>
  </r>
  <r>
    <s v="#ORD-10276"/>
    <s v="2024-10-28"/>
    <s v="08:04:44"/>
    <s v="Avery Jackson"/>
    <s v="avery.jackson34@yahoo.com"/>
    <s v="+1-394-636-9151"/>
    <s v="Baltimore"/>
    <s v="MD"/>
    <s v="United States"/>
    <s v="Protein Powder Chocolate 2lb x1 | Men's Grooming Kit x1"/>
    <x v="8"/>
    <n v="2"/>
    <n v="80.98"/>
    <s v="SAVE10"/>
    <n v="8.1"/>
    <n v="0"/>
    <n v="6.56"/>
    <n v="79.44"/>
    <x v="0"/>
    <x v="4"/>
    <x v="0"/>
    <s v="2024-11-01"/>
    <n v="79.44"/>
    <x v="7"/>
    <s v="Q4"/>
    <n v="72.88000000000001"/>
  </r>
  <r>
    <s v="#ORD-10277"/>
    <s v="2024-09-05"/>
    <s v="21:39:27"/>
    <s v="William Martinez"/>
    <s v="william.martinez37@gmail.com"/>
    <s v="+1-396-201-1521"/>
    <s v="Nashville"/>
    <s v="TN"/>
    <s v="United States"/>
    <s v="Smart LED Desk Lamp x1"/>
    <x v="7"/>
    <n v="1"/>
    <n v="39.99"/>
    <s v="None"/>
    <n v="0"/>
    <n v="4.99"/>
    <n v="2.8"/>
    <n v="47.78"/>
    <x v="0"/>
    <x v="3"/>
    <x v="2"/>
    <s v="2024-09-09"/>
    <n v="0"/>
    <x v="11"/>
    <s v="Q3"/>
    <n v="39.99"/>
  </r>
  <r>
    <s v="#ORD-10278"/>
    <s v="2024-04-09"/>
    <s v="09:31:12"/>
    <s v="Chloe Harris"/>
    <s v="chloe.harris63@outlook.com"/>
    <s v="+1-854-162-6913"/>
    <s v="El Paso"/>
    <s v="TX"/>
    <s v="United States"/>
    <s v="Casual Sneakers x1"/>
    <x v="5"/>
    <n v="1"/>
    <n v="59.99"/>
    <s v="None"/>
    <n v="0"/>
    <n v="4.99"/>
    <n v="4.2"/>
    <n v="69.180000000000007"/>
    <x v="1"/>
    <x v="1"/>
    <x v="2"/>
    <s v="2024-04-13"/>
    <n v="0"/>
    <x v="10"/>
    <s v="Q2"/>
    <n v="59.99"/>
  </r>
  <r>
    <s v="#ORD-10279"/>
    <s v="2024-08-27"/>
    <s v="14:14:07"/>
    <s v="William Clark"/>
    <s v="william.clark48@yahoo.com"/>
    <s v="+1-942-336-9710"/>
    <s v="Baltimore"/>
    <s v="MD"/>
    <s v="United States"/>
    <s v="Portable Bluetooth Speaker x2"/>
    <x v="7"/>
    <n v="1"/>
    <n v="99.98"/>
    <s v="SAVE10"/>
    <n v="10"/>
    <n v="0"/>
    <n v="5.4"/>
    <n v="95.38"/>
    <x v="2"/>
    <x v="1"/>
    <x v="2"/>
    <s v="2024-08-28"/>
    <n v="0"/>
    <x v="5"/>
    <s v="Q3"/>
    <n v="89.98"/>
  </r>
  <r>
    <s v="#ORD-10280"/>
    <s v="2024-03-10"/>
    <s v="11:26:57"/>
    <s v="Elizabeth Gonzalez"/>
    <s v="elizabeth.gonzalez68@outlook.com"/>
    <s v="+1-306-270-3955"/>
    <s v="San Antonio"/>
    <s v="TX"/>
    <s v="United States"/>
    <s v="Coffee Maker Programmable x2 | Multivitamin Daily Pack x2"/>
    <x v="6"/>
    <n v="2"/>
    <n v="149.96"/>
    <s v="LOYALTY5"/>
    <n v="7.5"/>
    <n v="0"/>
    <n v="11.4"/>
    <n v="153.86000000000001"/>
    <x v="1"/>
    <x v="4"/>
    <x v="4"/>
    <m/>
    <n v="0"/>
    <x v="9"/>
    <s v="Q1"/>
    <n v="142.46"/>
  </r>
  <r>
    <s v="#ORD-10281"/>
    <s v="2024-08-20"/>
    <s v="23:37:11"/>
    <s v="William Sanchez"/>
    <s v="william.sanchez44@outlook.com"/>
    <s v="+1-446-676-9939"/>
    <s v="San Francisco"/>
    <s v="CA"/>
    <s v="United States"/>
    <s v="Insulated Water Bottle 32oz x2"/>
    <x v="3"/>
    <n v="1"/>
    <n v="55.98"/>
    <s v="FLASH25"/>
    <n v="13.99"/>
    <n v="7.99"/>
    <n v="3.36"/>
    <n v="53.34"/>
    <x v="5"/>
    <x v="0"/>
    <x v="1"/>
    <s v="2024-08-25"/>
    <n v="0"/>
    <x v="5"/>
    <s v="Q3"/>
    <n v="41.989999999999995"/>
  </r>
  <r>
    <s v="#ORD-10282"/>
    <s v="2024-06-24"/>
    <s v="16:42:21"/>
    <s v="Lucas Harris"/>
    <s v="lucas.harris71@yahoo.com"/>
    <s v="+1-507-327-4519"/>
    <s v="Memphis"/>
    <s v="TN"/>
    <s v="United States"/>
    <s v="Protein Powder Chocolate 2lb x1"/>
    <x v="8"/>
    <n v="1"/>
    <n v="44.99"/>
    <s v="None"/>
    <n v="0"/>
    <n v="7.99"/>
    <n v="4.05"/>
    <n v="57.03"/>
    <x v="0"/>
    <x v="3"/>
    <x v="2"/>
    <s v="2024-06-25"/>
    <n v="0"/>
    <x v="3"/>
    <s v="Q2"/>
    <n v="44.99"/>
  </r>
  <r>
    <s v="#ORD-10283"/>
    <s v="2024-07-17"/>
    <s v="13:23:44"/>
    <s v="Abigail Johnson"/>
    <s v="abigail.johnson89@outlook.com"/>
    <s v="+1-462-930-5920"/>
    <s v="Memphis"/>
    <s v="TN"/>
    <s v="United States"/>
    <s v="Bamboo Sunglasses x1 | Linen Throw Blanket x1"/>
    <x v="2"/>
    <n v="2"/>
    <n v="64.98"/>
    <s v="SAVE10"/>
    <n v="6.5"/>
    <n v="5.99"/>
    <n v="4.09"/>
    <n v="68.56"/>
    <x v="0"/>
    <x v="2"/>
    <x v="2"/>
    <s v="2024-07-19"/>
    <n v="0"/>
    <x v="2"/>
    <s v="Q3"/>
    <n v="58.480000000000004"/>
  </r>
  <r>
    <s v="#ORD-10284"/>
    <s v="2024-10-08"/>
    <s v="00:15:33"/>
    <s v="Ethan Nguyen"/>
    <s v="ethan.nguyen73@outlook.com"/>
    <s v="+1-280-898-1916"/>
    <s v="Fort Worth"/>
    <s v="TX"/>
    <s v="United States"/>
    <s v="Stainless Steel Cookware Set x1"/>
    <x v="6"/>
    <n v="1"/>
    <n v="129.99"/>
    <s v="LOYALTY5"/>
    <n v="6.5"/>
    <n v="0"/>
    <n v="7.41"/>
    <n v="130.9"/>
    <x v="1"/>
    <x v="3"/>
    <x v="4"/>
    <m/>
    <n v="0"/>
    <x v="7"/>
    <s v="Q4"/>
    <n v="123.49000000000001"/>
  </r>
  <r>
    <s v="#ORD-10285"/>
    <s v="2024-12-03"/>
    <s v="00:46:19"/>
    <s v="Muhammad Thompson"/>
    <s v="muhammad.thompson56@gmail.com"/>
    <s v="+1-242-426-9846"/>
    <s v="Albuquerque"/>
    <s v="NM"/>
    <s v="United States"/>
    <s v="Classic Fit Polo Shirt x1"/>
    <x v="1"/>
    <n v="1"/>
    <n v="34.99"/>
    <s v="LOYALTY5"/>
    <n v="1.75"/>
    <n v="4.99"/>
    <n v="3.32"/>
    <n v="41.55"/>
    <x v="6"/>
    <x v="3"/>
    <x v="2"/>
    <s v="2024-12-08"/>
    <n v="0"/>
    <x v="1"/>
    <s v="Q4"/>
    <n v="33.24"/>
  </r>
  <r>
    <s v="#ORD-10286"/>
    <s v="2024-09-18"/>
    <s v="14:44:07"/>
    <s v="Chloe Martinez"/>
    <s v="chloe.martinez65@yahoo.com"/>
    <s v="+1-785-863-1807"/>
    <s v="Austin"/>
    <s v="TX"/>
    <s v="United States"/>
    <s v="Protein Powder Chocolate 2lb x1 | Organic Green Tea 100ct x1 | Classic Fit Polo Shirt x1"/>
    <x v="8"/>
    <n v="3"/>
    <n v="94.97"/>
    <s v="SAVE10"/>
    <n v="9.5"/>
    <n v="0"/>
    <n v="7.26"/>
    <n v="92.73"/>
    <x v="0"/>
    <x v="3"/>
    <x v="3"/>
    <m/>
    <n v="0"/>
    <x v="11"/>
    <s v="Q3"/>
    <n v="85.47"/>
  </r>
  <r>
    <s v="#ORD-10287"/>
    <s v="2024-06-17"/>
    <s v="17:45:02"/>
    <s v="William Sanchez"/>
    <s v="william.sanchez11@gmail.com"/>
    <s v="+1-273-372-8046"/>
    <s v="Dallas"/>
    <s v="TX"/>
    <s v="United States"/>
    <s v="Mechanical Keyboard x1 | Classic Fit Polo Shirt x1 | Stainless Steel Cookware Set x1"/>
    <x v="7"/>
    <n v="3"/>
    <n v="284.97000000000003"/>
    <s v="None"/>
    <n v="0"/>
    <n v="0"/>
    <n v="25.65"/>
    <n v="310.62"/>
    <x v="1"/>
    <x v="4"/>
    <x v="2"/>
    <s v="2024-06-19"/>
    <n v="0"/>
    <x v="3"/>
    <s v="Q2"/>
    <n v="284.97000000000003"/>
  </r>
  <r>
    <s v="#ORD-10288"/>
    <s v="2024-05-15"/>
    <s v="06:27:52"/>
    <s v="Abigail Nguyen"/>
    <s v="abigail.nguyen15@yahoo.com"/>
    <s v="+1-838-249-8216"/>
    <s v="Chicago"/>
    <s v="IL"/>
    <s v="United States"/>
    <s v="Insulated Water Bottle 32oz x1"/>
    <x v="3"/>
    <n v="1"/>
    <n v="27.99"/>
    <s v="None"/>
    <n v="0"/>
    <n v="7.99"/>
    <n v="1.96"/>
    <n v="37.94"/>
    <x v="3"/>
    <x v="0"/>
    <x v="3"/>
    <m/>
    <n v="0"/>
    <x v="4"/>
    <s v="Q2"/>
    <n v="27.99"/>
  </r>
  <r>
    <s v="#ORD-10289"/>
    <s v="2024-10-21"/>
    <s v="06:35:26"/>
    <s v="Olivia Anderson"/>
    <s v="olivia.anderson88@gmail.com"/>
    <s v="+1-910-923-2823"/>
    <s v="San Antonio"/>
    <s v="TX"/>
    <s v="United States"/>
    <s v="USB-C Fast Charger 65W x2 | Smart LED Desk Lamp x1"/>
    <x v="7"/>
    <n v="2"/>
    <n v="99.97"/>
    <s v="LOYALTY5"/>
    <n v="5"/>
    <n v="0"/>
    <n v="6.65"/>
    <n v="101.62"/>
    <x v="4"/>
    <x v="6"/>
    <x v="2"/>
    <s v="2024-10-24"/>
    <n v="0"/>
    <x v="7"/>
    <s v="Q4"/>
    <n v="94.97"/>
  </r>
  <r>
    <s v="#ORD-10290"/>
    <s v="2024-10-14"/>
    <s v="09:25:15"/>
    <s v="Aiden Robinson"/>
    <s v="aiden.robinson3@gmail.com"/>
    <s v="+1-796-779-9631"/>
    <s v="Indianapolis"/>
    <s v="IN"/>
    <s v="United States"/>
    <s v="Running Shoes - Women's x1 | Coffee Maker Programmable x1"/>
    <x v="5"/>
    <n v="2"/>
    <n v="124.98"/>
    <s v="SUMMER20"/>
    <n v="25"/>
    <n v="0"/>
    <n v="9"/>
    <n v="108.98"/>
    <x v="1"/>
    <x v="3"/>
    <x v="2"/>
    <s v="2024-10-18"/>
    <n v="0"/>
    <x v="7"/>
    <s v="Q4"/>
    <n v="99.98"/>
  </r>
  <r>
    <s v="#ORD-10291"/>
    <s v="2024-11-02"/>
    <s v="11:46:11"/>
    <s v="Olivia Taylor"/>
    <s v="olivia.taylor8@gmail.com"/>
    <s v="+1-219-399-7332"/>
    <s v="Philadelphia"/>
    <s v="PA"/>
    <s v="United States"/>
    <s v="Hiking Boots x1 | Portable Bluetooth Speaker x3"/>
    <x v="5"/>
    <n v="2"/>
    <n v="259.95999999999998"/>
    <s v="None"/>
    <n v="0"/>
    <n v="0"/>
    <n v="22.1"/>
    <n v="282.06"/>
    <x v="1"/>
    <x v="0"/>
    <x v="1"/>
    <s v="2024-11-03"/>
    <n v="0"/>
    <x v="8"/>
    <s v="Q4"/>
    <n v="259.95999999999998"/>
  </r>
  <r>
    <s v="#ORD-10292"/>
    <s v="2024-05-02"/>
    <s v="12:15:45"/>
    <s v="Amelia Harris"/>
    <s v="amelia.harris91@gmail.com"/>
    <s v="+1-512-441-9027"/>
    <s v="San Francisco"/>
    <s v="CA"/>
    <s v="United States"/>
    <s v="Scented Soy Candle Set x1 | Coffee Maker Programmable x1"/>
    <x v="4"/>
    <n v="2"/>
    <n v="77.98"/>
    <s v="SUMMER20"/>
    <n v="15.6"/>
    <n v="0"/>
    <n v="5.61"/>
    <n v="67.989999999999995"/>
    <x v="2"/>
    <x v="3"/>
    <x v="2"/>
    <s v="2024-05-07"/>
    <n v="0"/>
    <x v="4"/>
    <s v="Q2"/>
    <n v="62.38"/>
  </r>
  <r>
    <s v="#ORD-10293"/>
    <s v="2024-04-27"/>
    <s v="09:53:04"/>
    <s v="Henry Hernandez"/>
    <s v="henry.hernandez45@yahoo.com"/>
    <s v="+1-486-330-3485"/>
    <s v="New York"/>
    <s v="NY"/>
    <s v="United States"/>
    <s v="Air Fryer 5.8Qt x1"/>
    <x v="6"/>
    <n v="1"/>
    <n v="79.989999999999995"/>
    <s v="None"/>
    <n v="0"/>
    <n v="0"/>
    <n v="8"/>
    <n v="87.99"/>
    <x v="0"/>
    <x v="3"/>
    <x v="2"/>
    <s v="2024-05-02"/>
    <n v="0"/>
    <x v="10"/>
    <s v="Q2"/>
    <n v="79.989999999999995"/>
  </r>
  <r>
    <s v="#ORD-10294"/>
    <s v="2024-05-28"/>
    <s v="10:25:42"/>
    <s v="Muhammad Sanchez"/>
    <s v="muhammad.sanchez18@gmail.com"/>
    <s v="+1-537-559-9883"/>
    <s v="El Paso"/>
    <s v="TX"/>
    <s v="United States"/>
    <s v="Anti-Aging Serum 1oz x2 | Scented Soy Candle Set x1"/>
    <x v="0"/>
    <n v="2"/>
    <n v="122.97"/>
    <s v="WELCOME15"/>
    <n v="18.45"/>
    <n v="0"/>
    <n v="7.32"/>
    <n v="111.84"/>
    <x v="1"/>
    <x v="5"/>
    <x v="2"/>
    <s v="2024-06-02"/>
    <n v="0"/>
    <x v="4"/>
    <s v="Q2"/>
    <n v="104.52"/>
  </r>
  <r>
    <s v="#ORD-10295"/>
    <s v="2024-03-19"/>
    <s v="13:40:04"/>
    <s v="Isabella Wilson"/>
    <s v="isabella.wilson18@outlook.com"/>
    <s v="+1-770-645-2939"/>
    <s v="Oklahoma City"/>
    <s v="OK"/>
    <s v="United States"/>
    <s v="Yoga Mat Premium x1 | Sunscreen SPF 50 Face x1 | Leather Wallet Slim x3"/>
    <x v="3"/>
    <n v="3"/>
    <n v="143.94999999999999"/>
    <s v="None"/>
    <n v="0"/>
    <n v="0"/>
    <n v="14.39"/>
    <n v="158.34"/>
    <x v="2"/>
    <x v="2"/>
    <x v="1"/>
    <s v="2024-03-20"/>
    <n v="0"/>
    <x v="9"/>
    <s v="Q1"/>
    <n v="143.94999999999999"/>
  </r>
  <r>
    <s v="#ORD-10296"/>
    <s v="2024-12-07"/>
    <s v="19:25:25"/>
    <s v="Logan Lee"/>
    <s v="logan.lee19@outlook.com"/>
    <s v="+1-780-727-4783"/>
    <s v="Baltimore"/>
    <s v="MD"/>
    <s v="United States"/>
    <s v="Multivitamin Daily Pack x2 | Yoga Mat Premium x1 | Organic Green Tea 100ct x2 | Men's Grooming Kit x1 | Bamboo Sunglasses x1"/>
    <x v="8"/>
    <n v="5"/>
    <n v="165.93"/>
    <s v="None"/>
    <n v="0"/>
    <n v="0"/>
    <n v="11.62"/>
    <n v="177.55"/>
    <x v="0"/>
    <x v="7"/>
    <x v="2"/>
    <s v="2024-12-12"/>
    <n v="0"/>
    <x v="1"/>
    <s v="Q4"/>
    <n v="165.93"/>
  </r>
  <r>
    <s v="#ORD-10297"/>
    <s v="2024-01-31"/>
    <s v="20:45:52"/>
    <s v="Victoria Anderson"/>
    <s v="victoria.anderson88@gmail.com"/>
    <s v="+1-397-331-1528"/>
    <s v="San Diego"/>
    <s v="CA"/>
    <s v="United States"/>
    <s v="Stainless Steel Cookware Set x1 | Mechanical Keyboard x1"/>
    <x v="6"/>
    <n v="2"/>
    <n v="249.98"/>
    <s v="SAVE10"/>
    <n v="25"/>
    <n v="0"/>
    <n v="15.75"/>
    <n v="240.73"/>
    <x v="4"/>
    <x v="5"/>
    <x v="2"/>
    <s v="2024-02-02"/>
    <n v="0"/>
    <x v="6"/>
    <s v="Q1"/>
    <n v="224.98"/>
  </r>
  <r>
    <s v="#ORD-10298"/>
    <s v="2024-09-17"/>
    <s v="17:20:01"/>
    <s v="Sofia Smith"/>
    <s v="sofia.smith35@yahoo.com"/>
    <s v="+1-937-420-7457"/>
    <s v="Tucson"/>
    <s v="AZ"/>
    <s v="United States"/>
    <s v="Classic Fit Polo Shirt x3 | Running Shoes - Women's x1 | USB-C Fast Charger 65W x1 | Running Shoes - Men's x1 | Bamboo Sunglasses x2"/>
    <x v="1"/>
    <n v="5"/>
    <n v="329.92"/>
    <s v="None"/>
    <n v="0"/>
    <n v="0"/>
    <n v="28.04"/>
    <n v="357.96"/>
    <x v="5"/>
    <x v="3"/>
    <x v="4"/>
    <m/>
    <n v="0"/>
    <x v="11"/>
    <s v="Q3"/>
    <n v="329.92"/>
  </r>
  <r>
    <s v="#ORD-10299"/>
    <s v="2024-11-01"/>
    <s v="14:37:29"/>
    <s v="Benjamin Nguyen"/>
    <s v="benjamin.nguyen69@outlook.com"/>
    <s v="+1-596-628-1807"/>
    <s v="Nashville"/>
    <s v="TN"/>
    <s v="United States"/>
    <s v="Smart LED Desk Lamp x1"/>
    <x v="7"/>
    <n v="1"/>
    <n v="39.99"/>
    <s v="None"/>
    <n v="0"/>
    <n v="5.99"/>
    <n v="3.6"/>
    <n v="49.58"/>
    <x v="5"/>
    <x v="7"/>
    <x v="2"/>
    <s v="2024-11-06"/>
    <n v="0"/>
    <x v="8"/>
    <s v="Q4"/>
    <n v="39.99"/>
  </r>
  <r>
    <s v="#ORD-10300"/>
    <s v="2024-04-21"/>
    <s v="00:55:01"/>
    <s v="Charlotte Jackson"/>
    <s v="charlotte.jackson51@outlook.com"/>
    <s v="+1-384-897-9952"/>
    <s v="Charlotte"/>
    <s v="NC"/>
    <s v="United States"/>
    <s v="Multivitamin Daily Pack x1 | Yoga Mat Premium x1"/>
    <x v="8"/>
    <n v="2"/>
    <n v="54.98"/>
    <s v="FLASH25"/>
    <n v="13.75"/>
    <n v="5.99"/>
    <n v="3.5"/>
    <n v="50.72"/>
    <x v="6"/>
    <x v="5"/>
    <x v="0"/>
    <s v="2024-04-22"/>
    <n v="50.72"/>
    <x v="10"/>
    <s v="Q2"/>
    <n v="41.23"/>
  </r>
  <r>
    <s v="#ORD-10301"/>
    <s v="2024-03-10"/>
    <s v="11:16:09"/>
    <s v="Isabella Sanchez"/>
    <s v="isabella.sanchez42@gmail.com"/>
    <s v="+1-293-216-8362"/>
    <s v="Columbus"/>
    <s v="OH"/>
    <s v="United States"/>
    <s v="Leather Wallet Slim x2 | Sunscreen SPF 50 Face x2"/>
    <x v="2"/>
    <n v="2"/>
    <n v="97.96"/>
    <s v="None"/>
    <n v="0"/>
    <n v="0"/>
    <n v="7.84"/>
    <n v="105.8"/>
    <x v="0"/>
    <x v="0"/>
    <x v="2"/>
    <s v="2024-03-11"/>
    <n v="0"/>
    <x v="9"/>
    <s v="Q1"/>
    <n v="97.96"/>
  </r>
  <r>
    <s v="#ORD-10302"/>
    <s v="2024-11-03"/>
    <s v="05:16:30"/>
    <s v="Alexander Garcia"/>
    <s v="alexander.garcia91@gmail.com"/>
    <s v="+1-947-887-8311"/>
    <s v="San Francisco"/>
    <s v="CA"/>
    <s v="United States"/>
    <s v="Scented Soy Candle Set x2 | Running Shoes - Men's x2 | Protein Powder Chocolate 2lb x1 | Coffee Maker Programmable x1 | Portable Bluetooth Speaker x1"/>
    <x v="4"/>
    <n v="5"/>
    <n v="345.93"/>
    <s v="None"/>
    <n v="0"/>
    <n v="0"/>
    <n v="24.22"/>
    <n v="370.15"/>
    <x v="6"/>
    <x v="3"/>
    <x v="2"/>
    <s v="2024-11-06"/>
    <n v="0"/>
    <x v="8"/>
    <s v="Q4"/>
    <n v="345.93"/>
  </r>
  <r>
    <s v="#ORD-10303"/>
    <s v="2024-10-24"/>
    <s v="06:00:21"/>
    <s v="Evelyn Lopez"/>
    <s v="evelyn.lopez17@yahoo.com"/>
    <s v="+1-664-519-8239"/>
    <s v="Houston"/>
    <s v="TX"/>
    <s v="United States"/>
    <s v="Organic Green Tea 100ct x1"/>
    <x v="9"/>
    <n v="1"/>
    <n v="14.99"/>
    <s v="SUMMER20"/>
    <n v="3"/>
    <n v="4.99"/>
    <n v="1.08"/>
    <n v="18.059999999999999"/>
    <x v="4"/>
    <x v="3"/>
    <x v="3"/>
    <m/>
    <n v="0"/>
    <x v="7"/>
    <s v="Q4"/>
    <n v="11.99"/>
  </r>
  <r>
    <s v="#ORD-10304"/>
    <s v="2024-07-31"/>
    <s v="13:35:36"/>
    <s v="Ethan Flores"/>
    <s v="ethan.flores1@gmail.com"/>
    <s v="+1-233-783-5889"/>
    <s v="Nashville"/>
    <s v="TN"/>
    <s v="United States"/>
    <s v="Essential Oil Diffuser x1"/>
    <x v="4"/>
    <n v="1"/>
    <n v="32.99"/>
    <s v="None"/>
    <n v="0"/>
    <n v="4.99"/>
    <n v="2.31"/>
    <n v="40.29"/>
    <x v="0"/>
    <x v="0"/>
    <x v="2"/>
    <s v="2024-08-02"/>
    <n v="0"/>
    <x v="2"/>
    <s v="Q3"/>
    <n v="32.99"/>
  </r>
  <r>
    <s v="#ORD-10305"/>
    <s v="2024-03-10"/>
    <s v="05:23:43"/>
    <s v="Muhammad Garcia"/>
    <s v="muhammad.garcia14@gmail.com"/>
    <s v="+1-986-406-6289"/>
    <s v="Los Angeles"/>
    <s v="CA"/>
    <s v="United States"/>
    <s v="Yoga Mat Premium x1"/>
    <x v="3"/>
    <n v="1"/>
    <n v="34.99"/>
    <s v="LOYALTY5"/>
    <n v="1.75"/>
    <n v="5.99"/>
    <n v="2.83"/>
    <n v="42.06"/>
    <x v="6"/>
    <x v="3"/>
    <x v="2"/>
    <s v="2024-03-11"/>
    <n v="0"/>
    <x v="9"/>
    <s v="Q1"/>
    <n v="33.24"/>
  </r>
  <r>
    <s v="#ORD-10306"/>
    <s v="2024-01-26"/>
    <s v="05:09:10"/>
    <s v="Alexander Harris"/>
    <s v="alexander.harris9@outlook.com"/>
    <s v="+1-259-211-9666"/>
    <s v="Baltimore"/>
    <s v="MD"/>
    <s v="United States"/>
    <s v="Mechanical Keyboard x1"/>
    <x v="7"/>
    <n v="1"/>
    <n v="119.99"/>
    <s v="SAVE10"/>
    <n v="12"/>
    <n v="0"/>
    <n v="8.64"/>
    <n v="116.63"/>
    <x v="5"/>
    <x v="5"/>
    <x v="2"/>
    <s v="2024-01-31"/>
    <n v="0"/>
    <x v="6"/>
    <s v="Q1"/>
    <n v="107.99"/>
  </r>
  <r>
    <s v="#ORD-10307"/>
    <s v="2024-10-01"/>
    <s v="11:54:21"/>
    <s v="Ethan Young"/>
    <s v="ethan.young89@outlook.com"/>
    <s v="+1-704-927-3947"/>
    <s v="Portland"/>
    <s v="OR"/>
    <s v="United States"/>
    <s v="Scented Soy Candle Set x2"/>
    <x v="4"/>
    <n v="1"/>
    <n v="45.98"/>
    <s v="SAVE10"/>
    <n v="4.5999999999999996"/>
    <n v="7.99"/>
    <n v="2.9"/>
    <n v="52.27"/>
    <x v="1"/>
    <x v="5"/>
    <x v="3"/>
    <m/>
    <n v="0"/>
    <x v="7"/>
    <s v="Q4"/>
    <n v="41.379999999999995"/>
  </r>
  <r>
    <s v="#ORD-10308"/>
    <s v="2024-01-10"/>
    <s v="07:34:23"/>
    <s v="Benjamin Anderson"/>
    <s v="benjamin.anderson38@yahoo.com"/>
    <s v="+1-211-755-4296"/>
    <s v="Boston"/>
    <s v="MA"/>
    <s v="United States"/>
    <s v="High-Waist Leggings x2 | Smart LED Desk Lamp x1"/>
    <x v="1"/>
    <n v="2"/>
    <n v="125.97"/>
    <s v="LOYALTY5"/>
    <n v="6.3"/>
    <n v="0"/>
    <n v="10.17"/>
    <n v="129.84"/>
    <x v="5"/>
    <x v="3"/>
    <x v="0"/>
    <s v="2024-01-12"/>
    <n v="129.84"/>
    <x v="6"/>
    <s v="Q1"/>
    <n v="119.67"/>
  </r>
  <r>
    <s v="#ORD-10309"/>
    <s v="2024-07-15"/>
    <s v="18:41:22"/>
    <s v="Evelyn Taylor"/>
    <s v="evelyn.taylor9@gmail.com"/>
    <s v="+1-538-953-6536"/>
    <s v="Louisville"/>
    <s v="KY"/>
    <s v="United States"/>
    <s v="Classic Fit Polo Shirt x1 | Wireless Noise-Cancelling Headphones x1"/>
    <x v="1"/>
    <n v="2"/>
    <n v="124.98"/>
    <s v="WELCOME15"/>
    <n v="18.75"/>
    <n v="0"/>
    <n v="10.62"/>
    <n v="116.85"/>
    <x v="1"/>
    <x v="1"/>
    <x v="2"/>
    <s v="2024-07-17"/>
    <n v="0"/>
    <x v="2"/>
    <s v="Q3"/>
    <n v="106.23"/>
  </r>
  <r>
    <s v="#ORD-10310"/>
    <s v="2024-08-31"/>
    <s v="13:55:56"/>
    <s v="Ella Young"/>
    <s v="ella.young5@yahoo.com"/>
    <s v="+1-748-119-4412"/>
    <s v="Louisville"/>
    <s v="KY"/>
    <s v="United States"/>
    <s v="Canvas Backpack 25L x2 | Coffee Maker Programmable x1"/>
    <x v="2"/>
    <n v="2"/>
    <n v="164.97"/>
    <s v="WELCOME15"/>
    <n v="24.75"/>
    <n v="0"/>
    <n v="14.02"/>
    <n v="154.24"/>
    <x v="0"/>
    <x v="5"/>
    <x v="1"/>
    <s v="2024-09-05"/>
    <n v="0"/>
    <x v="5"/>
    <s v="Q3"/>
    <n v="140.22"/>
  </r>
  <r>
    <s v="#ORD-10311"/>
    <s v="2024-02-27"/>
    <s v="23:37:21"/>
    <s v="Chloe Perez"/>
    <s v="chloe.perez46@gmail.com"/>
    <s v="+1-391-709-2914"/>
    <s v="Louisville"/>
    <s v="KY"/>
    <s v="United States"/>
    <s v="Wireless Noise-Cancelling Headphones x1"/>
    <x v="7"/>
    <n v="1"/>
    <n v="89.99"/>
    <s v="WELCOME15"/>
    <n v="13.5"/>
    <n v="0"/>
    <n v="7.65"/>
    <n v="84.14"/>
    <x v="5"/>
    <x v="3"/>
    <x v="4"/>
    <m/>
    <n v="0"/>
    <x v="0"/>
    <s v="Q1"/>
    <n v="76.489999999999995"/>
  </r>
  <r>
    <s v="#ORD-10312"/>
    <s v="2024-02-03"/>
    <s v="17:00:50"/>
    <s v="Aiden Lee"/>
    <s v="aiden.lee5@gmail.com"/>
    <s v="+1-294-554-9290"/>
    <s v="Boston"/>
    <s v="MA"/>
    <s v="United States"/>
    <s v="Casual Sneakers x1 | Insulated Water Bottle 32oz x3"/>
    <x v="5"/>
    <n v="2"/>
    <n v="143.96"/>
    <s v="None"/>
    <n v="0"/>
    <n v="0"/>
    <n v="12.96"/>
    <n v="156.91999999999999"/>
    <x v="0"/>
    <x v="3"/>
    <x v="2"/>
    <s v="2024-02-05"/>
    <n v="0"/>
    <x v="0"/>
    <s v="Q1"/>
    <n v="143.96"/>
  </r>
  <r>
    <s v="#ORD-10313"/>
    <s v="2024-05-12"/>
    <s v="02:06:35"/>
    <s v="Liam Young"/>
    <s v="liam.young65@gmail.com"/>
    <s v="+1-596-830-9558"/>
    <s v="Albuquerque"/>
    <s v="NM"/>
    <s v="United States"/>
    <s v="Men's Grooming Kit x2 | Canvas Backpack 25L x1 | Air Fryer 5.8Qt x2 | Yoga Mat Premium x2"/>
    <x v="0"/>
    <n v="4"/>
    <n v="356.93"/>
    <s v="FLASH25"/>
    <n v="89.23"/>
    <n v="0"/>
    <n v="26.77"/>
    <n v="294.47000000000003"/>
    <x v="3"/>
    <x v="3"/>
    <x v="2"/>
    <s v="2024-05-16"/>
    <n v="0"/>
    <x v="4"/>
    <s v="Q2"/>
    <n v="267.7"/>
  </r>
  <r>
    <s v="#ORD-10314"/>
    <s v="2024-02-03"/>
    <s v="19:36:22"/>
    <s v="Mason Smith"/>
    <s v="mason.smith6@outlook.com"/>
    <s v="+1-405-297-5695"/>
    <s v="San Jose"/>
    <s v="CA"/>
    <s v="United States"/>
    <s v="Leather Wallet Slim x1"/>
    <x v="2"/>
    <n v="1"/>
    <n v="29.99"/>
    <s v="FLASH25"/>
    <n v="7.5"/>
    <n v="7.99"/>
    <n v="1.35"/>
    <n v="31.83"/>
    <x v="1"/>
    <x v="3"/>
    <x v="2"/>
    <s v="2024-02-06"/>
    <n v="0"/>
    <x v="0"/>
    <s v="Q1"/>
    <n v="22.49"/>
  </r>
  <r>
    <s v="#ORD-10315"/>
    <s v="2024-02-15"/>
    <s v="16:35:07"/>
    <s v="Elijah Scott"/>
    <s v="elijah.scott99@gmail.com"/>
    <s v="+1-921-923-5641"/>
    <s v="Austin"/>
    <s v="TX"/>
    <s v="United States"/>
    <s v="Running Shoes - Men's x1"/>
    <x v="5"/>
    <n v="1"/>
    <n v="74.989999999999995"/>
    <s v="None"/>
    <n v="0"/>
    <n v="4.99"/>
    <n v="5.25"/>
    <n v="85.23"/>
    <x v="5"/>
    <x v="5"/>
    <x v="2"/>
    <s v="2024-02-17"/>
    <n v="0"/>
    <x v="0"/>
    <s v="Q1"/>
    <n v="74.989999999999995"/>
  </r>
  <r>
    <s v="#ORD-10316"/>
    <s v="2024-12-12"/>
    <s v="12:18:30"/>
    <s v="Chloe Thomas"/>
    <s v="chloe.thomas10@gmail.com"/>
    <s v="+1-601-283-8304"/>
    <s v="Philadelphia"/>
    <s v="PA"/>
    <s v="United States"/>
    <s v="Organic Green Tea 100ct x1"/>
    <x v="9"/>
    <n v="1"/>
    <n v="14.99"/>
    <s v="None"/>
    <n v="0"/>
    <n v="9.99"/>
    <n v="1.5"/>
    <n v="26.48"/>
    <x v="0"/>
    <x v="3"/>
    <x v="2"/>
    <s v="2024-12-16"/>
    <n v="0"/>
    <x v="1"/>
    <s v="Q4"/>
    <n v="14.99"/>
  </r>
  <r>
    <s v="#ORD-10317"/>
    <s v="2024-09-17"/>
    <s v="12:57:50"/>
    <s v="Benjamin Thompson"/>
    <s v="benjamin.thompson43@outlook.com"/>
    <s v="+1-681-337-4666"/>
    <s v="San Jose"/>
    <s v="CA"/>
    <s v="United States"/>
    <s v="USB-C Fast Charger 65W x2 | Bamboo Sunglasses x1 | Classic Fit Polo Shirt x1"/>
    <x v="7"/>
    <n v="3"/>
    <n v="119.96"/>
    <s v="SUMMER20"/>
    <n v="23.99"/>
    <n v="0"/>
    <n v="5.76"/>
    <n v="101.73"/>
    <x v="5"/>
    <x v="4"/>
    <x v="3"/>
    <m/>
    <n v="0"/>
    <x v="11"/>
    <s v="Q3"/>
    <n v="95.97"/>
  </r>
  <r>
    <s v="#ORD-10318"/>
    <s v="2024-09-28"/>
    <s v="16:52:51"/>
    <s v="James Green"/>
    <s v="james.green47@gmail.com"/>
    <s v="+1-788-230-9322"/>
    <s v="Dallas"/>
    <s v="TX"/>
    <s v="United States"/>
    <s v="Resistance Band Set x1 | High-Waist Leggings x1 | Canvas Backpack 25L x1 | Leather Wallet Slim x1"/>
    <x v="3"/>
    <n v="4"/>
    <n v="152.96"/>
    <s v="SUMMER20"/>
    <n v="30.59"/>
    <n v="0"/>
    <n v="10.4"/>
    <n v="132.77000000000001"/>
    <x v="4"/>
    <x v="3"/>
    <x v="1"/>
    <s v="2024-10-03"/>
    <n v="0"/>
    <x v="11"/>
    <s v="Q3"/>
    <n v="122.37"/>
  </r>
  <r>
    <s v="#ORD-10319"/>
    <s v="2024-09-09"/>
    <s v="05:19:33"/>
    <s v="Sophia Sanchez"/>
    <s v="sophia.sanchez92@yahoo.com"/>
    <s v="+1-593-167-6582"/>
    <s v="Baltimore"/>
    <s v="MD"/>
    <s v="United States"/>
    <s v="Yoga Mat Premium x1"/>
    <x v="3"/>
    <n v="1"/>
    <n v="34.99"/>
    <s v="WELCOME15"/>
    <n v="5.25"/>
    <n v="9.99"/>
    <n v="2.08"/>
    <n v="41.81"/>
    <x v="1"/>
    <x v="5"/>
    <x v="3"/>
    <m/>
    <n v="0"/>
    <x v="11"/>
    <s v="Q3"/>
    <n v="29.740000000000002"/>
  </r>
  <r>
    <s v="#ORD-10320"/>
    <s v="2024-09-26"/>
    <s v="13:47:23"/>
    <s v="Lucas Hill"/>
    <s v="lucas.hill56@yahoo.com"/>
    <s v="+1-655-280-6046"/>
    <s v="Columbus"/>
    <s v="OH"/>
    <s v="United States"/>
    <s v="Anti-Aging Serum 1oz x1"/>
    <x v="0"/>
    <n v="1"/>
    <n v="49.99"/>
    <s v="LOYALTY5"/>
    <n v="2.5"/>
    <n v="9.99"/>
    <n v="2.85"/>
    <n v="60.33"/>
    <x v="1"/>
    <x v="5"/>
    <x v="0"/>
    <s v="2024-09-27"/>
    <n v="60.33"/>
    <x v="11"/>
    <s v="Q3"/>
    <n v="47.49"/>
  </r>
  <r>
    <s v="#ORD-10321"/>
    <s v="2024-11-14"/>
    <s v="09:42:08"/>
    <s v="Henry Jones"/>
    <s v="henry.jones14@outlook.com"/>
    <s v="+1-876-252-8421"/>
    <s v="Nashville"/>
    <s v="TN"/>
    <s v="United States"/>
    <s v="Stainless Steel Cookware Set x1"/>
    <x v="6"/>
    <n v="1"/>
    <n v="129.99"/>
    <s v="None"/>
    <n v="0"/>
    <n v="0"/>
    <n v="7.8"/>
    <n v="137.79"/>
    <x v="0"/>
    <x v="3"/>
    <x v="2"/>
    <s v="2024-11-16"/>
    <n v="0"/>
    <x v="8"/>
    <s v="Q4"/>
    <n v="129.99"/>
  </r>
  <r>
    <s v="#ORD-10322"/>
    <s v="2024-09-21"/>
    <s v="16:11:48"/>
    <s v="Grace Jackson"/>
    <s v="grace.jackson79@yahoo.com"/>
    <s v="+1-208-726-9362"/>
    <s v="Fort Worth"/>
    <s v="TX"/>
    <s v="United States"/>
    <s v="Yoga Mat Premium x2 | Linen Throw Blanket x1 | High-Waist Leggings x3"/>
    <x v="3"/>
    <n v="3"/>
    <n v="238.94"/>
    <s v="WELCOME15"/>
    <n v="35.840000000000003"/>
    <n v="0"/>
    <n v="20.309999999999999"/>
    <n v="223.41"/>
    <x v="3"/>
    <x v="3"/>
    <x v="2"/>
    <s v="2024-09-26"/>
    <n v="0"/>
    <x v="11"/>
    <s v="Q3"/>
    <n v="203.1"/>
  </r>
  <r>
    <s v="#ORD-10323"/>
    <s v="2024-12-15"/>
    <s v="22:38:03"/>
    <s v="Henry Rodriguez"/>
    <s v="henry.rodriguez38@gmail.com"/>
    <s v="+1-919-704-7459"/>
    <s v="Milwaukee"/>
    <s v="WI"/>
    <s v="United States"/>
    <s v="Portable Bluetooth Speaker x2 | Wireless Noise-Cancelling Headphones x2"/>
    <x v="7"/>
    <n v="2"/>
    <n v="279.95999999999998"/>
    <s v="SAVE10"/>
    <n v="28"/>
    <n v="0"/>
    <n v="15.12"/>
    <n v="267.08"/>
    <x v="4"/>
    <x v="2"/>
    <x v="2"/>
    <s v="2024-12-19"/>
    <n v="0"/>
    <x v="1"/>
    <s v="Q4"/>
    <n v="251.95999999999998"/>
  </r>
  <r>
    <s v="#ORD-10324"/>
    <s v="2024-03-23"/>
    <s v="00:40:35"/>
    <s v="Abigail Harris"/>
    <s v="abigail.harris49@gmail.com"/>
    <s v="+1-211-173-1257"/>
    <s v="Fort Worth"/>
    <s v="TX"/>
    <s v="United States"/>
    <s v="Stainless Steel Cookware Set x1 | Mechanical Keyboard x1"/>
    <x v="6"/>
    <n v="2"/>
    <n v="249.98"/>
    <s v="SAVE10"/>
    <n v="25"/>
    <n v="0"/>
    <n v="19.12"/>
    <n v="244.1"/>
    <x v="0"/>
    <x v="7"/>
    <x v="2"/>
    <s v="2024-03-25"/>
    <n v="0"/>
    <x v="9"/>
    <s v="Q1"/>
    <n v="224.98"/>
  </r>
  <r>
    <s v="#ORD-10325"/>
    <s v="2024-02-23"/>
    <s v="06:59:08"/>
    <s v="James Allen"/>
    <s v="james.allen56@yahoo.com"/>
    <s v="+1-765-939-8373"/>
    <s v="El Paso"/>
    <s v="TX"/>
    <s v="United States"/>
    <s v="Multivitamin Daily Pack x1 | Canvas Backpack 25L x2"/>
    <x v="8"/>
    <n v="2"/>
    <n v="129.97"/>
    <s v="LOYALTY5"/>
    <n v="6.5"/>
    <n v="0"/>
    <n v="10.49"/>
    <n v="133.96"/>
    <x v="1"/>
    <x v="5"/>
    <x v="4"/>
    <m/>
    <n v="0"/>
    <x v="0"/>
    <s v="Q1"/>
    <n v="123.47"/>
  </r>
  <r>
    <s v="#ORD-10326"/>
    <s v="2024-01-03"/>
    <s v="21:15:09"/>
    <s v="Elizabeth Thompson"/>
    <s v="elizabeth.thompson24@gmail.com"/>
    <s v="+1-694-821-7038"/>
    <s v="San Diego"/>
    <s v="CA"/>
    <s v="United States"/>
    <s v="Canvas Backpack 25L x1 | Men's Grooming Kit x1"/>
    <x v="2"/>
    <n v="2"/>
    <n v="90.98"/>
    <s v="WELCOME15"/>
    <n v="13.65"/>
    <n v="0"/>
    <n v="6.96"/>
    <n v="84.29"/>
    <x v="1"/>
    <x v="3"/>
    <x v="2"/>
    <s v="2024-01-08"/>
    <n v="0"/>
    <x v="6"/>
    <s v="Q1"/>
    <n v="77.33"/>
  </r>
  <r>
    <s v="#ORD-10327"/>
    <s v="2024-10-10"/>
    <s v="13:49:18"/>
    <s v="Mason Hill"/>
    <s v="mason.hill89@gmail.com"/>
    <s v="+1-793-419-1864"/>
    <s v="Indianapolis"/>
    <s v="IN"/>
    <s v="United States"/>
    <s v="Canvas Backpack 25L x1 | Classic Fit Polo Shirt x1 | Hiking Boots x2"/>
    <x v="2"/>
    <n v="3"/>
    <n v="309.95999999999998"/>
    <s v="None"/>
    <n v="0"/>
    <n v="0"/>
    <n v="21.7"/>
    <n v="331.66"/>
    <x v="5"/>
    <x v="4"/>
    <x v="2"/>
    <s v="2024-10-15"/>
    <n v="0"/>
    <x v="7"/>
    <s v="Q4"/>
    <n v="309.95999999999998"/>
  </r>
  <r>
    <s v="#ORD-10328"/>
    <s v="2024-07-18"/>
    <s v="02:21:59"/>
    <s v="Muhammad Scott"/>
    <s v="muhammad.scott2@gmail.com"/>
    <s v="+1-844-584-3770"/>
    <s v="Memphis"/>
    <s v="TN"/>
    <s v="United States"/>
    <s v="Linen Throw Blanket x1 | Men's Grooming Kit x3 | Resistance Band Set x1 | Multivitamin Daily Pack x1"/>
    <x v="4"/>
    <n v="4"/>
    <n v="192.94"/>
    <s v="LOYALTY5"/>
    <n v="9.65"/>
    <n v="0"/>
    <n v="18.329999999999998"/>
    <n v="201.62"/>
    <x v="0"/>
    <x v="6"/>
    <x v="2"/>
    <s v="2024-07-19"/>
    <n v="0"/>
    <x v="2"/>
    <s v="Q3"/>
    <n v="183.29"/>
  </r>
  <r>
    <s v="#ORD-10329"/>
    <s v="2024-04-21"/>
    <s v="09:18:56"/>
    <s v="Chloe Brown"/>
    <s v="chloe.brown38@outlook.com"/>
    <s v="+1-959-214-3860"/>
    <s v="El Paso"/>
    <s v="TX"/>
    <s v="United States"/>
    <s v="Mechanical Keyboard x1 | Air Fryer 5.8Qt x2"/>
    <x v="7"/>
    <n v="2"/>
    <n v="279.97000000000003"/>
    <s v="SAVE10"/>
    <n v="28"/>
    <n v="0"/>
    <n v="17.64"/>
    <n v="269.61"/>
    <x v="1"/>
    <x v="3"/>
    <x v="2"/>
    <s v="2024-04-22"/>
    <n v="0"/>
    <x v="10"/>
    <s v="Q2"/>
    <n v="251.97000000000003"/>
  </r>
  <r>
    <s v="#ORD-10330"/>
    <s v="2024-03-09"/>
    <s v="02:50:26"/>
    <s v="Daniel Martinez"/>
    <s v="daniel.martinez58@gmail.com"/>
    <s v="+1-970-522-7277"/>
    <s v="El Paso"/>
    <s v="TX"/>
    <s v="United States"/>
    <s v="Sunscreen SPF 50 Face x1"/>
    <x v="0"/>
    <n v="1"/>
    <n v="18.989999999999998"/>
    <s v="None"/>
    <n v="0"/>
    <n v="4.99"/>
    <n v="1.52"/>
    <n v="25.5"/>
    <x v="3"/>
    <x v="1"/>
    <x v="2"/>
    <s v="2024-03-13"/>
    <n v="0"/>
    <x v="9"/>
    <s v="Q1"/>
    <n v="18.989999999999998"/>
  </r>
  <r>
    <s v="#ORD-10331"/>
    <s v="2024-08-12"/>
    <s v="09:05:21"/>
    <s v="Oliver Robinson"/>
    <s v="oliver.robinson82@gmail.com"/>
    <s v="+1-588-799-7390"/>
    <s v="Portland"/>
    <s v="OR"/>
    <s v="United States"/>
    <s v="Insulated Water Bottle 32oz x1 | Portable Bluetooth Speaker x2 | Essential Oil Diffuser x1"/>
    <x v="3"/>
    <n v="3"/>
    <n v="160.96"/>
    <s v="SUMMER20"/>
    <n v="32.19"/>
    <n v="0"/>
    <n v="10.95"/>
    <n v="139.72"/>
    <x v="5"/>
    <x v="5"/>
    <x v="0"/>
    <s v="2024-08-14"/>
    <n v="139.72"/>
    <x v="5"/>
    <s v="Q3"/>
    <n v="128.77000000000001"/>
  </r>
  <r>
    <s v="#ORD-10332"/>
    <s v="2024-12-26"/>
    <s v="02:20:25"/>
    <s v="Ella Taylor"/>
    <s v="ella.taylor68@yahoo.com"/>
    <s v="+1-476-373-2610"/>
    <s v="Phoenix"/>
    <s v="AZ"/>
    <s v="United States"/>
    <s v="Protein Powder Chocolate 2lb x3 | Anti-Aging Serum 1oz x1 | Resistance Band Set x1"/>
    <x v="8"/>
    <n v="3"/>
    <n v="209.95"/>
    <s v="FLASH25"/>
    <n v="52.49"/>
    <n v="0"/>
    <n v="15.75"/>
    <n v="173.21"/>
    <x v="5"/>
    <x v="6"/>
    <x v="2"/>
    <s v="2024-12-29"/>
    <n v="0"/>
    <x v="1"/>
    <s v="Q4"/>
    <n v="157.45999999999998"/>
  </r>
  <r>
    <s v="#ORD-10333"/>
    <s v="2024-10-12"/>
    <s v="04:17:50"/>
    <s v="Harper Hill"/>
    <s v="harper.hill60@outlook.com"/>
    <s v="+1-621-200-9605"/>
    <s v="Fort Worth"/>
    <s v="TX"/>
    <s v="United States"/>
    <s v="Classic Fit Polo Shirt x1 | Running Shoes - Women's x1"/>
    <x v="1"/>
    <n v="2"/>
    <n v="104.98"/>
    <s v="None"/>
    <n v="0"/>
    <n v="0"/>
    <n v="8.4"/>
    <n v="113.38"/>
    <x v="5"/>
    <x v="4"/>
    <x v="2"/>
    <s v="2024-10-13"/>
    <n v="0"/>
    <x v="7"/>
    <s v="Q4"/>
    <n v="104.98"/>
  </r>
  <r>
    <s v="#ORD-10334"/>
    <s v="2024-01-14"/>
    <s v="05:17:32"/>
    <s v="Sophia Robinson"/>
    <s v="sophia.robinson29@yahoo.com"/>
    <s v="+1-819-233-7159"/>
    <s v="Jacksonville"/>
    <s v="FL"/>
    <s v="United States"/>
    <s v="USB-C Fast Charger 65W x1"/>
    <x v="7"/>
    <n v="1"/>
    <n v="29.99"/>
    <s v="LOYALTY5"/>
    <n v="1.5"/>
    <n v="5.99"/>
    <n v="2.56"/>
    <n v="37.04"/>
    <x v="1"/>
    <x v="4"/>
    <x v="2"/>
    <s v="2024-01-15"/>
    <n v="0"/>
    <x v="6"/>
    <s v="Q1"/>
    <n v="28.49"/>
  </r>
  <r>
    <s v="#ORD-10335"/>
    <s v="2024-06-30"/>
    <s v="08:20:29"/>
    <s v="Chloe Lopez"/>
    <s v="chloe.lopez15@yahoo.com"/>
    <s v="+1-365-899-2212"/>
    <s v="Albuquerque"/>
    <s v="NM"/>
    <s v="United States"/>
    <s v="USB-C Fast Charger 65W x1 | Essential Oil Diffuser x3"/>
    <x v="7"/>
    <n v="2"/>
    <n v="128.96"/>
    <s v="WELCOME15"/>
    <n v="19.34"/>
    <n v="0"/>
    <n v="10.96"/>
    <n v="120.58"/>
    <x v="2"/>
    <x v="4"/>
    <x v="1"/>
    <s v="2024-07-03"/>
    <n v="0"/>
    <x v="3"/>
    <s v="Q2"/>
    <n v="109.62"/>
  </r>
  <r>
    <s v="#ORD-10336"/>
    <s v="2024-01-24"/>
    <s v="07:47:13"/>
    <s v="Elijah Brown"/>
    <s v="elijah.brown50@gmail.com"/>
    <s v="+1-382-760-9061"/>
    <s v="Fort Worth"/>
    <s v="TX"/>
    <s v="United States"/>
    <s v="Denim Jacket x1"/>
    <x v="1"/>
    <n v="1"/>
    <n v="64.989999999999995"/>
    <s v="SUMMER20"/>
    <n v="13"/>
    <n v="4.99"/>
    <n v="4.42"/>
    <n v="61.4"/>
    <x v="7"/>
    <x v="3"/>
    <x v="4"/>
    <m/>
    <n v="0"/>
    <x v="6"/>
    <s v="Q1"/>
    <n v="51.989999999999995"/>
  </r>
  <r>
    <s v="#ORD-10337"/>
    <s v="2024-08-26"/>
    <s v="10:34:50"/>
    <s v="Sophia Martinez"/>
    <s v="sophia.martinez99@gmail.com"/>
    <s v="+1-352-768-1014"/>
    <s v="Seattle"/>
    <s v="WA"/>
    <s v="United States"/>
    <s v="Bamboo Sunglasses x2 | Organic Green Tea 100ct x1"/>
    <x v="2"/>
    <n v="2"/>
    <n v="64.97"/>
    <s v="None"/>
    <n v="0"/>
    <n v="4.99"/>
    <n v="5.85"/>
    <n v="75.81"/>
    <x v="1"/>
    <x v="6"/>
    <x v="2"/>
    <s v="2024-08-30"/>
    <n v="0"/>
    <x v="5"/>
    <s v="Q3"/>
    <n v="64.97"/>
  </r>
  <r>
    <s v="#ORD-10338"/>
    <s v="2024-08-11"/>
    <s v="04:02:07"/>
    <s v="Olivia Harris"/>
    <s v="olivia.harris20@outlook.com"/>
    <s v="+1-431-103-7298"/>
    <s v="Dallas"/>
    <s v="TX"/>
    <s v="United States"/>
    <s v="Sunscreen SPF 50 Face x3"/>
    <x v="0"/>
    <n v="1"/>
    <n v="56.97"/>
    <s v="SUMMER20"/>
    <n v="11.39"/>
    <n v="9.99"/>
    <n v="3.87"/>
    <n v="59.44"/>
    <x v="5"/>
    <x v="4"/>
    <x v="2"/>
    <s v="2024-08-16"/>
    <n v="0"/>
    <x v="5"/>
    <s v="Q3"/>
    <n v="45.58"/>
  </r>
  <r>
    <s v="#ORD-10339"/>
    <s v="2024-09-21"/>
    <s v="19:10:10"/>
    <s v="Ella Davis"/>
    <s v="ella.davis69@yahoo.com"/>
    <s v="+1-978-884-5750"/>
    <s v="Denver"/>
    <s v="CO"/>
    <s v="United States"/>
    <s v="Portable Bluetooth Speaker x1"/>
    <x v="7"/>
    <n v="1"/>
    <n v="49.99"/>
    <s v="None"/>
    <n v="0"/>
    <n v="7.99"/>
    <n v="4.5"/>
    <n v="62.48"/>
    <x v="4"/>
    <x v="3"/>
    <x v="3"/>
    <m/>
    <n v="0"/>
    <x v="11"/>
    <s v="Q3"/>
    <n v="49.99"/>
  </r>
  <r>
    <s v="#ORD-10340"/>
    <s v="2024-04-26"/>
    <s v="01:40:24"/>
    <s v="Charlotte Lopez"/>
    <s v="charlotte.lopez6@outlook.com"/>
    <s v="+1-444-600-7369"/>
    <s v="Seattle"/>
    <s v="WA"/>
    <s v="United States"/>
    <s v="Leather Wallet Slim x1 | Smart LED Desk Lamp x1"/>
    <x v="2"/>
    <n v="2"/>
    <n v="69.98"/>
    <s v="None"/>
    <n v="0"/>
    <n v="9.99"/>
    <n v="7"/>
    <n v="86.97"/>
    <x v="0"/>
    <x v="3"/>
    <x v="2"/>
    <s v="2024-05-01"/>
    <n v="0"/>
    <x v="10"/>
    <s v="Q2"/>
    <n v="69.98"/>
  </r>
  <r>
    <s v="#ORD-10341"/>
    <s v="2024-11-19"/>
    <s v="23:46:34"/>
    <s v="Ava Scott"/>
    <s v="ava.scott40@gmail.com"/>
    <s v="+1-894-991-9791"/>
    <s v="Oklahoma City"/>
    <s v="OK"/>
    <s v="United States"/>
    <s v="Wireless Noise-Cancelling Headphones x1 | Portable Bluetooth Speaker x2 | Resistance Band Set x1"/>
    <x v="7"/>
    <n v="3"/>
    <n v="214.96"/>
    <s v="None"/>
    <n v="0"/>
    <n v="0"/>
    <n v="15.05"/>
    <n v="230.01"/>
    <x v="6"/>
    <x v="0"/>
    <x v="3"/>
    <m/>
    <n v="0"/>
    <x v="8"/>
    <s v="Q4"/>
    <n v="214.96"/>
  </r>
  <r>
    <s v="#ORD-10342"/>
    <s v="2024-02-24"/>
    <s v="23:43:07"/>
    <s v="James Hill"/>
    <s v="james.hill10@gmail.com"/>
    <s v="+1-299-567-3796"/>
    <s v="San Diego"/>
    <s v="CA"/>
    <s v="United States"/>
    <s v="Wireless Noise-Cancelling Headphones x2 | Stainless Steel Cookware Set x1"/>
    <x v="7"/>
    <n v="2"/>
    <n v="309.97000000000003"/>
    <s v="None"/>
    <n v="0"/>
    <n v="0"/>
    <n v="31"/>
    <n v="340.97"/>
    <x v="1"/>
    <x v="3"/>
    <x v="2"/>
    <s v="2024-02-27"/>
    <n v="0"/>
    <x v="0"/>
    <s v="Q1"/>
    <n v="309.97000000000003"/>
  </r>
  <r>
    <s v="#ORD-10343"/>
    <s v="2024-08-19"/>
    <s v="01:35:28"/>
    <s v="Daniel Jones"/>
    <s v="daniel.jones14@gmail.com"/>
    <s v="+1-529-956-4493"/>
    <s v="Baltimore"/>
    <s v="MD"/>
    <s v="United States"/>
    <s v="Casual Sneakers x1 | USB-C Fast Charger 65W x1 | High-Waist Leggings x2"/>
    <x v="5"/>
    <n v="3"/>
    <n v="175.96"/>
    <s v="WELCOME15"/>
    <n v="26.39"/>
    <n v="0"/>
    <n v="11.97"/>
    <n v="161.54"/>
    <x v="0"/>
    <x v="4"/>
    <x v="0"/>
    <s v="2024-08-21"/>
    <n v="161.54"/>
    <x v="5"/>
    <s v="Q3"/>
    <n v="149.57"/>
  </r>
  <r>
    <s v="#ORD-10344"/>
    <s v="2024-04-16"/>
    <s v="08:52:16"/>
    <s v="Olivia Hill"/>
    <s v="olivia.hill43@gmail.com"/>
    <s v="+1-847-727-7162"/>
    <s v="Philadelphia"/>
    <s v="PA"/>
    <s v="United States"/>
    <s v="Multivitamin Daily Pack x1"/>
    <x v="8"/>
    <n v="1"/>
    <n v="19.989999999999998"/>
    <s v="SAVE10"/>
    <n v="2"/>
    <n v="5.99"/>
    <n v="1.53"/>
    <n v="25.51"/>
    <x v="0"/>
    <x v="0"/>
    <x v="2"/>
    <s v="2024-04-17"/>
    <n v="0"/>
    <x v="10"/>
    <s v="Q2"/>
    <n v="17.989999999999998"/>
  </r>
  <r>
    <s v="#ORD-10345"/>
    <s v="2024-01-03"/>
    <s v="19:19:57"/>
    <s v="Mia Johnson"/>
    <s v="mia.johnson63@gmail.com"/>
    <s v="+1-908-229-4377"/>
    <s v="Albuquerque"/>
    <s v="NM"/>
    <s v="United States"/>
    <s v="USB-C Fast Charger 65W x2"/>
    <x v="7"/>
    <n v="1"/>
    <n v="59.98"/>
    <s v="LOYALTY5"/>
    <n v="3"/>
    <n v="7.99"/>
    <n v="4.84"/>
    <n v="69.81"/>
    <x v="1"/>
    <x v="6"/>
    <x v="3"/>
    <m/>
    <n v="0"/>
    <x v="6"/>
    <s v="Q1"/>
    <n v="56.98"/>
  </r>
  <r>
    <s v="#ORD-10346"/>
    <s v="2024-12-30"/>
    <s v="07:37:44"/>
    <s v="James Moore"/>
    <s v="james.moore58@gmail.com"/>
    <s v="+1-628-104-4860"/>
    <s v="San Francisco"/>
    <s v="CA"/>
    <s v="United States"/>
    <s v="Sunscreen SPF 50 Face x1"/>
    <x v="0"/>
    <n v="1"/>
    <n v="18.989999999999998"/>
    <s v="None"/>
    <n v="0"/>
    <n v="9.99"/>
    <n v="1.71"/>
    <n v="30.69"/>
    <x v="7"/>
    <x v="0"/>
    <x v="2"/>
    <s v="2025-01-02"/>
    <n v="0"/>
    <x v="1"/>
    <s v="Q4"/>
    <n v="18.989999999999998"/>
  </r>
  <r>
    <s v="#ORD-10347"/>
    <s v="2024-07-28"/>
    <s v="14:34:52"/>
    <s v="Charlotte Davis"/>
    <s v="charlotte.davis13@outlook.com"/>
    <s v="+1-709-280-3617"/>
    <s v="San Francisco"/>
    <s v="CA"/>
    <s v="United States"/>
    <s v="Organic Green Tea 100ct x1 | Classic Fit Polo Shirt x1"/>
    <x v="9"/>
    <n v="2"/>
    <n v="49.98"/>
    <s v="None"/>
    <n v="0"/>
    <n v="5.99"/>
    <n v="3"/>
    <n v="58.97"/>
    <x v="6"/>
    <x v="4"/>
    <x v="3"/>
    <m/>
    <n v="0"/>
    <x v="2"/>
    <s v="Q3"/>
    <n v="49.98"/>
  </r>
  <r>
    <s v="#ORD-10348"/>
    <s v="2024-06-17"/>
    <s v="19:26:00"/>
    <s v="Olivia Brown"/>
    <s v="olivia.brown47@gmail.com"/>
    <s v="+1-229-596-9436"/>
    <s v="Oklahoma City"/>
    <s v="OK"/>
    <s v="United States"/>
    <s v="Scented Soy Candle Set x2"/>
    <x v="4"/>
    <n v="1"/>
    <n v="45.98"/>
    <s v="SUMMER20"/>
    <n v="9.1999999999999993"/>
    <n v="4.99"/>
    <n v="2.21"/>
    <n v="43.98"/>
    <x v="6"/>
    <x v="1"/>
    <x v="2"/>
    <s v="2024-06-19"/>
    <n v="0"/>
    <x v="3"/>
    <s v="Q2"/>
    <n v="36.78"/>
  </r>
  <r>
    <s v="#ORD-10349"/>
    <s v="2024-05-06"/>
    <s v="14:16:55"/>
    <s v="Mason Jones"/>
    <s v="mason.jones31@outlook.com"/>
    <s v="+1-404-484-4615"/>
    <s v="Albuquerque"/>
    <s v="NM"/>
    <s v="United States"/>
    <s v="Men's Grooming Kit x1"/>
    <x v="0"/>
    <n v="1"/>
    <n v="35.99"/>
    <s v="SAVE10"/>
    <n v="3.6"/>
    <n v="5.99"/>
    <n v="1.94"/>
    <n v="40.32"/>
    <x v="0"/>
    <x v="3"/>
    <x v="4"/>
    <m/>
    <n v="0"/>
    <x v="4"/>
    <s v="Q2"/>
    <n v="32.39"/>
  </r>
  <r>
    <s v="#ORD-10350"/>
    <s v="2024-06-18"/>
    <s v="06:33:24"/>
    <s v="Ava Young"/>
    <s v="ava.young63@gmail.com"/>
    <s v="+1-407-443-3084"/>
    <s v="Denver"/>
    <s v="CO"/>
    <s v="United States"/>
    <s v="Bamboo Sunglasses x1"/>
    <x v="2"/>
    <n v="1"/>
    <n v="24.99"/>
    <s v="None"/>
    <n v="0"/>
    <n v="9.99"/>
    <n v="2"/>
    <n v="36.979999999999997"/>
    <x v="0"/>
    <x v="4"/>
    <x v="1"/>
    <s v="2024-06-21"/>
    <n v="0"/>
    <x v="3"/>
    <s v="Q2"/>
    <n v="24.99"/>
  </r>
  <r>
    <s v="#ORD-10351"/>
    <s v="2024-11-26"/>
    <s v="17:57:57"/>
    <s v="Olivia Nguyen"/>
    <s v="olivia.nguyen36@gmail.com"/>
    <s v="+1-766-975-4763"/>
    <s v="Los Angeles"/>
    <s v="CA"/>
    <s v="United States"/>
    <s v="Multivitamin Daily Pack x2 | Running Shoes - Men's x1"/>
    <x v="8"/>
    <n v="2"/>
    <n v="114.97"/>
    <s v="SAVE10"/>
    <n v="11.5"/>
    <n v="0"/>
    <n v="9.31"/>
    <n v="112.78"/>
    <x v="0"/>
    <x v="6"/>
    <x v="2"/>
    <s v="2024-12-01"/>
    <n v="0"/>
    <x v="8"/>
    <s v="Q4"/>
    <n v="103.47"/>
  </r>
  <r>
    <s v="#ORD-10352"/>
    <s v="2024-03-25"/>
    <s v="01:23:28"/>
    <s v="Ethan Clark"/>
    <s v="ethan.clark67@gmail.com"/>
    <s v="+1-205-527-1724"/>
    <s v="Milwaukee"/>
    <s v="WI"/>
    <s v="United States"/>
    <s v="Denim Jacket x1 | Organic Green Tea 100ct x2"/>
    <x v="1"/>
    <n v="2"/>
    <n v="94.97"/>
    <s v="None"/>
    <n v="0"/>
    <n v="0"/>
    <n v="6.65"/>
    <n v="101.62"/>
    <x v="0"/>
    <x v="0"/>
    <x v="2"/>
    <s v="2024-03-30"/>
    <n v="0"/>
    <x v="9"/>
    <s v="Q1"/>
    <n v="94.97"/>
  </r>
  <r>
    <s v="#ORD-10353"/>
    <s v="2024-06-02"/>
    <s v="03:19:48"/>
    <s v="Olivia Young"/>
    <s v="olivia.young99@yahoo.com"/>
    <s v="+1-423-235-6872"/>
    <s v="Portland"/>
    <s v="OR"/>
    <s v="United States"/>
    <s v="High-Waist Leggings x2 | Sunscreen SPF 50 Face x1"/>
    <x v="1"/>
    <n v="2"/>
    <n v="104.97"/>
    <s v="None"/>
    <n v="0"/>
    <n v="0"/>
    <n v="6.3"/>
    <n v="111.27"/>
    <x v="1"/>
    <x v="3"/>
    <x v="4"/>
    <m/>
    <n v="0"/>
    <x v="3"/>
    <s v="Q2"/>
    <n v="104.97"/>
  </r>
  <r>
    <s v="#ORD-10354"/>
    <s v="2024-09-16"/>
    <s v="19:51:49"/>
    <s v="Evelyn Thomas"/>
    <s v="evelyn.thomas12@gmail.com"/>
    <s v="+1-389-908-7068"/>
    <s v="Oklahoma City"/>
    <s v="OK"/>
    <s v="United States"/>
    <s v="Sunscreen SPF 50 Face x1"/>
    <x v="0"/>
    <n v="1"/>
    <n v="18.989999999999998"/>
    <s v="LOYALTY5"/>
    <n v="0.95"/>
    <n v="4.99"/>
    <n v="1.53"/>
    <n v="24.56"/>
    <x v="5"/>
    <x v="3"/>
    <x v="4"/>
    <m/>
    <n v="0"/>
    <x v="11"/>
    <s v="Q3"/>
    <n v="18.04"/>
  </r>
  <r>
    <s v="#ORD-10355"/>
    <s v="2024-12-12"/>
    <s v="23:24:45"/>
    <s v="Sebastian Smith"/>
    <s v="sebastian.smith81@gmail.com"/>
    <s v="+1-543-853-1898"/>
    <s v="Milwaukee"/>
    <s v="WI"/>
    <s v="United States"/>
    <s v="Air Fryer 5.8Qt x1 | Portable Bluetooth Speaker x2"/>
    <x v="6"/>
    <n v="2"/>
    <n v="179.97"/>
    <s v="LOYALTY5"/>
    <n v="9"/>
    <n v="0"/>
    <n v="15.39"/>
    <n v="186.36"/>
    <x v="1"/>
    <x v="3"/>
    <x v="2"/>
    <s v="2024-12-17"/>
    <n v="0"/>
    <x v="1"/>
    <s v="Q4"/>
    <n v="170.97"/>
  </r>
  <r>
    <s v="#ORD-10356"/>
    <s v="2024-05-21"/>
    <s v="23:33:13"/>
    <s v="Scarlett White"/>
    <s v="scarlett.white7@gmail.com"/>
    <s v="+1-752-216-8839"/>
    <s v="Albuquerque"/>
    <s v="NM"/>
    <s v="United States"/>
    <s v="Portable Bluetooth Speaker x1 | Insulated Water Bottle 32oz x1"/>
    <x v="7"/>
    <n v="2"/>
    <n v="77.98"/>
    <s v="None"/>
    <n v="0"/>
    <n v="0"/>
    <n v="7.02"/>
    <n v="85"/>
    <x v="1"/>
    <x v="3"/>
    <x v="1"/>
    <s v="2024-05-23"/>
    <n v="0"/>
    <x v="4"/>
    <s v="Q2"/>
    <n v="77.98"/>
  </r>
  <r>
    <s v="#ORD-10357"/>
    <s v="2024-12-14"/>
    <s v="17:20:33"/>
    <s v="Daniel Wilson"/>
    <s v="daniel.wilson96@yahoo.com"/>
    <s v="+1-681-826-9714"/>
    <s v="Memphis"/>
    <s v="TN"/>
    <s v="United States"/>
    <s v="Anti-Aging Serum 1oz x1"/>
    <x v="0"/>
    <n v="1"/>
    <n v="49.99"/>
    <s v="None"/>
    <n v="0"/>
    <n v="4.99"/>
    <n v="4"/>
    <n v="58.98"/>
    <x v="0"/>
    <x v="5"/>
    <x v="0"/>
    <s v="2024-12-15"/>
    <n v="58.98"/>
    <x v="1"/>
    <s v="Q4"/>
    <n v="49.99"/>
  </r>
  <r>
    <s v="#ORD-10358"/>
    <s v="2024-09-18"/>
    <s v="11:40:16"/>
    <s v="Grace Jackson"/>
    <s v="grace.jackson80@gmail.com"/>
    <s v="+1-354-995-4346"/>
    <s v="Charlotte"/>
    <s v="NC"/>
    <s v="United States"/>
    <s v="High-Waist Leggings x2 | Leather Wallet Slim x1 | USB-C Fast Charger 65W x1 | Running Shoes - Women's x2"/>
    <x v="1"/>
    <n v="4"/>
    <n v="285.94"/>
    <s v="SAVE10"/>
    <n v="28.59"/>
    <n v="0"/>
    <n v="15.44"/>
    <n v="272.79000000000002"/>
    <x v="0"/>
    <x v="3"/>
    <x v="2"/>
    <s v="2024-09-22"/>
    <n v="0"/>
    <x v="11"/>
    <s v="Q3"/>
    <n v="257.35000000000002"/>
  </r>
  <r>
    <s v="#ORD-10359"/>
    <s v="2024-02-21"/>
    <s v="06:35:03"/>
    <s v="Owen Johnson"/>
    <s v="owen.johnson54@outlook.com"/>
    <s v="+1-621-692-6616"/>
    <s v="San Jose"/>
    <s v="CA"/>
    <s v="United States"/>
    <s v="Multivitamin Daily Pack x2 | Organic Green Tea 100ct x1"/>
    <x v="8"/>
    <n v="2"/>
    <n v="54.97"/>
    <s v="None"/>
    <n v="0"/>
    <n v="4.99"/>
    <n v="3.3"/>
    <n v="63.26"/>
    <x v="4"/>
    <x v="3"/>
    <x v="0"/>
    <s v="2024-02-24"/>
    <n v="63.26"/>
    <x v="0"/>
    <s v="Q1"/>
    <n v="54.97"/>
  </r>
  <r>
    <s v="#ORD-10360"/>
    <s v="2024-06-21"/>
    <s v="22:05:22"/>
    <s v="Abigail Allen"/>
    <s v="abigail.allen86@outlook.com"/>
    <s v="+1-561-391-8469"/>
    <s v="Denver"/>
    <s v="CO"/>
    <s v="United States"/>
    <s v="Linen Throw Blanket x2 | Mechanical Keyboard x1"/>
    <x v="4"/>
    <n v="2"/>
    <n v="199.97"/>
    <s v="SAVE10"/>
    <n v="20"/>
    <n v="0"/>
    <n v="12.6"/>
    <n v="192.57"/>
    <x v="5"/>
    <x v="7"/>
    <x v="2"/>
    <s v="2024-06-23"/>
    <n v="0"/>
    <x v="3"/>
    <s v="Q2"/>
    <n v="179.97"/>
  </r>
  <r>
    <s v="#ORD-10361"/>
    <s v="2024-03-09"/>
    <s v="02:28:03"/>
    <s v="Mia Green"/>
    <s v="mia.green21@yahoo.com"/>
    <s v="+1-775-824-1568"/>
    <s v="Tucson"/>
    <s v="AZ"/>
    <s v="United States"/>
    <s v="Sunscreen SPF 50 Face x2 | Leather Wallet Slim x1 | Anti-Aging Serum 1oz x1"/>
    <x v="0"/>
    <n v="3"/>
    <n v="117.96"/>
    <s v="SAVE10"/>
    <n v="11.8"/>
    <n v="0"/>
    <n v="9.5500000000000007"/>
    <n v="115.71"/>
    <x v="0"/>
    <x v="3"/>
    <x v="2"/>
    <s v="2024-03-11"/>
    <n v="0"/>
    <x v="9"/>
    <s v="Q1"/>
    <n v="106.16"/>
  </r>
  <r>
    <s v="#ORD-10362"/>
    <s v="2024-03-04"/>
    <s v="03:31:10"/>
    <s v="Abigail Thompson"/>
    <s v="abigail.thompson48@gmail.com"/>
    <s v="+1-539-762-5842"/>
    <s v="Phoenix"/>
    <s v="AZ"/>
    <s v="United States"/>
    <s v="Smart LED Desk Lamp x1 | Bamboo Sunglasses x3"/>
    <x v="7"/>
    <n v="2"/>
    <n v="114.96"/>
    <s v="None"/>
    <n v="0"/>
    <n v="0"/>
    <n v="9.77"/>
    <n v="124.73"/>
    <x v="2"/>
    <x v="3"/>
    <x v="0"/>
    <s v="2024-03-09"/>
    <n v="124.73"/>
    <x v="9"/>
    <s v="Q1"/>
    <n v="114.96"/>
  </r>
  <r>
    <s v="#ORD-10363"/>
    <s v="2024-10-09"/>
    <s v="22:31:12"/>
    <s v="Ella Jackson"/>
    <s v="ella.jackson74@outlook.com"/>
    <s v="+1-565-194-6347"/>
    <s v="Memphis"/>
    <s v="TN"/>
    <s v="United States"/>
    <s v="Organic Green Tea 100ct x2 | Resistance Band Set x2 | Sunscreen SPF 50 Face x1 | Smart LED Desk Lamp x1"/>
    <x v="9"/>
    <n v="4"/>
    <n v="138.94"/>
    <s v="SAVE10"/>
    <n v="13.89"/>
    <n v="0"/>
    <n v="7.5"/>
    <n v="132.55000000000001"/>
    <x v="5"/>
    <x v="6"/>
    <x v="3"/>
    <m/>
    <n v="0"/>
    <x v="7"/>
    <s v="Q4"/>
    <n v="125.05"/>
  </r>
  <r>
    <s v="#ORD-10364"/>
    <s v="2024-12-29"/>
    <s v="09:01:50"/>
    <s v="Noah Flores"/>
    <s v="noah.flores25@yahoo.com"/>
    <s v="+1-882-469-7513"/>
    <s v="Oklahoma City"/>
    <s v="OK"/>
    <s v="United States"/>
    <s v="Running Shoes - Women's x1 | Wireless Noise-Cancelling Headphones x1 | USB-C Fast Charger 65W x1"/>
    <x v="5"/>
    <n v="3"/>
    <n v="189.97"/>
    <s v="None"/>
    <n v="0"/>
    <n v="0"/>
    <n v="17.100000000000001"/>
    <n v="207.07"/>
    <x v="5"/>
    <x v="5"/>
    <x v="0"/>
    <s v="2024-12-30"/>
    <n v="207.07"/>
    <x v="1"/>
    <s v="Q4"/>
    <n v="189.97"/>
  </r>
  <r>
    <s v="#ORD-10365"/>
    <s v="2024-04-20"/>
    <s v="13:08:01"/>
    <s v="James Lewis"/>
    <s v="james.lewis50@gmail.com"/>
    <s v="+1-653-395-3683"/>
    <s v="Jacksonville"/>
    <s v="FL"/>
    <s v="United States"/>
    <s v="Yoga Mat Premium x3"/>
    <x v="3"/>
    <n v="1"/>
    <n v="104.97"/>
    <s v="FLASH25"/>
    <n v="26.24"/>
    <n v="0"/>
    <n v="4.72"/>
    <n v="83.45"/>
    <x v="0"/>
    <x v="2"/>
    <x v="4"/>
    <m/>
    <n v="0"/>
    <x v="10"/>
    <s v="Q2"/>
    <n v="78.73"/>
  </r>
  <r>
    <s v="#ORD-10366"/>
    <s v="2024-04-27"/>
    <s v="18:19:08"/>
    <s v="Jack Clark"/>
    <s v="jack.clark76@yahoo.com"/>
    <s v="+1-379-669-8571"/>
    <s v="Phoenix"/>
    <s v="AZ"/>
    <s v="United States"/>
    <s v="Canvas Backpack 25L x3 | Air Fryer 5.8Qt x1"/>
    <x v="2"/>
    <n v="2"/>
    <n v="244.96"/>
    <s v="LOYALTY5"/>
    <n v="12.25"/>
    <n v="0"/>
    <n v="19.78"/>
    <n v="252.49"/>
    <x v="0"/>
    <x v="5"/>
    <x v="2"/>
    <s v="2024-05-01"/>
    <n v="0"/>
    <x v="10"/>
    <s v="Q2"/>
    <n v="232.71"/>
  </r>
  <r>
    <s v="#ORD-10367"/>
    <s v="2024-07-09"/>
    <s v="12:35:21"/>
    <s v="Chloe Rodriguez"/>
    <s v="chloe.rodriguez24@yahoo.com"/>
    <s v="+1-357-368-5917"/>
    <s v="San Antonio"/>
    <s v="TX"/>
    <s v="United States"/>
    <s v="Denim Jacket x1"/>
    <x v="1"/>
    <n v="1"/>
    <n v="64.989999999999995"/>
    <s v="LOYALTY5"/>
    <n v="3.25"/>
    <n v="7.99"/>
    <n v="5.25"/>
    <n v="74.98"/>
    <x v="1"/>
    <x v="5"/>
    <x v="2"/>
    <s v="2024-07-10"/>
    <n v="0"/>
    <x v="2"/>
    <s v="Q3"/>
    <n v="61.739999999999995"/>
  </r>
  <r>
    <s v="#ORD-10368"/>
    <s v="2024-07-10"/>
    <s v="00:42:52"/>
    <s v="Ella Davis"/>
    <s v="ella.davis86@yahoo.com"/>
    <s v="+1-910-937-2959"/>
    <s v="Oklahoma City"/>
    <s v="OK"/>
    <s v="United States"/>
    <s v="Essential Oil Diffuser x2 | Casual Sneakers x1 | Wireless Noise-Cancelling Headphones x3 | Smart LED Desk Lamp x1"/>
    <x v="4"/>
    <n v="4"/>
    <n v="435.93"/>
    <s v="SAVE10"/>
    <n v="43.59"/>
    <n v="0"/>
    <n v="35.31"/>
    <n v="427.65"/>
    <x v="5"/>
    <x v="5"/>
    <x v="2"/>
    <s v="2024-07-14"/>
    <n v="0"/>
    <x v="2"/>
    <s v="Q3"/>
    <n v="392.34000000000003"/>
  </r>
  <r>
    <s v="#ORD-10369"/>
    <s v="2024-04-10"/>
    <s v="19:03:42"/>
    <s v="Alexander King"/>
    <s v="alexander.king74@gmail.com"/>
    <s v="+1-851-464-1798"/>
    <s v="Portland"/>
    <s v="OR"/>
    <s v="United States"/>
    <s v="Portable Bluetooth Speaker x1"/>
    <x v="7"/>
    <n v="1"/>
    <n v="49.99"/>
    <s v="SUMMER20"/>
    <n v="10"/>
    <n v="5.99"/>
    <n v="3.2"/>
    <n v="49.18"/>
    <x v="0"/>
    <x v="3"/>
    <x v="4"/>
    <m/>
    <n v="0"/>
    <x v="10"/>
    <s v="Q2"/>
    <n v="39.99"/>
  </r>
  <r>
    <s v="#ORD-10370"/>
    <s v="2024-10-24"/>
    <s v="15:45:40"/>
    <s v="Evelyn Jackson"/>
    <s v="evelyn.jackson82@outlook.com"/>
    <s v="+1-747-693-6761"/>
    <s v="San Francisco"/>
    <s v="CA"/>
    <s v="United States"/>
    <s v="Classic Fit Polo Shirt x1 | Smart LED Desk Lamp x1"/>
    <x v="1"/>
    <n v="2"/>
    <n v="74.98"/>
    <s v="SAVE10"/>
    <n v="7.5"/>
    <n v="7.99"/>
    <n v="6.75"/>
    <n v="82.22"/>
    <x v="6"/>
    <x v="3"/>
    <x v="1"/>
    <s v="2024-10-25"/>
    <n v="0"/>
    <x v="7"/>
    <s v="Q4"/>
    <n v="67.48"/>
  </r>
  <r>
    <s v="#ORD-10371"/>
    <s v="2024-10-29"/>
    <s v="11:00:54"/>
    <s v="James Smith"/>
    <s v="james.smith67@gmail.com"/>
    <s v="+1-929-664-2867"/>
    <s v="Phoenix"/>
    <s v="AZ"/>
    <s v="United States"/>
    <s v="Resistance Band Set x2 | Bamboo Sunglasses x1"/>
    <x v="3"/>
    <n v="2"/>
    <n v="74.97"/>
    <s v="None"/>
    <n v="0"/>
    <n v="5.99"/>
    <n v="5.25"/>
    <n v="86.21"/>
    <x v="6"/>
    <x v="0"/>
    <x v="0"/>
    <s v="2024-11-03"/>
    <n v="86.21"/>
    <x v="7"/>
    <s v="Q4"/>
    <n v="74.97"/>
  </r>
  <r>
    <s v="#ORD-10372"/>
    <s v="2024-02-20"/>
    <s v="23:10:20"/>
    <s v="Sofia Walker"/>
    <s v="sofia.walker10@gmail.com"/>
    <s v="+1-331-977-3332"/>
    <s v="Tucson"/>
    <s v="AZ"/>
    <s v="United States"/>
    <s v="Stainless Steel Cookware Set x1 | Insulated Water Bottle 32oz x2 | Yoga Mat Premium x2 | Sunscreen SPF 50 Face x1"/>
    <x v="6"/>
    <n v="4"/>
    <n v="274.94"/>
    <s v="SAVE10"/>
    <n v="27.49"/>
    <n v="0"/>
    <n v="17.32"/>
    <n v="264.77"/>
    <x v="1"/>
    <x v="3"/>
    <x v="2"/>
    <s v="2024-02-22"/>
    <n v="0"/>
    <x v="0"/>
    <s v="Q1"/>
    <n v="247.45"/>
  </r>
  <r>
    <s v="#ORD-10373"/>
    <s v="2024-01-31"/>
    <s v="12:39:04"/>
    <s v="Amelia Martin"/>
    <s v="amelia.martin27@gmail.com"/>
    <s v="+1-875-625-1971"/>
    <s v="Phoenix"/>
    <s v="AZ"/>
    <s v="United States"/>
    <s v="Classic Fit Polo Shirt x2"/>
    <x v="1"/>
    <n v="1"/>
    <n v="69.98"/>
    <s v="None"/>
    <n v="0"/>
    <n v="4.99"/>
    <n v="5.95"/>
    <n v="80.92"/>
    <x v="6"/>
    <x v="3"/>
    <x v="2"/>
    <s v="2024-02-01"/>
    <n v="0"/>
    <x v="6"/>
    <s v="Q1"/>
    <n v="69.98"/>
  </r>
  <r>
    <s v="#ORD-10374"/>
    <s v="2024-04-27"/>
    <s v="03:32:33"/>
    <s v="Ella Davis"/>
    <s v="ella.davis33@gmail.com"/>
    <s v="+1-292-249-5544"/>
    <s v="Tucson"/>
    <s v="AZ"/>
    <s v="United States"/>
    <s v="Classic Fit Polo Shirt x2 | Smart LED Desk Lamp x3"/>
    <x v="1"/>
    <n v="2"/>
    <n v="189.95"/>
    <s v="None"/>
    <n v="0"/>
    <n v="0"/>
    <n v="17.100000000000001"/>
    <n v="207.05"/>
    <x v="2"/>
    <x v="3"/>
    <x v="1"/>
    <s v="2024-04-28"/>
    <n v="0"/>
    <x v="10"/>
    <s v="Q2"/>
    <n v="189.95"/>
  </r>
  <r>
    <s v="#ORD-10375"/>
    <s v="2024-08-26"/>
    <s v="01:10:04"/>
    <s v="Daniel Thompson"/>
    <s v="daniel.thompson21@outlook.com"/>
    <s v="+1-972-650-1070"/>
    <s v="Jacksonville"/>
    <s v="FL"/>
    <s v="United States"/>
    <s v="Linen Throw Blanket x1"/>
    <x v="4"/>
    <n v="1"/>
    <n v="39.99"/>
    <s v="LOYALTY5"/>
    <n v="2"/>
    <n v="4.99"/>
    <n v="3.42"/>
    <n v="46.4"/>
    <x v="0"/>
    <x v="3"/>
    <x v="2"/>
    <s v="2024-08-28"/>
    <n v="0"/>
    <x v="5"/>
    <s v="Q3"/>
    <n v="37.99"/>
  </r>
  <r>
    <s v="#ORD-10376"/>
    <s v="2024-09-28"/>
    <s v="03:04:13"/>
    <s v="Sophia Wilson"/>
    <s v="sophia.wilson65@yahoo.com"/>
    <s v="+1-315-879-6149"/>
    <s v="Tucson"/>
    <s v="AZ"/>
    <s v="United States"/>
    <s v="Organic Green Tea 100ct x3 | Anti-Aging Serum 1oz x1"/>
    <x v="9"/>
    <n v="2"/>
    <n v="94.96"/>
    <s v="SAVE10"/>
    <n v="9.5"/>
    <n v="0"/>
    <n v="7.26"/>
    <n v="92.72"/>
    <x v="5"/>
    <x v="5"/>
    <x v="4"/>
    <m/>
    <n v="0"/>
    <x v="11"/>
    <s v="Q3"/>
    <n v="85.46"/>
  </r>
  <r>
    <s v="#ORD-10377"/>
    <s v="2024-10-23"/>
    <s v="00:54:20"/>
    <s v="Mason Walker"/>
    <s v="mason.walker67@gmail.com"/>
    <s v="+1-814-853-6111"/>
    <s v="Houston"/>
    <s v="TX"/>
    <s v="United States"/>
    <s v="Yoga Mat Premium x1"/>
    <x v="3"/>
    <n v="1"/>
    <n v="34.99"/>
    <s v="None"/>
    <n v="0"/>
    <n v="4.99"/>
    <n v="2.8"/>
    <n v="42.78"/>
    <x v="5"/>
    <x v="3"/>
    <x v="3"/>
    <m/>
    <n v="0"/>
    <x v="7"/>
    <s v="Q4"/>
    <n v="34.99"/>
  </r>
  <r>
    <s v="#ORD-10378"/>
    <s v="2024-11-28"/>
    <s v="04:35:09"/>
    <s v="Avery Anderson"/>
    <s v="avery.anderson53@gmail.com"/>
    <s v="+1-648-635-2392"/>
    <s v="Seattle"/>
    <s v="WA"/>
    <s v="United States"/>
    <s v="Canvas Backpack 25L x1"/>
    <x v="2"/>
    <n v="1"/>
    <n v="54.99"/>
    <s v="SUMMER20"/>
    <n v="11"/>
    <n v="7.99"/>
    <n v="3.08"/>
    <n v="55.06"/>
    <x v="0"/>
    <x v="4"/>
    <x v="2"/>
    <s v="2024-12-02"/>
    <n v="0"/>
    <x v="8"/>
    <s v="Q4"/>
    <n v="43.99"/>
  </r>
  <r>
    <s v="#ORD-10379"/>
    <s v="2024-10-14"/>
    <s v="22:38:54"/>
    <s v="Mason Martinez"/>
    <s v="mason.martinez52@outlook.com"/>
    <s v="+1-564-587-7626"/>
    <s v="Fort Worth"/>
    <s v="TX"/>
    <s v="United States"/>
    <s v="Running Shoes - Men's x1 | USB-C Fast Charger 65W x1 | Insulated Water Bottle 32oz x3 | Running Shoes - Women's x1"/>
    <x v="5"/>
    <n v="4"/>
    <n v="258.94"/>
    <s v="WELCOME15"/>
    <n v="38.840000000000003"/>
    <n v="0"/>
    <n v="22.01"/>
    <n v="242.11"/>
    <x v="5"/>
    <x v="4"/>
    <x v="2"/>
    <s v="2024-10-18"/>
    <n v="0"/>
    <x v="7"/>
    <s v="Q4"/>
    <n v="220.1"/>
  </r>
  <r>
    <s v="#ORD-10380"/>
    <s v="2024-04-07"/>
    <s v="08:35:55"/>
    <s v="Michael King"/>
    <s v="michael.king19@yahoo.com"/>
    <s v="+1-819-795-6356"/>
    <s v="Dallas"/>
    <s v="TX"/>
    <s v="United States"/>
    <s v="Casual Sneakers x3 | Essential Oil Diffuser x1"/>
    <x v="5"/>
    <n v="2"/>
    <n v="212.96"/>
    <s v="None"/>
    <n v="0"/>
    <n v="0"/>
    <n v="12.78"/>
    <n v="225.74"/>
    <x v="5"/>
    <x v="3"/>
    <x v="2"/>
    <s v="2024-04-11"/>
    <n v="0"/>
    <x v="10"/>
    <s v="Q2"/>
    <n v="212.96"/>
  </r>
  <r>
    <s v="#ORD-10381"/>
    <s v="2024-01-30"/>
    <s v="17:11:33"/>
    <s v="James Martin"/>
    <s v="james.martin80@gmail.com"/>
    <s v="+1-753-659-1289"/>
    <s v="Nashville"/>
    <s v="TN"/>
    <s v="United States"/>
    <s v="Air Fryer 5.8Qt x1 | Classic Fit Polo Shirt x1"/>
    <x v="6"/>
    <n v="2"/>
    <n v="114.98"/>
    <s v="SAVE10"/>
    <n v="11.5"/>
    <n v="0"/>
    <n v="10.35"/>
    <n v="113.83"/>
    <x v="5"/>
    <x v="5"/>
    <x v="0"/>
    <s v="2024-02-02"/>
    <n v="113.83"/>
    <x v="6"/>
    <s v="Q1"/>
    <n v="103.48"/>
  </r>
  <r>
    <s v="#ORD-10382"/>
    <s v="2024-05-02"/>
    <s v="03:54:15"/>
    <s v="Olivia Lewis"/>
    <s v="olivia.lewis16@gmail.com"/>
    <s v="+1-699-882-2792"/>
    <s v="Albuquerque"/>
    <s v="NM"/>
    <s v="United States"/>
    <s v="Organic Green Tea 100ct x1 | Portable Bluetooth Speaker x2 | Running Shoes - Men's x1"/>
    <x v="9"/>
    <n v="3"/>
    <n v="189.96"/>
    <s v="None"/>
    <n v="0"/>
    <n v="0"/>
    <n v="16.149999999999999"/>
    <n v="206.11"/>
    <x v="5"/>
    <x v="3"/>
    <x v="4"/>
    <m/>
    <n v="0"/>
    <x v="4"/>
    <s v="Q2"/>
    <n v="189.96"/>
  </r>
  <r>
    <s v="#ORD-10383"/>
    <s v="2024-07-03"/>
    <s v="19:48:45"/>
    <s v="Chloe Allen"/>
    <s v="chloe.allen71@outlook.com"/>
    <s v="+1-262-128-1739"/>
    <s v="El Paso"/>
    <s v="TX"/>
    <s v="United States"/>
    <s v="Running Shoes - Men's x1 | Air Fryer 5.8Qt x1"/>
    <x v="5"/>
    <n v="2"/>
    <n v="154.97999999999999"/>
    <s v="LOYALTY5"/>
    <n v="7.75"/>
    <n v="0"/>
    <n v="12.51"/>
    <n v="159.74"/>
    <x v="1"/>
    <x v="3"/>
    <x v="2"/>
    <s v="2024-07-06"/>
    <n v="0"/>
    <x v="2"/>
    <s v="Q3"/>
    <n v="147.22999999999999"/>
  </r>
  <r>
    <s v="#ORD-10384"/>
    <s v="2024-08-30"/>
    <s v="18:50:53"/>
    <s v="Isabella White"/>
    <s v="isabella.white95@outlook.com"/>
    <s v="+1-806-186-2073"/>
    <s v="Jacksonville"/>
    <s v="FL"/>
    <s v="United States"/>
    <s v="Smart LED Desk Lamp x1"/>
    <x v="7"/>
    <n v="1"/>
    <n v="39.99"/>
    <s v="SAVE10"/>
    <n v="4"/>
    <n v="9.99"/>
    <n v="2.88"/>
    <n v="48.86"/>
    <x v="0"/>
    <x v="3"/>
    <x v="2"/>
    <s v="2024-09-02"/>
    <n v="0"/>
    <x v="5"/>
    <s v="Q3"/>
    <n v="35.99"/>
  </r>
  <r>
    <s v="#ORD-10385"/>
    <s v="2024-05-06"/>
    <s v="15:37:45"/>
    <s v="Aiden Davis"/>
    <s v="aiden.davis22@gmail.com"/>
    <s v="+1-802-122-6185"/>
    <s v="Austin"/>
    <s v="TX"/>
    <s v="United States"/>
    <s v="Anti-Aging Serum 1oz x2"/>
    <x v="0"/>
    <n v="1"/>
    <n v="99.98"/>
    <s v="LOYALTY5"/>
    <n v="5"/>
    <n v="0"/>
    <n v="8.5500000000000007"/>
    <n v="103.53"/>
    <x v="2"/>
    <x v="3"/>
    <x v="3"/>
    <m/>
    <n v="0"/>
    <x v="4"/>
    <s v="Q2"/>
    <n v="94.98"/>
  </r>
  <r>
    <s v="#ORD-10386"/>
    <s v="2024-02-08"/>
    <s v="20:35:45"/>
    <s v="Elizabeth Nguyen"/>
    <s v="elizabeth.nguyen42@outlook.com"/>
    <s v="+1-406-608-2234"/>
    <s v="Fort Worth"/>
    <s v="TX"/>
    <s v="United States"/>
    <s v="Running Shoes - Women's x1 | Resistance Band Set x2"/>
    <x v="5"/>
    <n v="2"/>
    <n v="119.97"/>
    <s v="SAVE10"/>
    <n v="12"/>
    <n v="0"/>
    <n v="7.56"/>
    <n v="115.53"/>
    <x v="1"/>
    <x v="3"/>
    <x v="4"/>
    <m/>
    <n v="0"/>
    <x v="0"/>
    <s v="Q1"/>
    <n v="107.97"/>
  </r>
  <r>
    <s v="#ORD-10387"/>
    <s v="2024-08-10"/>
    <s v="17:36:01"/>
    <s v="Grace Wilson"/>
    <s v="grace.wilson34@gmail.com"/>
    <s v="+1-637-314-6690"/>
    <s v="San Jose"/>
    <s v="CA"/>
    <s v="United States"/>
    <s v="Casual Sneakers x1"/>
    <x v="5"/>
    <n v="1"/>
    <n v="59.99"/>
    <s v="None"/>
    <n v="0"/>
    <n v="4.99"/>
    <n v="5.4"/>
    <n v="70.38"/>
    <x v="0"/>
    <x v="3"/>
    <x v="0"/>
    <s v="2024-08-14"/>
    <n v="70.38"/>
    <x v="5"/>
    <s v="Q3"/>
    <n v="59.99"/>
  </r>
  <r>
    <s v="#ORD-10388"/>
    <s v="2024-07-28"/>
    <s v="16:40:34"/>
    <s v="Ava Martin"/>
    <s v="ava.martin39@gmail.com"/>
    <s v="+1-391-690-9178"/>
    <s v="San Francisco"/>
    <s v="CA"/>
    <s v="United States"/>
    <s v="Multivitamin Daily Pack x1"/>
    <x v="8"/>
    <n v="1"/>
    <n v="19.989999999999998"/>
    <s v="LOYALTY5"/>
    <n v="1"/>
    <n v="9.99"/>
    <n v="1.9"/>
    <n v="30.88"/>
    <x v="6"/>
    <x v="3"/>
    <x v="2"/>
    <s v="2024-08-02"/>
    <n v="0"/>
    <x v="2"/>
    <s v="Q3"/>
    <n v="18.989999999999998"/>
  </r>
  <r>
    <s v="#ORD-10389"/>
    <s v="2024-10-25"/>
    <s v="16:42:36"/>
    <s v="Lucas Walker"/>
    <s v="lucas.walker82@outlook.com"/>
    <s v="+1-622-373-5702"/>
    <s v="Dallas"/>
    <s v="TX"/>
    <s v="United States"/>
    <s v="Bamboo Sunglasses x1 | Linen Throw Blanket x1 | Men's Grooming Kit x1 | Essential Oil Diffuser x1"/>
    <x v="2"/>
    <n v="4"/>
    <n v="133.96"/>
    <s v="SAVE10"/>
    <n v="13.4"/>
    <n v="0"/>
    <n v="10.25"/>
    <n v="130.81"/>
    <x v="5"/>
    <x v="2"/>
    <x v="2"/>
    <s v="2024-10-27"/>
    <n v="0"/>
    <x v="7"/>
    <s v="Q4"/>
    <n v="120.56"/>
  </r>
  <r>
    <s v="#ORD-10390"/>
    <s v="2024-04-02"/>
    <s v="14:49:35"/>
    <s v="Mia Taylor"/>
    <s v="mia.taylor77@gmail.com"/>
    <s v="+1-363-379-3235"/>
    <s v="El Paso"/>
    <s v="TX"/>
    <s v="United States"/>
    <s v="Running Shoes - Women's x1"/>
    <x v="5"/>
    <n v="1"/>
    <n v="69.989999999999995"/>
    <s v="SAVE10"/>
    <n v="7"/>
    <n v="9.99"/>
    <n v="5.35"/>
    <n v="78.33"/>
    <x v="1"/>
    <x v="5"/>
    <x v="2"/>
    <s v="2024-04-04"/>
    <n v="0"/>
    <x v="10"/>
    <s v="Q2"/>
    <n v="62.989999999999995"/>
  </r>
  <r>
    <s v="#ORD-10391"/>
    <s v="2024-11-27"/>
    <s v="02:04:18"/>
    <s v="Liam Taylor"/>
    <s v="liam.taylor36@yahoo.com"/>
    <s v="+1-572-787-2479"/>
    <s v="Louisville"/>
    <s v="KY"/>
    <s v="United States"/>
    <s v="Men's Grooming Kit x1"/>
    <x v="0"/>
    <n v="1"/>
    <n v="35.99"/>
    <s v="None"/>
    <n v="0"/>
    <n v="4.99"/>
    <n v="2.16"/>
    <n v="43.14"/>
    <x v="0"/>
    <x v="3"/>
    <x v="2"/>
    <s v="2024-12-01"/>
    <n v="0"/>
    <x v="8"/>
    <s v="Q4"/>
    <n v="35.99"/>
  </r>
  <r>
    <s v="#ORD-10392"/>
    <s v="2024-02-16"/>
    <s v="20:28:14"/>
    <s v="Henry Rodriguez"/>
    <s v="henry.rodriguez15@outlook.com"/>
    <s v="+1-537-952-7388"/>
    <s v="San Diego"/>
    <s v="CA"/>
    <s v="United States"/>
    <s v="Denim Jacket x3 | Linen Throw Blanket x3"/>
    <x v="1"/>
    <n v="2"/>
    <n v="314.94"/>
    <s v="SAVE10"/>
    <n v="31.49"/>
    <n v="0"/>
    <n v="24.09"/>
    <n v="307.54000000000002"/>
    <x v="4"/>
    <x v="3"/>
    <x v="2"/>
    <s v="2024-02-19"/>
    <n v="0"/>
    <x v="0"/>
    <s v="Q1"/>
    <n v="283.45"/>
  </r>
  <r>
    <s v="#ORD-10393"/>
    <s v="2024-03-24"/>
    <s v="03:38:13"/>
    <s v="Oliver Lewis"/>
    <s v="oliver.lewis19@gmail.com"/>
    <s v="+1-686-832-7025"/>
    <s v="San Antonio"/>
    <s v="TX"/>
    <s v="United States"/>
    <s v="Organic Green Tea 100ct x1 | Multivitamin Daily Pack x1 | Hiking Boots x1 | Canvas Backpack 25L x1 | Linen Throw Blanket x1"/>
    <x v="9"/>
    <n v="5"/>
    <n v="239.95"/>
    <s v="SUMMER20"/>
    <n v="47.99"/>
    <n v="0"/>
    <n v="19.2"/>
    <n v="211.16"/>
    <x v="0"/>
    <x v="3"/>
    <x v="2"/>
    <s v="2024-03-27"/>
    <n v="0"/>
    <x v="9"/>
    <s v="Q1"/>
    <n v="191.95999999999998"/>
  </r>
  <r>
    <s v="#ORD-10394"/>
    <s v="2024-10-14"/>
    <s v="04:10:15"/>
    <s v="Aiden Johnson"/>
    <s v="aiden.johnson78@gmail.com"/>
    <s v="+1-747-987-4872"/>
    <s v="Oklahoma City"/>
    <s v="OK"/>
    <s v="United States"/>
    <s v="Portable Bluetooth Speaker x2 | Sunscreen SPF 50 Face x1"/>
    <x v="7"/>
    <n v="2"/>
    <n v="118.97"/>
    <s v="SAVE10"/>
    <n v="11.9"/>
    <n v="0"/>
    <n v="9.64"/>
    <n v="116.71"/>
    <x v="5"/>
    <x v="0"/>
    <x v="1"/>
    <s v="2024-10-15"/>
    <n v="0"/>
    <x v="7"/>
    <s v="Q4"/>
    <n v="107.07"/>
  </r>
  <r>
    <s v="#ORD-10395"/>
    <s v="2024-04-26"/>
    <s v="20:28:51"/>
    <s v="Avery Harris"/>
    <s v="avery.harris51@outlook.com"/>
    <s v="+1-846-424-7656"/>
    <s v="New York"/>
    <s v="NY"/>
    <s v="United States"/>
    <s v="Denim Jacket x2"/>
    <x v="1"/>
    <n v="1"/>
    <n v="129.97999999999999"/>
    <s v="SAVE10"/>
    <n v="13"/>
    <n v="0"/>
    <n v="8.19"/>
    <n v="125.17"/>
    <x v="4"/>
    <x v="3"/>
    <x v="3"/>
    <m/>
    <n v="0"/>
    <x v="10"/>
    <s v="Q2"/>
    <n v="116.97999999999999"/>
  </r>
  <r>
    <s v="#ORD-10396"/>
    <s v="2024-07-01"/>
    <s v="22:53:20"/>
    <s v="Olivia Moore"/>
    <s v="olivia.moore11@outlook.com"/>
    <s v="+1-816-846-9973"/>
    <s v="Milwaukee"/>
    <s v="WI"/>
    <s v="United States"/>
    <s v="Bamboo Sunglasses x2 | Denim Jacket x2 | Resistance Band Set x2"/>
    <x v="2"/>
    <n v="3"/>
    <n v="229.94"/>
    <s v="None"/>
    <n v="0"/>
    <n v="0"/>
    <n v="22.99"/>
    <n v="252.93"/>
    <x v="0"/>
    <x v="3"/>
    <x v="4"/>
    <m/>
    <n v="0"/>
    <x v="2"/>
    <s v="Q3"/>
    <n v="229.94"/>
  </r>
  <r>
    <s v="#ORD-10397"/>
    <s v="2024-03-12"/>
    <s v="08:34:38"/>
    <s v="Abigail Walker"/>
    <s v="abigail.walker4@outlook.com"/>
    <s v="+1-930-886-3131"/>
    <s v="Boston"/>
    <s v="MA"/>
    <s v="United States"/>
    <s v="High-Waist Leggings x1 | Essential Oil Diffuser x1"/>
    <x v="1"/>
    <n v="2"/>
    <n v="75.98"/>
    <s v="SAVE10"/>
    <n v="7.6"/>
    <n v="0"/>
    <n v="5.47"/>
    <n v="73.849999999999994"/>
    <x v="1"/>
    <x v="3"/>
    <x v="2"/>
    <s v="2024-03-17"/>
    <n v="0"/>
    <x v="9"/>
    <s v="Q1"/>
    <n v="68.38000000000001"/>
  </r>
  <r>
    <s v="#ORD-10398"/>
    <s v="2024-12-05"/>
    <s v="05:39:52"/>
    <s v="Victoria Clark"/>
    <s v="victoria.clark41@gmail.com"/>
    <s v="+1-784-329-1339"/>
    <s v="Louisville"/>
    <s v="KY"/>
    <s v="United States"/>
    <s v="Hiking Boots x1 | Running Shoes - Men's x1 | Anti-Aging Serum 1oz x1"/>
    <x v="5"/>
    <n v="3"/>
    <n v="234.97"/>
    <s v="None"/>
    <n v="0"/>
    <n v="0"/>
    <n v="19.97"/>
    <n v="254.94"/>
    <x v="5"/>
    <x v="3"/>
    <x v="4"/>
    <m/>
    <n v="0"/>
    <x v="1"/>
    <s v="Q4"/>
    <n v="234.97"/>
  </r>
  <r>
    <s v="#ORD-10399"/>
    <s v="2024-06-28"/>
    <s v="14:06:44"/>
    <s v="Liam Torres"/>
    <s v="liam.torres79@outlook.com"/>
    <s v="+1-374-680-2922"/>
    <s v="Oklahoma City"/>
    <s v="OK"/>
    <s v="United States"/>
    <s v="Sunscreen SPF 50 Face x2"/>
    <x v="0"/>
    <n v="1"/>
    <n v="37.979999999999997"/>
    <s v="None"/>
    <n v="0"/>
    <n v="9.99"/>
    <n v="3.42"/>
    <n v="51.39"/>
    <x v="5"/>
    <x v="3"/>
    <x v="2"/>
    <s v="2024-07-01"/>
    <n v="0"/>
    <x v="3"/>
    <s v="Q2"/>
    <n v="37.979999999999997"/>
  </r>
  <r>
    <s v="#ORD-10400"/>
    <s v="2024-09-18"/>
    <s v="14:30:02"/>
    <s v="Emma Wright"/>
    <s v="emma.wright99@yahoo.com"/>
    <s v="+1-411-714-4531"/>
    <s v="Columbus"/>
    <s v="OH"/>
    <s v="United States"/>
    <s v="Casual Sneakers x1 | Sunscreen SPF 50 Face x3"/>
    <x v="5"/>
    <n v="2"/>
    <n v="116.96"/>
    <s v="SAVE10"/>
    <n v="11.7"/>
    <n v="0"/>
    <n v="8.42"/>
    <n v="113.68"/>
    <x v="6"/>
    <x v="3"/>
    <x v="4"/>
    <m/>
    <n v="0"/>
    <x v="11"/>
    <s v="Q3"/>
    <n v="105.25999999999999"/>
  </r>
  <r>
    <s v="#ORD-10401"/>
    <s v="2024-02-26"/>
    <s v="16:17:09"/>
    <s v="Evelyn Gonzalez"/>
    <s v="evelyn.gonzalez24@gmail.com"/>
    <s v="+1-287-110-8682"/>
    <s v="Columbus"/>
    <s v="OH"/>
    <s v="United States"/>
    <s v="Hiking Boots x1"/>
    <x v="5"/>
    <n v="1"/>
    <n v="109.99"/>
    <s v="SUMMER20"/>
    <n v="22"/>
    <n v="0"/>
    <n v="6.16"/>
    <n v="94.15"/>
    <x v="5"/>
    <x v="4"/>
    <x v="3"/>
    <m/>
    <n v="0"/>
    <x v="0"/>
    <s v="Q1"/>
    <n v="87.99"/>
  </r>
  <r>
    <s v="#ORD-10402"/>
    <s v="2024-10-02"/>
    <s v="03:15:43"/>
    <s v="Isabella Lee"/>
    <s v="isabella.lee51@outlook.com"/>
    <s v="+1-886-921-1745"/>
    <s v="Boston"/>
    <s v="MA"/>
    <s v="United States"/>
    <s v="Scented Soy Candle Set x1"/>
    <x v="4"/>
    <n v="1"/>
    <n v="22.99"/>
    <s v="None"/>
    <n v="0"/>
    <n v="4.99"/>
    <n v="1.38"/>
    <n v="29.36"/>
    <x v="0"/>
    <x v="3"/>
    <x v="1"/>
    <s v="2024-10-07"/>
    <n v="0"/>
    <x v="7"/>
    <s v="Q4"/>
    <n v="22.99"/>
  </r>
  <r>
    <s v="#ORD-10403"/>
    <s v="2024-06-02"/>
    <s v="06:50:27"/>
    <s v="Emma Taylor"/>
    <s v="emma.taylor80@gmail.com"/>
    <s v="+1-335-191-6198"/>
    <s v="San Francisco"/>
    <s v="CA"/>
    <s v="United States"/>
    <s v="Mechanical Keyboard x1 | Leather Wallet Slim x1"/>
    <x v="7"/>
    <n v="2"/>
    <n v="149.97999999999999"/>
    <s v="SAVE10"/>
    <n v="15"/>
    <n v="0"/>
    <n v="9.4499999999999993"/>
    <n v="144.43"/>
    <x v="5"/>
    <x v="1"/>
    <x v="3"/>
    <m/>
    <n v="0"/>
    <x v="3"/>
    <s v="Q2"/>
    <n v="134.97999999999999"/>
  </r>
  <r>
    <s v="#ORD-10404"/>
    <s v="2024-01-18"/>
    <s v="03:37:16"/>
    <s v="Owen Lewis"/>
    <s v="owen.lewis34@gmail.com"/>
    <s v="+1-982-254-8208"/>
    <s v="Phoenix"/>
    <s v="AZ"/>
    <s v="United States"/>
    <s v="Stainless Steel Cookware Set x1 | Canvas Backpack 25L x1 | Denim Jacket x2 | Hiking Boots x1 | Men's Grooming Kit x2"/>
    <x v="6"/>
    <n v="5"/>
    <n v="496.93"/>
    <s v="SAVE10"/>
    <n v="49.69"/>
    <n v="0"/>
    <n v="40.25"/>
    <n v="487.49"/>
    <x v="0"/>
    <x v="2"/>
    <x v="1"/>
    <s v="2024-01-22"/>
    <n v="0"/>
    <x v="6"/>
    <s v="Q1"/>
    <n v="447.24"/>
  </r>
  <r>
    <s v="#ORD-10405"/>
    <s v="2024-01-14"/>
    <s v="22:15:37"/>
    <s v="Noah Gonzalez"/>
    <s v="noah.gonzalez7@gmail.com"/>
    <s v="+1-668-604-2843"/>
    <s v="Phoenix"/>
    <s v="AZ"/>
    <s v="United States"/>
    <s v="Running Shoes - Men's x1 | Sunscreen SPF 50 Face x1"/>
    <x v="5"/>
    <n v="2"/>
    <n v="93.98"/>
    <s v="SUMMER20"/>
    <n v="18.8"/>
    <n v="0"/>
    <n v="4.51"/>
    <n v="79.69"/>
    <x v="5"/>
    <x v="7"/>
    <x v="0"/>
    <s v="2024-01-18"/>
    <n v="79.69"/>
    <x v="6"/>
    <s v="Q1"/>
    <n v="75.180000000000007"/>
  </r>
  <r>
    <s v="#ORD-10406"/>
    <s v="2024-04-20"/>
    <s v="08:09:26"/>
    <s v="James Davis"/>
    <s v="james.davis12@gmail.com"/>
    <s v="+1-985-684-3958"/>
    <s v="Jacksonville"/>
    <s v="FL"/>
    <s v="United States"/>
    <s v="Running Shoes - Men's x2"/>
    <x v="5"/>
    <n v="1"/>
    <n v="149.97999999999999"/>
    <s v="SAVE10"/>
    <n v="15"/>
    <n v="0"/>
    <n v="12.15"/>
    <n v="147.13"/>
    <x v="4"/>
    <x v="0"/>
    <x v="2"/>
    <s v="2024-04-25"/>
    <n v="0"/>
    <x v="10"/>
    <s v="Q2"/>
    <n v="134.97999999999999"/>
  </r>
  <r>
    <s v="#ORD-10407"/>
    <s v="2024-02-06"/>
    <s v="14:59:18"/>
    <s v="Sofia Jones"/>
    <s v="sofia.jones99@gmail.com"/>
    <s v="+1-664-743-5412"/>
    <s v="San Diego"/>
    <s v="CA"/>
    <s v="United States"/>
    <s v="Wireless Noise-Cancelling Headphones x1 | Yoga Mat Premium x1 | Anti-Aging Serum 1oz x3 | Smart LED Desk Lamp x2"/>
    <x v="7"/>
    <n v="4"/>
    <n v="354.93"/>
    <s v="None"/>
    <n v="0"/>
    <n v="0"/>
    <n v="21.3"/>
    <n v="376.23"/>
    <x v="0"/>
    <x v="6"/>
    <x v="3"/>
    <m/>
    <n v="0"/>
    <x v="0"/>
    <s v="Q1"/>
    <n v="354.93"/>
  </r>
  <r>
    <s v="#ORD-10408"/>
    <s v="2024-05-06"/>
    <s v="04:25:53"/>
    <s v="Victoria Smith"/>
    <s v="victoria.smith6@outlook.com"/>
    <s v="+1-294-508-5180"/>
    <s v="Austin"/>
    <s v="TX"/>
    <s v="United States"/>
    <s v="Men's Grooming Kit x1 | Bamboo Sunglasses x2 | High-Waist Leggings x2 | Linen Throw Blanket x1"/>
    <x v="0"/>
    <n v="4"/>
    <n v="211.94"/>
    <s v="None"/>
    <n v="0"/>
    <n v="0"/>
    <n v="21.19"/>
    <n v="233.13"/>
    <x v="0"/>
    <x v="1"/>
    <x v="4"/>
    <m/>
    <n v="0"/>
    <x v="4"/>
    <s v="Q2"/>
    <n v="211.94"/>
  </r>
  <r>
    <s v="#ORD-10409"/>
    <s v="2024-11-27"/>
    <s v="00:26:20"/>
    <s v="Logan Thomas"/>
    <s v="logan.thomas52@gmail.com"/>
    <s v="+1-702-920-8083"/>
    <s v="Memphis"/>
    <s v="TN"/>
    <s v="United States"/>
    <s v="Protein Powder Chocolate 2lb x2"/>
    <x v="8"/>
    <n v="1"/>
    <n v="89.98"/>
    <s v="SAVE10"/>
    <n v="9"/>
    <n v="0"/>
    <n v="8.1"/>
    <n v="89.08"/>
    <x v="6"/>
    <x v="0"/>
    <x v="2"/>
    <s v="2024-11-30"/>
    <n v="0"/>
    <x v="8"/>
    <s v="Q4"/>
    <n v="80.98"/>
  </r>
  <r>
    <s v="#ORD-10410"/>
    <s v="2024-07-18"/>
    <s v="02:16:27"/>
    <s v="Aiden Flores"/>
    <s v="aiden.flores46@outlook.com"/>
    <s v="+1-577-728-4053"/>
    <s v="Phoenix"/>
    <s v="AZ"/>
    <s v="United States"/>
    <s v="Organic Green Tea 100ct x2"/>
    <x v="9"/>
    <n v="1"/>
    <n v="29.98"/>
    <s v="SUMMER20"/>
    <n v="6"/>
    <n v="7.99"/>
    <n v="2.16"/>
    <n v="34.130000000000003"/>
    <x v="1"/>
    <x v="3"/>
    <x v="4"/>
    <m/>
    <n v="0"/>
    <x v="2"/>
    <s v="Q3"/>
    <n v="23.98"/>
  </r>
  <r>
    <s v="#ORD-10411"/>
    <s v="2024-09-19"/>
    <s v="16:52:41"/>
    <s v="Jack Lewis"/>
    <s v="jack.lewis6@outlook.com"/>
    <s v="+1-647-181-8825"/>
    <s v="Chicago"/>
    <s v="IL"/>
    <s v="United States"/>
    <s v="Anti-Aging Serum 1oz x2"/>
    <x v="0"/>
    <n v="1"/>
    <n v="99.98"/>
    <s v="SUMMER20"/>
    <n v="20"/>
    <n v="0"/>
    <n v="7.2"/>
    <n v="87.18"/>
    <x v="1"/>
    <x v="5"/>
    <x v="2"/>
    <s v="2024-09-23"/>
    <n v="0"/>
    <x v="11"/>
    <s v="Q3"/>
    <n v="79.98"/>
  </r>
  <r>
    <s v="#ORD-10412"/>
    <s v="2024-07-22"/>
    <s v="03:34:16"/>
    <s v="Aiden Martinez"/>
    <s v="aiden.martinez88@outlook.com"/>
    <s v="+1-876-837-5151"/>
    <s v="Phoenix"/>
    <s v="AZ"/>
    <s v="United States"/>
    <s v="Linen Throw Blanket x1"/>
    <x v="4"/>
    <n v="1"/>
    <n v="39.99"/>
    <s v="None"/>
    <n v="0"/>
    <n v="4.99"/>
    <n v="3.6"/>
    <n v="48.58"/>
    <x v="0"/>
    <x v="5"/>
    <x v="2"/>
    <s v="2024-07-26"/>
    <n v="0"/>
    <x v="2"/>
    <s v="Q3"/>
    <n v="39.99"/>
  </r>
  <r>
    <s v="#ORD-10413"/>
    <s v="2024-10-14"/>
    <s v="14:06:39"/>
    <s v="Emily Taylor"/>
    <s v="emily.taylor11@yahoo.com"/>
    <s v="+1-975-786-8371"/>
    <s v="Denver"/>
    <s v="CO"/>
    <s v="United States"/>
    <s v="Running Shoes - Men's x1 | High-Waist Leggings x1"/>
    <x v="5"/>
    <n v="2"/>
    <n v="117.98"/>
    <s v="None"/>
    <n v="0"/>
    <n v="0"/>
    <n v="10.029999999999999"/>
    <n v="128.01"/>
    <x v="4"/>
    <x v="3"/>
    <x v="3"/>
    <m/>
    <n v="0"/>
    <x v="7"/>
    <s v="Q4"/>
    <n v="117.98"/>
  </r>
  <r>
    <s v="#ORD-10414"/>
    <s v="2024-01-31"/>
    <s v="09:04:05"/>
    <s v="Benjamin Taylor"/>
    <s v="benjamin.taylor24@gmail.com"/>
    <s v="+1-908-514-8974"/>
    <s v="Austin"/>
    <s v="TX"/>
    <s v="United States"/>
    <s v="Scented Soy Candle Set x1 | Hiking Boots x1 | Canvas Backpack 25L x1"/>
    <x v="4"/>
    <n v="3"/>
    <n v="187.97"/>
    <s v="WELCOME15"/>
    <n v="28.2"/>
    <n v="0"/>
    <n v="9.59"/>
    <n v="169.36"/>
    <x v="0"/>
    <x v="0"/>
    <x v="3"/>
    <m/>
    <n v="0"/>
    <x v="6"/>
    <s v="Q1"/>
    <n v="159.77000000000001"/>
  </r>
  <r>
    <s v="#ORD-10415"/>
    <s v="2024-09-18"/>
    <s v="16:18:01"/>
    <s v="Aiden Green"/>
    <s v="aiden.green79@gmail.com"/>
    <s v="+1-841-978-9824"/>
    <s v="Baltimore"/>
    <s v="MD"/>
    <s v="United States"/>
    <s v="Anti-Aging Serum 1oz x1 | Protein Powder Chocolate 2lb x1 | High-Waist Leggings x1 | Yoga Mat Premium x1 | USB-C Fast Charger 65W x3"/>
    <x v="0"/>
    <n v="5"/>
    <n v="262.93"/>
    <s v="None"/>
    <n v="0"/>
    <n v="0"/>
    <n v="18.41"/>
    <n v="281.33999999999997"/>
    <x v="5"/>
    <x v="3"/>
    <x v="2"/>
    <s v="2024-09-22"/>
    <n v="0"/>
    <x v="11"/>
    <s v="Q3"/>
    <n v="262.93"/>
  </r>
  <r>
    <s v="#ORD-10416"/>
    <s v="2024-07-03"/>
    <s v="01:53:54"/>
    <s v="Charlotte Garcia"/>
    <s v="charlotte.garcia99@gmail.com"/>
    <s v="+1-501-683-7418"/>
    <s v="San Jose"/>
    <s v="CA"/>
    <s v="United States"/>
    <s v="Smart LED Desk Lamp x1"/>
    <x v="7"/>
    <n v="1"/>
    <n v="39.99"/>
    <s v="None"/>
    <n v="0"/>
    <n v="9.99"/>
    <n v="3.4"/>
    <n v="53.38"/>
    <x v="5"/>
    <x v="2"/>
    <x v="2"/>
    <s v="2024-07-05"/>
    <n v="0"/>
    <x v="2"/>
    <s v="Q3"/>
    <n v="39.99"/>
  </r>
  <r>
    <s v="#ORD-10417"/>
    <s v="2024-06-10"/>
    <s v="10:28:24"/>
    <s v="Noah Perez"/>
    <s v="noah.perez14@outlook.com"/>
    <s v="+1-437-831-1994"/>
    <s v="New York"/>
    <s v="NY"/>
    <s v="United States"/>
    <s v="Men's Grooming Kit x2 | Linen Throw Blanket x3 | Scented Soy Candle Set x1"/>
    <x v="0"/>
    <n v="3"/>
    <n v="214.94"/>
    <s v="WELCOME15"/>
    <n v="32.24"/>
    <n v="0"/>
    <n v="15.53"/>
    <n v="198.23"/>
    <x v="5"/>
    <x v="4"/>
    <x v="3"/>
    <m/>
    <n v="0"/>
    <x v="3"/>
    <s v="Q2"/>
    <n v="182.7"/>
  </r>
  <r>
    <s v="#ORD-10418"/>
    <s v="2024-01-25"/>
    <s v="15:57:41"/>
    <s v="Owen Johnson"/>
    <s v="owen.johnson74@gmail.com"/>
    <s v="+1-914-546-1340"/>
    <s v="Columbus"/>
    <s v="OH"/>
    <s v="United States"/>
    <s v="Essential Oil Diffuser x1"/>
    <x v="4"/>
    <n v="1"/>
    <n v="32.99"/>
    <s v="SUMMER20"/>
    <n v="6.6"/>
    <n v="4.99"/>
    <n v="2.2400000000000002"/>
    <n v="33.619999999999997"/>
    <x v="1"/>
    <x v="0"/>
    <x v="3"/>
    <m/>
    <n v="0"/>
    <x v="6"/>
    <s v="Q1"/>
    <n v="26.39"/>
  </r>
  <r>
    <s v="#ORD-10419"/>
    <s v="2024-06-19"/>
    <s v="03:29:15"/>
    <s v="Mia Jackson"/>
    <s v="mia.jackson25@gmail.com"/>
    <s v="+1-626-953-6902"/>
    <s v="Portland"/>
    <s v="OR"/>
    <s v="United States"/>
    <s v="Casual Sneakers x1"/>
    <x v="5"/>
    <n v="1"/>
    <n v="59.99"/>
    <s v="SAVE10"/>
    <n v="6"/>
    <n v="9.99"/>
    <n v="3.78"/>
    <n v="67.760000000000005"/>
    <x v="4"/>
    <x v="4"/>
    <x v="4"/>
    <m/>
    <n v="0"/>
    <x v="3"/>
    <s v="Q2"/>
    <n v="53.99"/>
  </r>
  <r>
    <s v="#ORD-10420"/>
    <s v="2024-10-17"/>
    <s v="23:33:22"/>
    <s v="Ella Hernandez"/>
    <s v="ella.hernandez27@gmail.com"/>
    <s v="+1-705-410-4845"/>
    <s v="Nashville"/>
    <s v="TN"/>
    <s v="United States"/>
    <s v="Stainless Steel Cookware Set x1"/>
    <x v="6"/>
    <n v="1"/>
    <n v="129.99"/>
    <s v="None"/>
    <n v="0"/>
    <n v="0"/>
    <n v="9.1"/>
    <n v="139.09"/>
    <x v="1"/>
    <x v="3"/>
    <x v="4"/>
    <m/>
    <n v="0"/>
    <x v="7"/>
    <s v="Q4"/>
    <n v="129.99"/>
  </r>
  <r>
    <s v="#ORD-10421"/>
    <s v="2024-04-11"/>
    <s v="06:54:24"/>
    <s v="Lucas Torres"/>
    <s v="lucas.torres3@gmail.com"/>
    <s v="+1-775-329-8968"/>
    <s v="Los Angeles"/>
    <s v="CA"/>
    <s v="United States"/>
    <s v="Running Shoes - Men's x1"/>
    <x v="5"/>
    <n v="1"/>
    <n v="74.989999999999995"/>
    <s v="FLASH25"/>
    <n v="18.75"/>
    <n v="4.99"/>
    <n v="3.37"/>
    <n v="64.599999999999994"/>
    <x v="0"/>
    <x v="3"/>
    <x v="2"/>
    <s v="2024-04-12"/>
    <n v="0"/>
    <x v="10"/>
    <s v="Q2"/>
    <n v="56.239999999999995"/>
  </r>
  <r>
    <s v="#ORD-10422"/>
    <s v="2024-08-04"/>
    <s v="07:49:28"/>
    <s v="Harper Perez"/>
    <s v="harper.perez46@outlook.com"/>
    <s v="+1-668-961-2817"/>
    <s v="Louisville"/>
    <s v="KY"/>
    <s v="United States"/>
    <s v="Mechanical Keyboard x2"/>
    <x v="7"/>
    <n v="1"/>
    <n v="239.98"/>
    <s v="FLASH25"/>
    <n v="59.99"/>
    <n v="0"/>
    <n v="16.2"/>
    <n v="196.19"/>
    <x v="1"/>
    <x v="4"/>
    <x v="3"/>
    <m/>
    <n v="0"/>
    <x v="5"/>
    <s v="Q3"/>
    <n v="179.98999999999998"/>
  </r>
  <r>
    <s v="#ORD-10423"/>
    <s v="2024-02-10"/>
    <s v="22:30:09"/>
    <s v="Sophia Green"/>
    <s v="sophia.green14@yahoo.com"/>
    <s v="+1-950-991-2626"/>
    <s v="Nashville"/>
    <s v="TN"/>
    <s v="United States"/>
    <s v="Smart LED Desk Lamp x2"/>
    <x v="7"/>
    <n v="1"/>
    <n v="79.98"/>
    <s v="SAVE10"/>
    <n v="8"/>
    <n v="0"/>
    <n v="5.04"/>
    <n v="77.02"/>
    <x v="1"/>
    <x v="4"/>
    <x v="0"/>
    <s v="2024-02-14"/>
    <n v="77.02"/>
    <x v="0"/>
    <s v="Q1"/>
    <n v="71.98"/>
  </r>
  <r>
    <s v="#ORD-10424"/>
    <s v="2024-03-19"/>
    <s v="09:45:15"/>
    <s v="James White"/>
    <s v="james.white18@gmail.com"/>
    <s v="+1-581-832-7799"/>
    <s v="Austin"/>
    <s v="TX"/>
    <s v="United States"/>
    <s v="Multivitamin Daily Pack x2"/>
    <x v="8"/>
    <n v="1"/>
    <n v="39.979999999999997"/>
    <s v="None"/>
    <n v="0"/>
    <n v="5.99"/>
    <n v="3.4"/>
    <n v="49.37"/>
    <x v="0"/>
    <x v="5"/>
    <x v="2"/>
    <s v="2024-03-22"/>
    <n v="0"/>
    <x v="9"/>
    <s v="Q1"/>
    <n v="39.979999999999997"/>
  </r>
  <r>
    <s v="#ORD-10425"/>
    <s v="2024-03-29"/>
    <s v="14:48:37"/>
    <s v="Alexander Thomas"/>
    <s v="alexander.thomas97@yahoo.com"/>
    <s v="+1-349-888-1162"/>
    <s v="Phoenix"/>
    <s v="AZ"/>
    <s v="United States"/>
    <s v="Multivitamin Daily Pack x1"/>
    <x v="8"/>
    <n v="1"/>
    <n v="19.989999999999998"/>
    <s v="WELCOME15"/>
    <n v="3"/>
    <n v="9.99"/>
    <n v="1.53"/>
    <n v="28.51"/>
    <x v="6"/>
    <x v="3"/>
    <x v="2"/>
    <s v="2024-04-02"/>
    <n v="0"/>
    <x v="9"/>
    <s v="Q1"/>
    <n v="16.989999999999998"/>
  </r>
  <r>
    <s v="#ORD-10426"/>
    <s v="2024-10-26"/>
    <s v="23:02:05"/>
    <s v="Owen Jones"/>
    <s v="owen.jones44@gmail.com"/>
    <s v="+1-629-511-5986"/>
    <s v="Chicago"/>
    <s v="IL"/>
    <s v="United States"/>
    <s v="Portable Bluetooth Speaker x1"/>
    <x v="7"/>
    <n v="1"/>
    <n v="49.99"/>
    <s v="None"/>
    <n v="0"/>
    <n v="5.99"/>
    <n v="4.5"/>
    <n v="60.48"/>
    <x v="0"/>
    <x v="0"/>
    <x v="0"/>
    <s v="2024-10-29"/>
    <n v="60.48"/>
    <x v="7"/>
    <s v="Q4"/>
    <n v="49.99"/>
  </r>
  <r>
    <s v="#ORD-10427"/>
    <s v="2024-02-27"/>
    <s v="00:51:04"/>
    <s v="Abigail Thompson"/>
    <s v="abigail.thompson36@outlook.com"/>
    <s v="+1-994-302-5940"/>
    <s v="New York"/>
    <s v="NY"/>
    <s v="United States"/>
    <s v="Organic Green Tea 100ct x1 | Essential Oil Diffuser x1"/>
    <x v="9"/>
    <n v="2"/>
    <n v="47.98"/>
    <s v="LOYALTY5"/>
    <n v="2.4"/>
    <n v="9.99"/>
    <n v="4.5599999999999996"/>
    <n v="60.13"/>
    <x v="0"/>
    <x v="6"/>
    <x v="4"/>
    <m/>
    <n v="0"/>
    <x v="0"/>
    <s v="Q1"/>
    <n v="45.58"/>
  </r>
  <r>
    <s v="#ORD-10428"/>
    <s v="2024-10-06"/>
    <s v="04:27:08"/>
    <s v="Ethan Williams"/>
    <s v="ethan.williams43@gmail.com"/>
    <s v="+1-806-364-4954"/>
    <s v="Seattle"/>
    <s v="WA"/>
    <s v="United States"/>
    <s v="Mechanical Keyboard x1 | Air Fryer 5.8Qt x1 | Coffee Maker Programmable x1"/>
    <x v="7"/>
    <n v="3"/>
    <n v="254.97"/>
    <s v="FLASH25"/>
    <n v="63.74"/>
    <n v="0"/>
    <n v="15.3"/>
    <n v="206.53"/>
    <x v="6"/>
    <x v="3"/>
    <x v="2"/>
    <s v="2024-10-11"/>
    <n v="0"/>
    <x v="7"/>
    <s v="Q4"/>
    <n v="191.23"/>
  </r>
  <r>
    <s v="#ORD-10429"/>
    <s v="2024-04-10"/>
    <s v="21:06:20"/>
    <s v="Aiden Lewis"/>
    <s v="aiden.lewis15@outlook.com"/>
    <s v="+1-963-695-9737"/>
    <s v="San Francisco"/>
    <s v="CA"/>
    <s v="United States"/>
    <s v="Insulated Water Bottle 32oz x1 | Smart LED Desk Lamp x1"/>
    <x v="3"/>
    <n v="2"/>
    <n v="67.98"/>
    <s v="None"/>
    <n v="0"/>
    <n v="9.99"/>
    <n v="5.44"/>
    <n v="83.41"/>
    <x v="1"/>
    <x v="3"/>
    <x v="1"/>
    <s v="2024-04-12"/>
    <n v="0"/>
    <x v="10"/>
    <s v="Q2"/>
    <n v="67.98"/>
  </r>
  <r>
    <s v="#ORD-10430"/>
    <s v="2024-10-31"/>
    <s v="18:45:57"/>
    <s v="Victoria Anderson"/>
    <s v="victoria.anderson39@gmail.com"/>
    <s v="+1-300-250-7974"/>
    <s v="Jacksonville"/>
    <s v="FL"/>
    <s v="United States"/>
    <s v="Linen Throw Blanket x2 | Anti-Aging Serum 1oz x1 | Mechanical Keyboard x1"/>
    <x v="4"/>
    <n v="3"/>
    <n v="249.96"/>
    <s v="SAVE10"/>
    <n v="25"/>
    <n v="0"/>
    <n v="20.25"/>
    <n v="245.21"/>
    <x v="1"/>
    <x v="6"/>
    <x v="1"/>
    <s v="2024-11-04"/>
    <n v="0"/>
    <x v="7"/>
    <s v="Q4"/>
    <n v="224.96"/>
  </r>
  <r>
    <s v="#ORD-10431"/>
    <s v="2024-02-20"/>
    <s v="12:16:40"/>
    <s v="Sofia Garcia"/>
    <s v="sofia.garcia8@gmail.com"/>
    <s v="+1-905-601-7830"/>
    <s v="Chicago"/>
    <s v="IL"/>
    <s v="United States"/>
    <s v="Organic Green Tea 100ct x1 | USB-C Fast Charger 65W x1"/>
    <x v="9"/>
    <n v="2"/>
    <n v="44.98"/>
    <s v="LOYALTY5"/>
    <n v="2.25"/>
    <n v="9.99"/>
    <n v="3.42"/>
    <n v="56.14"/>
    <x v="1"/>
    <x v="0"/>
    <x v="3"/>
    <m/>
    <n v="0"/>
    <x v="0"/>
    <s v="Q1"/>
    <n v="42.73"/>
  </r>
  <r>
    <s v="#ORD-10432"/>
    <s v="2024-06-26"/>
    <s v="18:11:33"/>
    <s v="Mia Martinez"/>
    <s v="mia.martinez17@gmail.com"/>
    <s v="+1-578-221-7694"/>
    <s v="San Francisco"/>
    <s v="CA"/>
    <s v="United States"/>
    <s v="Sunscreen SPF 50 Face x1"/>
    <x v="0"/>
    <n v="1"/>
    <n v="18.989999999999998"/>
    <s v="FLASH25"/>
    <n v="4.75"/>
    <n v="4.99"/>
    <n v="1.42"/>
    <n v="20.65"/>
    <x v="0"/>
    <x v="5"/>
    <x v="2"/>
    <s v="2024-07-01"/>
    <n v="0"/>
    <x v="3"/>
    <s v="Q2"/>
    <n v="14.239999999999998"/>
  </r>
  <r>
    <s v="#ORD-10433"/>
    <s v="2024-07-22"/>
    <s v="00:38:22"/>
    <s v="Mason Davis"/>
    <s v="mason.davis74@gmail.com"/>
    <s v="+1-631-149-5999"/>
    <s v="Jacksonville"/>
    <s v="FL"/>
    <s v="United States"/>
    <s v="Insulated Water Bottle 32oz x1"/>
    <x v="3"/>
    <n v="1"/>
    <n v="27.99"/>
    <s v="SAVE10"/>
    <n v="2.8"/>
    <n v="7.99"/>
    <n v="2.02"/>
    <n v="35.200000000000003"/>
    <x v="5"/>
    <x v="6"/>
    <x v="2"/>
    <s v="2024-07-27"/>
    <n v="0"/>
    <x v="2"/>
    <s v="Q3"/>
    <n v="25.189999999999998"/>
  </r>
  <r>
    <s v="#ORD-10434"/>
    <s v="2024-02-17"/>
    <s v="12:10:43"/>
    <s v="Evelyn Wilson"/>
    <s v="evelyn.wilson95@gmail.com"/>
    <s v="+1-686-954-3175"/>
    <s v="Philadelphia"/>
    <s v="PA"/>
    <s v="United States"/>
    <s v="USB-C Fast Charger 65W x1 | Canvas Backpack 25L x1"/>
    <x v="7"/>
    <n v="2"/>
    <n v="84.98"/>
    <s v="SAVE10"/>
    <n v="8.5"/>
    <n v="0"/>
    <n v="6.88"/>
    <n v="83.36"/>
    <x v="5"/>
    <x v="3"/>
    <x v="4"/>
    <m/>
    <n v="0"/>
    <x v="0"/>
    <s v="Q1"/>
    <n v="76.48"/>
  </r>
  <r>
    <s v="#ORD-10435"/>
    <s v="2024-02-27"/>
    <s v="20:37:06"/>
    <s v="Isabella King"/>
    <s v="isabella.king59@outlook.com"/>
    <s v="+1-953-384-2450"/>
    <s v="Oklahoma City"/>
    <s v="OK"/>
    <s v="United States"/>
    <s v="Resistance Band Set x1 | USB-C Fast Charger 65W x1 | High-Waist Leggings x1"/>
    <x v="3"/>
    <n v="3"/>
    <n v="97.97"/>
    <s v="WELCOME15"/>
    <n v="14.7"/>
    <n v="0"/>
    <n v="6.66"/>
    <n v="89.93"/>
    <x v="5"/>
    <x v="1"/>
    <x v="3"/>
    <m/>
    <n v="0"/>
    <x v="0"/>
    <s v="Q1"/>
    <n v="83.27"/>
  </r>
  <r>
    <s v="#ORD-10436"/>
    <s v="2024-08-05"/>
    <s v="21:18:44"/>
    <s v="Mia Johnson"/>
    <s v="mia.johnson81@outlook.com"/>
    <s v="+1-968-587-9235"/>
    <s v="Denver"/>
    <s v="CO"/>
    <s v="United States"/>
    <s v="Essential Oil Diffuser x1 | Coffee Maker Programmable x3"/>
    <x v="4"/>
    <n v="2"/>
    <n v="197.96"/>
    <s v="FLASH25"/>
    <n v="49.49"/>
    <n v="0"/>
    <n v="13.36"/>
    <n v="161.83000000000001"/>
    <x v="6"/>
    <x v="1"/>
    <x v="0"/>
    <s v="2024-08-07"/>
    <n v="161.83000000000001"/>
    <x v="5"/>
    <s v="Q3"/>
    <n v="148.47"/>
  </r>
  <r>
    <s v="#ORD-10437"/>
    <s v="2024-01-08"/>
    <s v="08:50:47"/>
    <s v="Liam Davis"/>
    <s v="liam.davis69@gmail.com"/>
    <s v="+1-803-146-9052"/>
    <s v="El Paso"/>
    <s v="TX"/>
    <s v="United States"/>
    <s v="Running Shoes - Women's x1"/>
    <x v="5"/>
    <n v="1"/>
    <n v="69.989999999999995"/>
    <s v="LOYALTY5"/>
    <n v="3.5"/>
    <n v="9.99"/>
    <n v="3.99"/>
    <n v="80.47"/>
    <x v="6"/>
    <x v="0"/>
    <x v="4"/>
    <m/>
    <n v="0"/>
    <x v="6"/>
    <s v="Q1"/>
    <n v="66.489999999999995"/>
  </r>
  <r>
    <s v="#ORD-10438"/>
    <s v="2024-11-29"/>
    <s v="20:30:14"/>
    <s v="Liam Perez"/>
    <s v="liam.perez24@gmail.com"/>
    <s v="+1-514-517-3772"/>
    <s v="Columbus"/>
    <s v="OH"/>
    <s v="United States"/>
    <s v="Protein Powder Chocolate 2lb x1 | Hiking Boots x3"/>
    <x v="8"/>
    <n v="2"/>
    <n v="374.96"/>
    <s v="FLASH25"/>
    <n v="93.74"/>
    <n v="0"/>
    <n v="19.690000000000001"/>
    <n v="300.91000000000003"/>
    <x v="0"/>
    <x v="3"/>
    <x v="2"/>
    <s v="2024-12-01"/>
    <n v="0"/>
    <x v="8"/>
    <s v="Q4"/>
    <n v="281.21999999999997"/>
  </r>
  <r>
    <s v="#ORD-10439"/>
    <s v="2024-01-23"/>
    <s v="17:16:34"/>
    <s v="Noah Green"/>
    <s v="noah.green24@gmail.com"/>
    <s v="+1-407-345-4874"/>
    <s v="Austin"/>
    <s v="TX"/>
    <s v="United States"/>
    <s v="Smart LED Desk Lamp x1"/>
    <x v="7"/>
    <n v="1"/>
    <n v="39.99"/>
    <s v="WELCOME15"/>
    <n v="6"/>
    <n v="7.99"/>
    <n v="2.72"/>
    <n v="44.7"/>
    <x v="5"/>
    <x v="6"/>
    <x v="2"/>
    <s v="2024-01-24"/>
    <n v="0"/>
    <x v="6"/>
    <s v="Q1"/>
    <n v="33.99"/>
  </r>
  <r>
    <s v="#ORD-10440"/>
    <s v="2024-02-14"/>
    <s v="16:38:10"/>
    <s v="Michael King"/>
    <s v="michael.king65@gmail.com"/>
    <s v="+1-767-700-2663"/>
    <s v="Memphis"/>
    <s v="TN"/>
    <s v="United States"/>
    <s v="Resistance Band Set x1"/>
    <x v="3"/>
    <n v="1"/>
    <n v="24.99"/>
    <s v="WELCOME15"/>
    <n v="3.75"/>
    <n v="4.99"/>
    <n v="1.81"/>
    <n v="28.04"/>
    <x v="0"/>
    <x v="0"/>
    <x v="2"/>
    <s v="2024-02-17"/>
    <n v="0"/>
    <x v="0"/>
    <s v="Q1"/>
    <n v="21.24"/>
  </r>
  <r>
    <s v="#ORD-10441"/>
    <s v="2024-06-06"/>
    <s v="23:08:48"/>
    <s v="Oliver Torres"/>
    <s v="oliver.torres17@gmail.com"/>
    <s v="+1-633-668-8401"/>
    <s v="Oklahoma City"/>
    <s v="OK"/>
    <s v="United States"/>
    <s v="Canvas Backpack 25L x1"/>
    <x v="2"/>
    <n v="1"/>
    <n v="54.99"/>
    <s v="None"/>
    <n v="0"/>
    <n v="5.99"/>
    <n v="4.4000000000000004"/>
    <n v="65.38"/>
    <x v="5"/>
    <x v="3"/>
    <x v="2"/>
    <s v="2024-06-11"/>
    <n v="0"/>
    <x v="3"/>
    <s v="Q2"/>
    <n v="54.99"/>
  </r>
  <r>
    <s v="#ORD-10442"/>
    <s v="2024-09-10"/>
    <s v="14:56:58"/>
    <s v="Olivia Smith"/>
    <s v="olivia.smith60@outlook.com"/>
    <s v="+1-271-407-2469"/>
    <s v="Baltimore"/>
    <s v="MD"/>
    <s v="United States"/>
    <s v="Wireless Noise-Cancelling Headphones x1 | Portable Bluetooth Speaker x2 | Bamboo Sunglasses x1 | Stainless Steel Cookware Set x1 | Hiking Boots x1"/>
    <x v="7"/>
    <n v="5"/>
    <n v="454.94"/>
    <s v="LOYALTY5"/>
    <n v="22.75"/>
    <n v="0"/>
    <n v="38.9"/>
    <n v="471.09"/>
    <x v="0"/>
    <x v="3"/>
    <x v="0"/>
    <s v="2024-09-15"/>
    <n v="471.09"/>
    <x v="11"/>
    <s v="Q3"/>
    <n v="432.19"/>
  </r>
  <r>
    <s v="#ORD-10443"/>
    <s v="2024-12-07"/>
    <s v="02:09:22"/>
    <s v="Henry Davis"/>
    <s v="henry.davis18@outlook.com"/>
    <s v="+1-479-351-6269"/>
    <s v="Baltimore"/>
    <s v="MD"/>
    <s v="United States"/>
    <s v="Scented Soy Candle Set x1"/>
    <x v="4"/>
    <n v="1"/>
    <n v="22.99"/>
    <s v="SAVE10"/>
    <n v="2.2999999999999998"/>
    <n v="7.99"/>
    <n v="2.0699999999999998"/>
    <n v="30.75"/>
    <x v="0"/>
    <x v="4"/>
    <x v="3"/>
    <m/>
    <n v="0"/>
    <x v="1"/>
    <s v="Q4"/>
    <n v="20.689999999999998"/>
  </r>
  <r>
    <s v="#ORD-10444"/>
    <s v="2024-12-20"/>
    <s v="23:16:02"/>
    <s v="Muhammad Wilson"/>
    <s v="muhammad.wilson77@gmail.com"/>
    <s v="+1-980-502-9816"/>
    <s v="Charlotte"/>
    <s v="NC"/>
    <s v="United States"/>
    <s v="Essential Oil Diffuser x1 | Bamboo Sunglasses x1"/>
    <x v="4"/>
    <n v="2"/>
    <n v="57.98"/>
    <s v="None"/>
    <n v="0"/>
    <n v="5.99"/>
    <n v="4.93"/>
    <n v="68.900000000000006"/>
    <x v="1"/>
    <x v="4"/>
    <x v="3"/>
    <m/>
    <n v="0"/>
    <x v="1"/>
    <s v="Q4"/>
    <n v="57.98"/>
  </r>
  <r>
    <s v="#ORD-10445"/>
    <s v="2024-06-21"/>
    <s v="21:20:53"/>
    <s v="Ethan Jones"/>
    <s v="ethan.jones4@outlook.com"/>
    <s v="+1-673-479-4161"/>
    <s v="Seattle"/>
    <s v="WA"/>
    <s v="United States"/>
    <s v="Insulated Water Bottle 32oz x1 | Denim Jacket x1"/>
    <x v="3"/>
    <n v="2"/>
    <n v="92.98"/>
    <s v="WELCOME15"/>
    <n v="13.95"/>
    <n v="0"/>
    <n v="5.53"/>
    <n v="84.56"/>
    <x v="4"/>
    <x v="6"/>
    <x v="2"/>
    <s v="2024-06-22"/>
    <n v="0"/>
    <x v="3"/>
    <s v="Q2"/>
    <n v="79.03"/>
  </r>
  <r>
    <s v="#ORD-10446"/>
    <s v="2024-04-19"/>
    <s v="04:21:47"/>
    <s v="Avery Smith"/>
    <s v="avery.smith96@gmail.com"/>
    <s v="+1-704-820-4425"/>
    <s v="San Diego"/>
    <s v="CA"/>
    <s v="United States"/>
    <s v="Sunscreen SPF 50 Face x1 | Insulated Water Bottle 32oz x2"/>
    <x v="0"/>
    <n v="2"/>
    <n v="74.97"/>
    <s v="SAVE10"/>
    <n v="7.5"/>
    <n v="5.99"/>
    <n v="4.72"/>
    <n v="78.180000000000007"/>
    <x v="3"/>
    <x v="1"/>
    <x v="2"/>
    <s v="2024-04-22"/>
    <n v="0"/>
    <x v="10"/>
    <s v="Q2"/>
    <n v="67.47"/>
  </r>
  <r>
    <s v="#ORD-10447"/>
    <s v="2024-12-03"/>
    <s v="20:12:25"/>
    <s v="Emma Gonzalez"/>
    <s v="emma.gonzalez82@gmail.com"/>
    <s v="+1-802-231-2065"/>
    <s v="Baltimore"/>
    <s v="MD"/>
    <s v="United States"/>
    <s v="Air Fryer 5.8Qt x1"/>
    <x v="6"/>
    <n v="1"/>
    <n v="79.989999999999995"/>
    <s v="FLASH25"/>
    <n v="20"/>
    <n v="0"/>
    <n v="4.2"/>
    <n v="64.19"/>
    <x v="1"/>
    <x v="0"/>
    <x v="2"/>
    <s v="2024-12-04"/>
    <n v="0"/>
    <x v="1"/>
    <s v="Q4"/>
    <n v="59.989999999999995"/>
  </r>
  <r>
    <s v="#ORD-10448"/>
    <s v="2024-10-10"/>
    <s v="01:49:47"/>
    <s v="Isabella Taylor"/>
    <s v="isabella.taylor73@outlook.com"/>
    <s v="+1-856-789-1849"/>
    <s v="Tucson"/>
    <s v="AZ"/>
    <s v="United States"/>
    <s v="Running Shoes - Women's x1 | Canvas Backpack 25L x3 | Anti-Aging Serum 1oz x1"/>
    <x v="5"/>
    <n v="3"/>
    <n v="284.95"/>
    <s v="LOYALTY5"/>
    <n v="14.25"/>
    <n v="0"/>
    <n v="21.66"/>
    <n v="292.36"/>
    <x v="1"/>
    <x v="2"/>
    <x v="2"/>
    <s v="2024-10-14"/>
    <n v="0"/>
    <x v="7"/>
    <s v="Q4"/>
    <n v="270.7"/>
  </r>
  <r>
    <s v="#ORD-10449"/>
    <s v="2024-09-21"/>
    <s v="03:40:34"/>
    <s v="Abigail Lewis"/>
    <s v="abigail.lewis53@gmail.com"/>
    <s v="+1-523-105-7420"/>
    <s v="Milwaukee"/>
    <s v="WI"/>
    <s v="United States"/>
    <s v="Stainless Steel Cookware Set x1 | Insulated Water Bottle 32oz x1"/>
    <x v="6"/>
    <n v="2"/>
    <n v="157.97999999999999"/>
    <s v="None"/>
    <n v="0"/>
    <n v="0"/>
    <n v="9.48"/>
    <n v="167.46"/>
    <x v="0"/>
    <x v="5"/>
    <x v="3"/>
    <m/>
    <n v="0"/>
    <x v="11"/>
    <s v="Q3"/>
    <n v="157.97999999999999"/>
  </r>
  <r>
    <s v="#ORD-10450"/>
    <s v="2024-03-28"/>
    <s v="15:00:19"/>
    <s v="Charlotte Perez"/>
    <s v="charlotte.perez74@outlook.com"/>
    <s v="+1-310-584-4905"/>
    <s v="Chicago"/>
    <s v="IL"/>
    <s v="United States"/>
    <s v="Multivitamin Daily Pack x1 | USB-C Fast Charger 65W x1 | Bamboo Sunglasses x1 | Casual Sneakers x1 | Running Shoes - Women's x1"/>
    <x v="8"/>
    <n v="5"/>
    <n v="204.95"/>
    <s v="None"/>
    <n v="0"/>
    <n v="0"/>
    <n v="18.45"/>
    <n v="223.4"/>
    <x v="6"/>
    <x v="1"/>
    <x v="2"/>
    <s v="2024-03-30"/>
    <n v="0"/>
    <x v="9"/>
    <s v="Q1"/>
    <n v="204.95"/>
  </r>
  <r>
    <s v="#ORD-10451"/>
    <s v="2024-01-29"/>
    <s v="07:34:41"/>
    <s v="Muhammad Brown"/>
    <s v="muhammad.brown43@yahoo.com"/>
    <s v="+1-263-921-8240"/>
    <s v="Baltimore"/>
    <s v="MD"/>
    <s v="United States"/>
    <s v="Scented Soy Candle Set x1 | Organic Green Tea 100ct x1 | Classic Fit Polo Shirt x1"/>
    <x v="4"/>
    <n v="3"/>
    <n v="72.97"/>
    <s v="None"/>
    <n v="0"/>
    <n v="4.99"/>
    <n v="6.2"/>
    <n v="84.16"/>
    <x v="0"/>
    <x v="6"/>
    <x v="2"/>
    <s v="2024-01-31"/>
    <n v="0"/>
    <x v="6"/>
    <s v="Q1"/>
    <n v="72.97"/>
  </r>
  <r>
    <s v="#ORD-10452"/>
    <s v="2024-02-09"/>
    <s v="13:06:06"/>
    <s v="Noah Martin"/>
    <s v="noah.martin81@gmail.com"/>
    <s v="+1-593-575-8014"/>
    <s v="Nashville"/>
    <s v="TN"/>
    <s v="United States"/>
    <s v="Coffee Maker Programmable x1 | Portable Bluetooth Speaker x1"/>
    <x v="6"/>
    <n v="2"/>
    <n v="104.98"/>
    <s v="None"/>
    <n v="0"/>
    <n v="0"/>
    <n v="9.4499999999999993"/>
    <n v="114.43"/>
    <x v="6"/>
    <x v="3"/>
    <x v="2"/>
    <s v="2024-02-13"/>
    <n v="0"/>
    <x v="0"/>
    <s v="Q1"/>
    <n v="104.98"/>
  </r>
  <r>
    <s v="#ORD-10453"/>
    <s v="2024-01-11"/>
    <s v="02:04:38"/>
    <s v="Benjamin Green"/>
    <s v="benjamin.green44@outlook.com"/>
    <s v="+1-462-463-7897"/>
    <s v="Houston"/>
    <s v="TX"/>
    <s v="United States"/>
    <s v="Resistance Band Set x1 | Linen Throw Blanket x1"/>
    <x v="3"/>
    <n v="2"/>
    <n v="64.98"/>
    <s v="LOYALTY5"/>
    <n v="3.25"/>
    <n v="4.99"/>
    <n v="5.56"/>
    <n v="72.28"/>
    <x v="6"/>
    <x v="3"/>
    <x v="2"/>
    <s v="2024-01-16"/>
    <n v="0"/>
    <x v="6"/>
    <s v="Q1"/>
    <n v="61.730000000000004"/>
  </r>
  <r>
    <s v="#ORD-10454"/>
    <s v="2024-11-05"/>
    <s v="12:49:00"/>
    <s v="Ella Green"/>
    <s v="ella.green24@gmail.com"/>
    <s v="+1-754-894-3385"/>
    <s v="Charlotte"/>
    <s v="NC"/>
    <s v="United States"/>
    <s v="Mechanical Keyboard x1"/>
    <x v="7"/>
    <n v="1"/>
    <n v="119.99"/>
    <s v="WELCOME15"/>
    <n v="18"/>
    <n v="0"/>
    <n v="9.18"/>
    <n v="111.17"/>
    <x v="7"/>
    <x v="4"/>
    <x v="2"/>
    <s v="2024-11-10"/>
    <n v="0"/>
    <x v="8"/>
    <s v="Q4"/>
    <n v="101.99"/>
  </r>
  <r>
    <s v="#ORD-10455"/>
    <s v="2024-05-23"/>
    <s v="05:44:40"/>
    <s v="James Young"/>
    <s v="james.young78@gmail.com"/>
    <s v="+1-883-587-8657"/>
    <s v="San Jose"/>
    <s v="CA"/>
    <s v="United States"/>
    <s v="Air Fryer 5.8Qt x1 | Linen Throw Blanket x2 | Anti-Aging Serum 1oz x1 | Mechanical Keyboard x1 | Portable Bluetooth Speaker x1"/>
    <x v="6"/>
    <n v="5"/>
    <n v="379.94"/>
    <s v="None"/>
    <n v="0"/>
    <n v="0"/>
    <n v="37.99"/>
    <n v="417.93"/>
    <x v="2"/>
    <x v="6"/>
    <x v="1"/>
    <s v="2024-05-25"/>
    <n v="0"/>
    <x v="4"/>
    <s v="Q2"/>
    <n v="379.94"/>
  </r>
  <r>
    <s v="#ORD-10456"/>
    <s v="2024-04-26"/>
    <s v="08:46:07"/>
    <s v="Victoria Perez"/>
    <s v="victoria.perez75@yahoo.com"/>
    <s v="+1-838-318-4916"/>
    <s v="Milwaukee"/>
    <s v="WI"/>
    <s v="United States"/>
    <s v="Running Shoes - Men's x1"/>
    <x v="5"/>
    <n v="1"/>
    <n v="74.989999999999995"/>
    <s v="None"/>
    <n v="0"/>
    <n v="9.99"/>
    <n v="5.25"/>
    <n v="90.23"/>
    <x v="2"/>
    <x v="0"/>
    <x v="2"/>
    <s v="2024-04-30"/>
    <n v="0"/>
    <x v="10"/>
    <s v="Q2"/>
    <n v="74.989999999999995"/>
  </r>
  <r>
    <s v="#ORD-10457"/>
    <s v="2024-06-04"/>
    <s v="11:11:00"/>
    <s v="Ella Perez"/>
    <s v="ella.perez95@gmail.com"/>
    <s v="+1-399-746-6896"/>
    <s v="Louisville"/>
    <s v="KY"/>
    <s v="United States"/>
    <s v="Wireless Noise-Cancelling Headphones x1"/>
    <x v="7"/>
    <n v="1"/>
    <n v="89.99"/>
    <s v="None"/>
    <n v="0"/>
    <n v="0"/>
    <n v="7.2"/>
    <n v="97.19"/>
    <x v="0"/>
    <x v="3"/>
    <x v="2"/>
    <s v="2024-06-08"/>
    <n v="0"/>
    <x v="3"/>
    <s v="Q2"/>
    <n v="89.99"/>
  </r>
  <r>
    <s v="#ORD-10458"/>
    <s v="2024-03-26"/>
    <s v="00:42:56"/>
    <s v="Olivia Johnson"/>
    <s v="olivia.johnson26@gmail.com"/>
    <s v="+1-415-412-8474"/>
    <s v="San Antonio"/>
    <s v="TX"/>
    <s v="United States"/>
    <s v="Men's Grooming Kit x1 | Running Shoes - Men's x1 | Resistance Band Set x1 | Canvas Backpack 25L x2"/>
    <x v="0"/>
    <n v="4"/>
    <n v="245.95"/>
    <s v="None"/>
    <n v="0"/>
    <n v="0"/>
    <n v="14.76"/>
    <n v="260.70999999999998"/>
    <x v="4"/>
    <x v="3"/>
    <x v="2"/>
    <s v="2024-03-29"/>
    <n v="0"/>
    <x v="9"/>
    <s v="Q1"/>
    <n v="245.95"/>
  </r>
  <r>
    <s v="#ORD-10459"/>
    <s v="2024-11-06"/>
    <s v="07:25:57"/>
    <s v="Oliver White"/>
    <s v="oliver.white48@outlook.com"/>
    <s v="+1-981-730-4098"/>
    <s v="Louisville"/>
    <s v="KY"/>
    <s v="United States"/>
    <s v="Leather Wallet Slim x1 | Multivitamin Daily Pack x3 | Sunscreen SPF 50 Face x2 | USB-C Fast Charger 65W x1 | Smart LED Desk Lamp x1"/>
    <x v="2"/>
    <n v="5"/>
    <n v="197.92"/>
    <s v="SAVE10"/>
    <n v="19.79"/>
    <n v="0"/>
    <n v="14.25"/>
    <n v="192.38"/>
    <x v="1"/>
    <x v="7"/>
    <x v="2"/>
    <s v="2024-11-07"/>
    <n v="0"/>
    <x v="8"/>
    <s v="Q4"/>
    <n v="178.13"/>
  </r>
  <r>
    <s v="#ORD-10460"/>
    <s v="2024-01-21"/>
    <s v="16:24:34"/>
    <s v="Grace Jackson"/>
    <s v="grace.jackson20@gmail.com"/>
    <s v="+1-879-729-2062"/>
    <s v="Louisville"/>
    <s v="KY"/>
    <s v="United States"/>
    <s v="Hiking Boots x1 | Canvas Backpack 25L x1"/>
    <x v="5"/>
    <n v="2"/>
    <n v="164.98"/>
    <s v="LOYALTY5"/>
    <n v="8.25"/>
    <n v="0"/>
    <n v="13.32"/>
    <n v="170.05"/>
    <x v="0"/>
    <x v="3"/>
    <x v="3"/>
    <m/>
    <n v="0"/>
    <x v="6"/>
    <s v="Q1"/>
    <n v="156.72999999999999"/>
  </r>
  <r>
    <s v="#ORD-10461"/>
    <s v="2024-05-25"/>
    <s v="08:24:46"/>
    <s v="Mia King"/>
    <s v="mia.king97@outlook.com"/>
    <s v="+1-853-909-1599"/>
    <s v="Fort Worth"/>
    <s v="TX"/>
    <s v="United States"/>
    <s v="Organic Green Tea 100ct x1 | Running Shoes - Men's x1"/>
    <x v="9"/>
    <n v="2"/>
    <n v="89.98"/>
    <s v="SUMMER20"/>
    <n v="18"/>
    <n v="0"/>
    <n v="7.2"/>
    <n v="79.180000000000007"/>
    <x v="7"/>
    <x v="5"/>
    <x v="4"/>
    <m/>
    <n v="0"/>
    <x v="4"/>
    <s v="Q2"/>
    <n v="71.98"/>
  </r>
  <r>
    <s v="#ORD-10462"/>
    <s v="2024-04-01"/>
    <s v="00:37:21"/>
    <s v="Lucas Anderson"/>
    <s v="lucas.anderson26@gmail.com"/>
    <s v="+1-655-631-6760"/>
    <s v="Albuquerque"/>
    <s v="NM"/>
    <s v="United States"/>
    <s v="Yoga Mat Premium x1"/>
    <x v="3"/>
    <n v="1"/>
    <n v="34.99"/>
    <s v="WELCOME15"/>
    <n v="5.25"/>
    <n v="5.99"/>
    <n v="2.38"/>
    <n v="38.11"/>
    <x v="0"/>
    <x v="3"/>
    <x v="2"/>
    <s v="2024-04-04"/>
    <n v="0"/>
    <x v="10"/>
    <s v="Q2"/>
    <n v="29.740000000000002"/>
  </r>
  <r>
    <s v="#ORD-10463"/>
    <s v="2024-06-24"/>
    <s v="05:02:02"/>
    <s v="Amelia Hill"/>
    <s v="amelia.hill60@yahoo.com"/>
    <s v="+1-284-401-9220"/>
    <s v="Los Angeles"/>
    <s v="CA"/>
    <s v="United States"/>
    <s v="Multivitamin Daily Pack x2 | Insulated Water Bottle 32oz x1"/>
    <x v="8"/>
    <n v="2"/>
    <n v="67.97"/>
    <s v="WELCOME15"/>
    <n v="10.199999999999999"/>
    <n v="4.99"/>
    <n v="4.04"/>
    <n v="66.8"/>
    <x v="5"/>
    <x v="3"/>
    <x v="2"/>
    <s v="2024-06-27"/>
    <n v="0"/>
    <x v="3"/>
    <s v="Q2"/>
    <n v="57.769999999999996"/>
  </r>
  <r>
    <s v="#ORD-10464"/>
    <s v="2024-02-08"/>
    <s v="05:14:21"/>
    <s v="Scarlett Scott"/>
    <s v="scarlett.scott11@outlook.com"/>
    <s v="+1-922-718-3258"/>
    <s v="Oklahoma City"/>
    <s v="OK"/>
    <s v="United States"/>
    <s v="Insulated Water Bottle 32oz x1"/>
    <x v="3"/>
    <n v="1"/>
    <n v="27.99"/>
    <s v="None"/>
    <n v="0"/>
    <n v="7.99"/>
    <n v="1.96"/>
    <n v="37.94"/>
    <x v="1"/>
    <x v="3"/>
    <x v="2"/>
    <s v="2024-02-10"/>
    <n v="0"/>
    <x v="0"/>
    <s v="Q1"/>
    <n v="27.99"/>
  </r>
  <r>
    <s v="#ORD-10465"/>
    <s v="2024-11-15"/>
    <s v="08:28:26"/>
    <s v="Grace Taylor"/>
    <s v="grace.taylor99@gmail.com"/>
    <s v="+1-433-332-4438"/>
    <s v="New York"/>
    <s v="NY"/>
    <s v="United States"/>
    <s v="Protein Powder Chocolate 2lb x3"/>
    <x v="8"/>
    <n v="1"/>
    <n v="134.97"/>
    <s v="LOYALTY5"/>
    <n v="6.75"/>
    <n v="0"/>
    <n v="12.82"/>
    <n v="141.04"/>
    <x v="0"/>
    <x v="0"/>
    <x v="2"/>
    <s v="2024-11-19"/>
    <n v="0"/>
    <x v="8"/>
    <s v="Q4"/>
    <n v="128.22"/>
  </r>
  <r>
    <s v="#ORD-10466"/>
    <s v="2024-10-07"/>
    <s v="14:17:04"/>
    <s v="Ella Anderson"/>
    <s v="ella.anderson76@outlook.com"/>
    <s v="+1-342-691-3102"/>
    <s v="San Francisco"/>
    <s v="CA"/>
    <s v="United States"/>
    <s v="Resistance Band Set x1 | High-Waist Leggings x1 | USB-C Fast Charger 65W x2"/>
    <x v="3"/>
    <n v="3"/>
    <n v="127.96"/>
    <s v="WELCOME15"/>
    <n v="19.190000000000001"/>
    <n v="0"/>
    <n v="7.61"/>
    <n v="116.38"/>
    <x v="5"/>
    <x v="2"/>
    <x v="2"/>
    <s v="2024-10-10"/>
    <n v="0"/>
    <x v="7"/>
    <s v="Q4"/>
    <n v="108.77"/>
  </r>
  <r>
    <s v="#ORD-10467"/>
    <s v="2024-06-11"/>
    <s v="18:44:10"/>
    <s v="Aiden Smith"/>
    <s v="aiden.smith85@yahoo.com"/>
    <s v="+1-357-438-7404"/>
    <s v="Indianapolis"/>
    <s v="IN"/>
    <s v="United States"/>
    <s v="Classic Fit Polo Shirt x1"/>
    <x v="1"/>
    <n v="1"/>
    <n v="34.99"/>
    <s v="FLASH25"/>
    <n v="8.75"/>
    <n v="7.99"/>
    <n v="2.1"/>
    <n v="36.33"/>
    <x v="1"/>
    <x v="0"/>
    <x v="2"/>
    <s v="2024-06-13"/>
    <n v="0"/>
    <x v="3"/>
    <s v="Q2"/>
    <n v="26.240000000000002"/>
  </r>
  <r>
    <s v="#ORD-10468"/>
    <s v="2024-02-12"/>
    <s v="04:34:58"/>
    <s v="Elizabeth Wilson"/>
    <s v="elizabeth.wilson9@yahoo.com"/>
    <s v="+1-700-127-4058"/>
    <s v="Fort Worth"/>
    <s v="TX"/>
    <s v="United States"/>
    <s v="Organic Green Tea 100ct x1"/>
    <x v="9"/>
    <n v="1"/>
    <n v="14.99"/>
    <s v="SAVE10"/>
    <n v="1.5"/>
    <n v="4.99"/>
    <n v="0.94"/>
    <n v="19.420000000000002"/>
    <x v="0"/>
    <x v="0"/>
    <x v="2"/>
    <s v="2024-02-17"/>
    <n v="0"/>
    <x v="0"/>
    <s v="Q1"/>
    <n v="13.49"/>
  </r>
  <r>
    <s v="#ORD-10469"/>
    <s v="2024-03-31"/>
    <s v="12:05:05"/>
    <s v="Charlotte Jones"/>
    <s v="charlotte.jones50@gmail.com"/>
    <s v="+1-600-260-2814"/>
    <s v="Tucson"/>
    <s v="AZ"/>
    <s v="United States"/>
    <s v="Air Fryer 5.8Qt x1"/>
    <x v="6"/>
    <n v="1"/>
    <n v="79.989999999999995"/>
    <s v="None"/>
    <n v="0"/>
    <n v="0"/>
    <n v="6.4"/>
    <n v="86.39"/>
    <x v="5"/>
    <x v="3"/>
    <x v="4"/>
    <m/>
    <n v="0"/>
    <x v="9"/>
    <s v="Q1"/>
    <n v="79.989999999999995"/>
  </r>
  <r>
    <s v="#ORD-10470"/>
    <s v="2024-12-16"/>
    <s v="22:02:45"/>
    <s v="Isabella Scott"/>
    <s v="isabella.scott62@yahoo.com"/>
    <s v="+1-933-801-8519"/>
    <s v="Columbus"/>
    <s v="OH"/>
    <s v="United States"/>
    <s v="Mechanical Keyboard x1 | Canvas Backpack 25L x2 | Running Shoes - Women's x1"/>
    <x v="7"/>
    <n v="3"/>
    <n v="299.95999999999998"/>
    <s v="None"/>
    <n v="0"/>
    <n v="0"/>
    <n v="27"/>
    <n v="326.95999999999998"/>
    <x v="1"/>
    <x v="3"/>
    <x v="2"/>
    <s v="2024-12-21"/>
    <n v="0"/>
    <x v="1"/>
    <s v="Q4"/>
    <n v="299.95999999999998"/>
  </r>
  <r>
    <s v="#ORD-10471"/>
    <s v="2024-11-16"/>
    <s v="05:40:01"/>
    <s v="Elijah Gonzalez"/>
    <s v="elijah.gonzalez19@gmail.com"/>
    <s v="+1-861-567-6681"/>
    <s v="New York"/>
    <s v="NY"/>
    <s v="United States"/>
    <s v="High-Waist Leggings x1"/>
    <x v="1"/>
    <n v="1"/>
    <n v="42.99"/>
    <s v="SAVE10"/>
    <n v="4.3"/>
    <n v="9.99"/>
    <n v="3.29"/>
    <n v="51.97"/>
    <x v="5"/>
    <x v="3"/>
    <x v="2"/>
    <s v="2024-11-19"/>
    <n v="0"/>
    <x v="8"/>
    <s v="Q4"/>
    <n v="38.690000000000005"/>
  </r>
  <r>
    <s v="#ORD-10472"/>
    <s v="2024-03-10"/>
    <s v="17:47:21"/>
    <s v="Aiden Sanchez"/>
    <s v="aiden.sanchez23@gmail.com"/>
    <s v="+1-882-168-4559"/>
    <s v="Nashville"/>
    <s v="TN"/>
    <s v="United States"/>
    <s v="Men's Grooming Kit x2 | Multivitamin Daily Pack x1 | Organic Green Tea 100ct x1 | Protein Powder Chocolate 2lb x1"/>
    <x v="0"/>
    <n v="4"/>
    <n v="151.94999999999999"/>
    <s v="None"/>
    <n v="0"/>
    <n v="0"/>
    <n v="10.64"/>
    <n v="162.59"/>
    <x v="4"/>
    <x v="3"/>
    <x v="0"/>
    <s v="2024-03-13"/>
    <n v="162.59"/>
    <x v="9"/>
    <s v="Q1"/>
    <n v="151.94999999999999"/>
  </r>
  <r>
    <s v="#ORD-10473"/>
    <s v="2024-05-23"/>
    <s v="04:49:55"/>
    <s v="Michael Clark"/>
    <s v="michael.clark71@gmail.com"/>
    <s v="+1-227-174-8567"/>
    <s v="Memphis"/>
    <s v="TN"/>
    <s v="United States"/>
    <s v="Smart LED Desk Lamp x1"/>
    <x v="7"/>
    <n v="1"/>
    <n v="39.99"/>
    <s v="SAVE10"/>
    <n v="4"/>
    <n v="9.99"/>
    <n v="3.06"/>
    <n v="49.04"/>
    <x v="0"/>
    <x v="3"/>
    <x v="2"/>
    <s v="2024-05-27"/>
    <n v="0"/>
    <x v="4"/>
    <s v="Q2"/>
    <n v="35.99"/>
  </r>
  <r>
    <s v="#ORD-10474"/>
    <s v="2024-01-05"/>
    <s v="04:04:46"/>
    <s v="Elizabeth Perez"/>
    <s v="elizabeth.perez52@yahoo.com"/>
    <s v="+1-343-582-5573"/>
    <s v="Portland"/>
    <s v="OR"/>
    <s v="United States"/>
    <s v="Sunscreen SPF 50 Face x2"/>
    <x v="0"/>
    <n v="1"/>
    <n v="37.979999999999997"/>
    <s v="SAVE10"/>
    <n v="3.8"/>
    <n v="9.99"/>
    <n v="2.91"/>
    <n v="47.08"/>
    <x v="5"/>
    <x v="3"/>
    <x v="2"/>
    <s v="2024-01-09"/>
    <n v="0"/>
    <x v="6"/>
    <s v="Q1"/>
    <n v="34.18"/>
  </r>
  <r>
    <s v="#ORD-10475"/>
    <s v="2024-02-18"/>
    <s v="05:10:29"/>
    <s v="Mia Hernandez"/>
    <s v="mia.hernandez3@yahoo.com"/>
    <s v="+1-421-552-1782"/>
    <s v="Baltimore"/>
    <s v="MD"/>
    <s v="United States"/>
    <s v="Protein Powder Chocolate 2lb x1 | Running Shoes - Men's x2"/>
    <x v="8"/>
    <n v="2"/>
    <n v="194.97"/>
    <s v="SAVE10"/>
    <n v="19.5"/>
    <n v="0"/>
    <n v="12.28"/>
    <n v="187.75"/>
    <x v="5"/>
    <x v="3"/>
    <x v="2"/>
    <s v="2024-02-23"/>
    <n v="0"/>
    <x v="0"/>
    <s v="Q1"/>
    <n v="175.47"/>
  </r>
  <r>
    <s v="#ORD-10476"/>
    <s v="2024-01-21"/>
    <s v="08:32:44"/>
    <s v="Owen Miller"/>
    <s v="owen.miller89@gmail.com"/>
    <s v="+1-228-114-6523"/>
    <s v="Fort Worth"/>
    <s v="TX"/>
    <s v="United States"/>
    <s v="Portable Bluetooth Speaker x1 | Classic Fit Polo Shirt x1"/>
    <x v="7"/>
    <n v="2"/>
    <n v="84.98"/>
    <s v="None"/>
    <n v="0"/>
    <n v="0"/>
    <n v="6.8"/>
    <n v="91.78"/>
    <x v="2"/>
    <x v="3"/>
    <x v="2"/>
    <s v="2024-01-25"/>
    <n v="0"/>
    <x v="6"/>
    <s v="Q1"/>
    <n v="84.98"/>
  </r>
  <r>
    <s v="#ORD-10477"/>
    <s v="2024-03-06"/>
    <s v="04:46:54"/>
    <s v="Charlotte Jones"/>
    <s v="charlotte.jones13@outlook.com"/>
    <s v="+1-638-223-4807"/>
    <s v="San Diego"/>
    <s v="CA"/>
    <s v="United States"/>
    <s v="Portable Bluetooth Speaker x1 | Multivitamin Daily Pack x2"/>
    <x v="7"/>
    <n v="2"/>
    <n v="89.97"/>
    <s v="SAVE10"/>
    <n v="9"/>
    <n v="0"/>
    <n v="7.29"/>
    <n v="88.26"/>
    <x v="1"/>
    <x v="0"/>
    <x v="0"/>
    <s v="2024-03-10"/>
    <n v="88.26"/>
    <x v="9"/>
    <s v="Q1"/>
    <n v="80.97"/>
  </r>
  <r>
    <s v="#ORD-10478"/>
    <s v="2024-06-05"/>
    <s v="04:12:42"/>
    <s v="Lucas Miller"/>
    <s v="lucas.miller42@gmail.com"/>
    <s v="+1-508-885-9185"/>
    <s v="Jacksonville"/>
    <s v="FL"/>
    <s v="United States"/>
    <s v="Wireless Noise-Cancelling Headphones x1 | Protein Powder Chocolate 2lb x1"/>
    <x v="7"/>
    <n v="2"/>
    <n v="134.97999999999999"/>
    <s v="SAVE10"/>
    <n v="13.5"/>
    <n v="0"/>
    <n v="12.15"/>
    <n v="133.63"/>
    <x v="1"/>
    <x v="3"/>
    <x v="2"/>
    <s v="2024-06-09"/>
    <n v="0"/>
    <x v="3"/>
    <s v="Q2"/>
    <n v="121.47999999999999"/>
  </r>
  <r>
    <s v="#ORD-10479"/>
    <s v="2024-02-06"/>
    <s v="19:05:00"/>
    <s v="Sophia Scott"/>
    <s v="sophia.scott73@gmail.com"/>
    <s v="+1-269-443-1289"/>
    <s v="Louisville"/>
    <s v="KY"/>
    <s v="United States"/>
    <s v="Essential Oil Diffuser x1 | Sunscreen SPF 50 Face x3"/>
    <x v="4"/>
    <n v="2"/>
    <n v="89.96"/>
    <s v="None"/>
    <n v="0"/>
    <n v="0"/>
    <n v="7.2"/>
    <n v="97.16"/>
    <x v="0"/>
    <x v="4"/>
    <x v="1"/>
    <s v="2024-02-10"/>
    <n v="0"/>
    <x v="0"/>
    <s v="Q1"/>
    <n v="89.96"/>
  </r>
  <r>
    <s v="#ORD-10480"/>
    <s v="2024-07-14"/>
    <s v="12:12:53"/>
    <s v="Victoria Hill"/>
    <s v="victoria.hill49@outlook.com"/>
    <s v="+1-281-161-3253"/>
    <s v="Charlotte"/>
    <s v="NC"/>
    <s v="United States"/>
    <s v="Wireless Noise-Cancelling Headphones x1 | Casual Sneakers x2"/>
    <x v="7"/>
    <n v="2"/>
    <n v="209.97"/>
    <s v="None"/>
    <n v="0"/>
    <n v="0"/>
    <n v="16.8"/>
    <n v="226.77"/>
    <x v="0"/>
    <x v="5"/>
    <x v="2"/>
    <s v="2024-07-19"/>
    <n v="0"/>
    <x v="2"/>
    <s v="Q3"/>
    <n v="209.97"/>
  </r>
  <r>
    <s v="#ORD-10481"/>
    <s v="2024-03-20"/>
    <s v="09:00:33"/>
    <s v="Alexander Allen"/>
    <s v="alexander.allen26@gmail.com"/>
    <s v="+1-733-910-7797"/>
    <s v="San Jose"/>
    <s v="CA"/>
    <s v="United States"/>
    <s v="Casual Sneakers x2 | Bamboo Sunglasses x3"/>
    <x v="5"/>
    <n v="2"/>
    <n v="194.95"/>
    <s v="SUMMER20"/>
    <n v="38.99"/>
    <n v="0"/>
    <n v="15.6"/>
    <n v="171.56"/>
    <x v="4"/>
    <x v="3"/>
    <x v="1"/>
    <s v="2024-03-21"/>
    <n v="0"/>
    <x v="9"/>
    <s v="Q1"/>
    <n v="155.95999999999998"/>
  </r>
  <r>
    <s v="#ORD-10482"/>
    <s v="2024-04-04"/>
    <s v="01:55:27"/>
    <s v="Evelyn Johnson"/>
    <s v="evelyn.johnson94@gmail.com"/>
    <s v="+1-733-429-4007"/>
    <s v="San Diego"/>
    <s v="CA"/>
    <s v="United States"/>
    <s v="Portable Bluetooth Speaker x2"/>
    <x v="7"/>
    <n v="1"/>
    <n v="99.98"/>
    <s v="None"/>
    <n v="0"/>
    <n v="0"/>
    <n v="10"/>
    <n v="109.98"/>
    <x v="1"/>
    <x v="3"/>
    <x v="4"/>
    <m/>
    <n v="0"/>
    <x v="10"/>
    <s v="Q2"/>
    <n v="99.98"/>
  </r>
  <r>
    <s v="#ORD-10483"/>
    <s v="2024-03-15"/>
    <s v="17:54:28"/>
    <s v="Avery Smith"/>
    <s v="avery.smith63@gmail.com"/>
    <s v="+1-719-180-7983"/>
    <s v="Chicago"/>
    <s v="IL"/>
    <s v="United States"/>
    <s v="Mechanical Keyboard x3"/>
    <x v="7"/>
    <n v="1"/>
    <n v="359.97"/>
    <s v="None"/>
    <n v="0"/>
    <n v="0"/>
    <n v="21.6"/>
    <n v="381.57"/>
    <x v="0"/>
    <x v="5"/>
    <x v="2"/>
    <s v="2024-03-17"/>
    <n v="0"/>
    <x v="9"/>
    <s v="Q1"/>
    <n v="359.97"/>
  </r>
  <r>
    <s v="#ORD-10484"/>
    <s v="2024-06-13"/>
    <s v="16:07:22"/>
    <s v="Sebastian Martin"/>
    <s v="sebastian.martin93@gmail.com"/>
    <s v="+1-281-468-7524"/>
    <s v="Philadelphia"/>
    <s v="PA"/>
    <s v="United States"/>
    <s v="Casual Sneakers x1"/>
    <x v="5"/>
    <n v="1"/>
    <n v="59.99"/>
    <s v="LOYALTY5"/>
    <n v="3"/>
    <n v="9.99"/>
    <n v="5.7"/>
    <n v="72.680000000000007"/>
    <x v="0"/>
    <x v="2"/>
    <x v="3"/>
    <m/>
    <n v="0"/>
    <x v="3"/>
    <s v="Q2"/>
    <n v="56.99"/>
  </r>
  <r>
    <s v="#ORD-10485"/>
    <s v="2024-08-24"/>
    <s v="15:57:56"/>
    <s v="Elizabeth Hernandez"/>
    <s v="elizabeth.hernandez57@gmail.com"/>
    <s v="+1-766-844-3878"/>
    <s v="Indianapolis"/>
    <s v="IN"/>
    <s v="United States"/>
    <s v="Classic Fit Polo Shirt x3 | Mechanical Keyboard x1 | Denim Jacket x2"/>
    <x v="1"/>
    <n v="3"/>
    <n v="354.94"/>
    <s v="WELCOME15"/>
    <n v="53.24"/>
    <n v="0"/>
    <n v="18.100000000000001"/>
    <n v="319.8"/>
    <x v="6"/>
    <x v="1"/>
    <x v="0"/>
    <s v="2024-08-26"/>
    <n v="319.8"/>
    <x v="5"/>
    <s v="Q3"/>
    <n v="301.7"/>
  </r>
  <r>
    <s v="#ORD-10486"/>
    <s v="2024-05-25"/>
    <s v="16:37:20"/>
    <s v="Harper Harris"/>
    <s v="harper.harris40@gmail.com"/>
    <s v="+1-703-514-7812"/>
    <s v="Charlotte"/>
    <s v="NC"/>
    <s v="United States"/>
    <s v="Stainless Steel Cookware Set x1 | USB-C Fast Charger 65W x2"/>
    <x v="6"/>
    <n v="2"/>
    <n v="189.97"/>
    <s v="None"/>
    <n v="0"/>
    <n v="0"/>
    <n v="13.3"/>
    <n v="203.27"/>
    <x v="2"/>
    <x v="3"/>
    <x v="0"/>
    <s v="2024-05-28"/>
    <n v="203.27"/>
    <x v="4"/>
    <s v="Q2"/>
    <n v="189.97"/>
  </r>
  <r>
    <s v="#ORD-10487"/>
    <s v="2024-08-16"/>
    <s v="11:26:14"/>
    <s v="Henry White"/>
    <s v="henry.white63@gmail.com"/>
    <s v="+1-721-826-9005"/>
    <s v="Fort Worth"/>
    <s v="TX"/>
    <s v="United States"/>
    <s v="Leather Wallet Slim x1"/>
    <x v="2"/>
    <n v="1"/>
    <n v="29.99"/>
    <s v="None"/>
    <n v="0"/>
    <n v="9.99"/>
    <n v="2.7"/>
    <n v="42.68"/>
    <x v="0"/>
    <x v="4"/>
    <x v="2"/>
    <s v="2024-08-19"/>
    <n v="0"/>
    <x v="5"/>
    <s v="Q3"/>
    <n v="29.99"/>
  </r>
  <r>
    <s v="#ORD-10488"/>
    <s v="2024-04-04"/>
    <s v="02:53:32"/>
    <s v="Alexander Brown"/>
    <s v="alexander.brown50@outlook.com"/>
    <s v="+1-897-250-5166"/>
    <s v="Oklahoma City"/>
    <s v="OK"/>
    <s v="United States"/>
    <s v="Bamboo Sunglasses x1 | Denim Jacket x2"/>
    <x v="2"/>
    <n v="2"/>
    <n v="154.97"/>
    <s v="None"/>
    <n v="0"/>
    <n v="0"/>
    <n v="15.5"/>
    <n v="170.47"/>
    <x v="1"/>
    <x v="3"/>
    <x v="3"/>
    <m/>
    <n v="0"/>
    <x v="10"/>
    <s v="Q2"/>
    <n v="154.97"/>
  </r>
  <r>
    <s v="#ORD-10489"/>
    <s v="2024-10-26"/>
    <s v="09:58:53"/>
    <s v="Oliver Flores"/>
    <s v="oliver.flores85@yahoo.com"/>
    <s v="+1-458-808-5951"/>
    <s v="Denver"/>
    <s v="CO"/>
    <s v="United States"/>
    <s v="Sunscreen SPF 50 Face x2"/>
    <x v="0"/>
    <n v="1"/>
    <n v="37.979999999999997"/>
    <s v="WELCOME15"/>
    <n v="5.7"/>
    <n v="4.99"/>
    <n v="2.91"/>
    <n v="40.18"/>
    <x v="2"/>
    <x v="2"/>
    <x v="2"/>
    <s v="2024-10-30"/>
    <n v="0"/>
    <x v="7"/>
    <s v="Q4"/>
    <n v="32.279999999999994"/>
  </r>
  <r>
    <s v="#ORD-10490"/>
    <s v="2024-10-19"/>
    <s v="05:27:23"/>
    <s v="Scarlett Scott"/>
    <s v="scarlett.scott49@outlook.com"/>
    <s v="+1-915-415-1105"/>
    <s v="El Paso"/>
    <s v="TX"/>
    <s v="United States"/>
    <s v="Men's Grooming Kit x1 | Canvas Backpack 25L x1 | USB-C Fast Charger 65W x2"/>
    <x v="0"/>
    <n v="3"/>
    <n v="150.96"/>
    <s v="None"/>
    <n v="0"/>
    <n v="0"/>
    <n v="12.08"/>
    <n v="163.04"/>
    <x v="6"/>
    <x v="1"/>
    <x v="4"/>
    <m/>
    <n v="0"/>
    <x v="7"/>
    <s v="Q4"/>
    <n v="150.96"/>
  </r>
  <r>
    <s v="#ORD-10491"/>
    <s v="2024-09-27"/>
    <s v="10:08:31"/>
    <s v="Mia Allen"/>
    <s v="mia.allen13@gmail.com"/>
    <s v="+1-386-614-2806"/>
    <s v="New York"/>
    <s v="NY"/>
    <s v="United States"/>
    <s v="Multivitamin Daily Pack x1"/>
    <x v="8"/>
    <n v="1"/>
    <n v="19.989999999999998"/>
    <s v="WELCOME15"/>
    <n v="3"/>
    <n v="5.99"/>
    <n v="1.19"/>
    <n v="24.17"/>
    <x v="5"/>
    <x v="4"/>
    <x v="2"/>
    <s v="2024-10-01"/>
    <n v="0"/>
    <x v="11"/>
    <s v="Q3"/>
    <n v="16.989999999999998"/>
  </r>
  <r>
    <s v="#ORD-10492"/>
    <s v="2024-01-23"/>
    <s v="21:45:09"/>
    <s v="Avery Nguyen"/>
    <s v="avery.nguyen28@gmail.com"/>
    <s v="+1-586-227-5534"/>
    <s v="Baltimore"/>
    <s v="MD"/>
    <s v="United States"/>
    <s v="High-Waist Leggings x1 | Classic Fit Polo Shirt x2 | Running Shoes - Women's x1"/>
    <x v="1"/>
    <n v="3"/>
    <n v="182.96"/>
    <s v="LOYALTY5"/>
    <n v="9.15"/>
    <n v="0"/>
    <n v="10.43"/>
    <n v="184.24"/>
    <x v="4"/>
    <x v="3"/>
    <x v="2"/>
    <s v="2024-01-24"/>
    <n v="0"/>
    <x v="6"/>
    <s v="Q1"/>
    <n v="173.81"/>
  </r>
  <r>
    <s v="#ORD-10493"/>
    <s v="2024-07-07"/>
    <s v="10:20:20"/>
    <s v="Ava Perez"/>
    <s v="ava.perez75@gmail.com"/>
    <s v="+1-734-910-1118"/>
    <s v="New York"/>
    <s v="NY"/>
    <s v="United States"/>
    <s v="Smart LED Desk Lamp x1 | Wireless Noise-Cancelling Headphones x2"/>
    <x v="7"/>
    <n v="2"/>
    <n v="219.97"/>
    <s v="None"/>
    <n v="0"/>
    <n v="0"/>
    <n v="22"/>
    <n v="241.97"/>
    <x v="1"/>
    <x v="7"/>
    <x v="2"/>
    <s v="2024-07-09"/>
    <n v="0"/>
    <x v="2"/>
    <s v="Q3"/>
    <n v="219.97"/>
  </r>
  <r>
    <s v="#ORD-10494"/>
    <s v="2024-07-07"/>
    <s v="17:09:36"/>
    <s v="Elizabeth Flores"/>
    <s v="elizabeth.flores98@gmail.com"/>
    <s v="+1-825-158-6833"/>
    <s v="San Francisco"/>
    <s v="CA"/>
    <s v="United States"/>
    <s v="Resistance Band Set x1 | Scented Soy Candle Set x1"/>
    <x v="3"/>
    <n v="2"/>
    <n v="47.98"/>
    <s v="SAVE10"/>
    <n v="4.8"/>
    <n v="7.99"/>
    <n v="3.02"/>
    <n v="54.19"/>
    <x v="2"/>
    <x v="0"/>
    <x v="4"/>
    <m/>
    <n v="0"/>
    <x v="2"/>
    <s v="Q3"/>
    <n v="43.18"/>
  </r>
  <r>
    <s v="#ORD-10495"/>
    <s v="2024-11-20"/>
    <s v="10:41:22"/>
    <s v="Muhammad Miller"/>
    <s v="muhammad.miller59@yahoo.com"/>
    <s v="+1-727-523-4079"/>
    <s v="New York"/>
    <s v="NY"/>
    <s v="United States"/>
    <s v="Mechanical Keyboard x2 | Wireless Noise-Cancelling Headphones x1 | Scented Soy Candle Set x1 | Smart LED Desk Lamp x2"/>
    <x v="7"/>
    <n v="4"/>
    <n v="432.94"/>
    <s v="SAVE10"/>
    <n v="43.29"/>
    <n v="0"/>
    <n v="33.119999999999997"/>
    <n v="422.77"/>
    <x v="1"/>
    <x v="0"/>
    <x v="3"/>
    <m/>
    <n v="0"/>
    <x v="8"/>
    <s v="Q4"/>
    <n v="389.65"/>
  </r>
  <r>
    <s v="#ORD-10496"/>
    <s v="2024-01-18"/>
    <s v="18:27:38"/>
    <s v="Emma Lee"/>
    <s v="emma.lee82@gmail.com"/>
    <s v="+1-500-721-4196"/>
    <s v="New York"/>
    <s v="NY"/>
    <s v="United States"/>
    <s v="Men's Grooming Kit x1 | Resistance Band Set x1 | Anti-Aging Serum 1oz x1 | Organic Green Tea 100ct x1 | Casual Sneakers x1"/>
    <x v="0"/>
    <n v="5"/>
    <n v="185.95"/>
    <s v="SUMMER20"/>
    <n v="37.19"/>
    <n v="0"/>
    <n v="14.88"/>
    <n v="163.63999999999999"/>
    <x v="4"/>
    <x v="2"/>
    <x v="4"/>
    <m/>
    <n v="0"/>
    <x v="6"/>
    <s v="Q1"/>
    <n v="148.76"/>
  </r>
  <r>
    <s v="#ORD-10497"/>
    <s v="2024-01-13"/>
    <s v="07:53:30"/>
    <s v="James Wright"/>
    <s v="james.wright74@outlook.com"/>
    <s v="+1-878-653-4946"/>
    <s v="Albuquerque"/>
    <s v="NM"/>
    <s v="United States"/>
    <s v="High-Waist Leggings x1"/>
    <x v="1"/>
    <n v="1"/>
    <n v="42.99"/>
    <s v="FLASH25"/>
    <n v="10.75"/>
    <n v="9.99"/>
    <n v="2.2599999999999998"/>
    <n v="44.49"/>
    <x v="4"/>
    <x v="1"/>
    <x v="3"/>
    <m/>
    <n v="0"/>
    <x v="6"/>
    <s v="Q1"/>
    <n v="32.24"/>
  </r>
  <r>
    <s v="#ORD-10498"/>
    <s v="2024-02-10"/>
    <s v="23:02:55"/>
    <s v="Oliver Wilson"/>
    <s v="oliver.wilson97@outlook.com"/>
    <s v="+1-886-226-3224"/>
    <s v="Philadelphia"/>
    <s v="PA"/>
    <s v="United States"/>
    <s v="Sunscreen SPF 50 Face x1"/>
    <x v="0"/>
    <n v="1"/>
    <n v="18.989999999999998"/>
    <s v="SAVE10"/>
    <n v="1.9"/>
    <n v="9.99"/>
    <n v="1.37"/>
    <n v="28.45"/>
    <x v="0"/>
    <x v="3"/>
    <x v="3"/>
    <m/>
    <n v="0"/>
    <x v="0"/>
    <s v="Q1"/>
    <n v="17.09"/>
  </r>
  <r>
    <s v="#ORD-10499"/>
    <s v="2024-03-27"/>
    <s v="22:01:30"/>
    <s v="Grace Allen"/>
    <s v="grace.allen89@gmail.com"/>
    <s v="+1-438-328-5244"/>
    <s v="Chicago"/>
    <s v="IL"/>
    <s v="United States"/>
    <s v="Classic Fit Polo Shirt x1 | Bamboo Sunglasses x1 | Scented Soy Candle Set x2 | USB-C Fast Charger 65W x2"/>
    <x v="1"/>
    <n v="4"/>
    <n v="165.94"/>
    <s v="WELCOME15"/>
    <n v="24.89"/>
    <n v="0"/>
    <n v="14.11"/>
    <n v="155.16"/>
    <x v="1"/>
    <x v="0"/>
    <x v="4"/>
    <m/>
    <n v="0"/>
    <x v="9"/>
    <s v="Q1"/>
    <n v="141.05000000000001"/>
  </r>
  <r>
    <s v="#ORD-10500"/>
    <s v="2024-10-14"/>
    <s v="14:43:02"/>
    <s v="Mason Jackson"/>
    <s v="mason.jackson15@gmail.com"/>
    <s v="+1-263-704-9775"/>
    <s v="Chicago"/>
    <s v="IL"/>
    <s v="United States"/>
    <s v="Running Shoes - Women's x3 | Men's Grooming Kit x1"/>
    <x v="5"/>
    <n v="2"/>
    <n v="245.96"/>
    <s v="None"/>
    <n v="0"/>
    <n v="0"/>
    <n v="19.68"/>
    <n v="265.64"/>
    <x v="7"/>
    <x v="0"/>
    <x v="2"/>
    <s v="2024-10-17"/>
    <n v="0"/>
    <x v="7"/>
    <s v="Q4"/>
    <n v="245.96"/>
  </r>
  <r>
    <s v="#ORD-10501"/>
    <s v="2024-12-28"/>
    <s v="16:48:48"/>
    <s v="Charlotte Harris"/>
    <s v="charlotte.harris41@outlook.com"/>
    <s v="+1-896-566-3415"/>
    <s v="Columbus"/>
    <s v="OH"/>
    <s v="United States"/>
    <s v="Air Fryer 5.8Qt x1 | Anti-Aging Serum 1oz x1 | Scented Soy Candle Set x1"/>
    <x v="6"/>
    <n v="3"/>
    <n v="152.97"/>
    <s v="SUMMER20"/>
    <n v="30.59"/>
    <n v="0"/>
    <n v="9.7899999999999991"/>
    <n v="132.16999999999999"/>
    <x v="0"/>
    <x v="1"/>
    <x v="2"/>
    <s v="2025-01-01"/>
    <n v="0"/>
    <x v="1"/>
    <s v="Q4"/>
    <n v="122.38"/>
  </r>
  <r>
    <s v="#ORD-10502"/>
    <s v="2024-09-30"/>
    <s v="00:07:32"/>
    <s v="Victoria Jackson"/>
    <s v="victoria.jackson96@outlook.com"/>
    <s v="+1-498-821-7171"/>
    <s v="Phoenix"/>
    <s v="AZ"/>
    <s v="United States"/>
    <s v="Resistance Band Set x1"/>
    <x v="3"/>
    <n v="1"/>
    <n v="24.99"/>
    <s v="None"/>
    <n v="0"/>
    <n v="7.99"/>
    <n v="2.5"/>
    <n v="35.479999999999997"/>
    <x v="1"/>
    <x v="0"/>
    <x v="2"/>
    <s v="2024-10-04"/>
    <n v="0"/>
    <x v="11"/>
    <s v="Q3"/>
    <n v="24.99"/>
  </r>
  <r>
    <s v="#ORD-10503"/>
    <s v="2024-10-11"/>
    <s v="12:52:06"/>
    <s v="Noah Perez"/>
    <s v="noah.perez92@gmail.com"/>
    <s v="+1-601-445-7921"/>
    <s v="Phoenix"/>
    <s v="AZ"/>
    <s v="United States"/>
    <s v="Casual Sneakers x3 | Sunscreen SPF 50 Face x2 | Men's Grooming Kit x2 | Portable Bluetooth Speaker x2"/>
    <x v="5"/>
    <n v="4"/>
    <n v="389.91"/>
    <s v="SAVE10"/>
    <n v="38.99"/>
    <n v="0"/>
    <n v="35.090000000000003"/>
    <n v="386.01"/>
    <x v="2"/>
    <x v="3"/>
    <x v="2"/>
    <s v="2024-10-16"/>
    <n v="0"/>
    <x v="7"/>
    <s v="Q4"/>
    <n v="350.92"/>
  </r>
  <r>
    <s v="#ORD-10504"/>
    <s v="2024-07-23"/>
    <s v="23:52:00"/>
    <s v="Ella Thompson"/>
    <s v="ella.thompson51@gmail.com"/>
    <s v="+1-668-770-3681"/>
    <s v="Memphis"/>
    <s v="TN"/>
    <s v="United States"/>
    <s v="Yoga Mat Premium x3 | Sunscreen SPF 50 Face x2"/>
    <x v="3"/>
    <n v="2"/>
    <n v="142.94999999999999"/>
    <s v="FLASH25"/>
    <n v="35.74"/>
    <n v="0"/>
    <n v="9.11"/>
    <n v="116.32"/>
    <x v="0"/>
    <x v="3"/>
    <x v="2"/>
    <s v="2024-07-26"/>
    <n v="0"/>
    <x v="2"/>
    <s v="Q3"/>
    <n v="107.20999999999998"/>
  </r>
  <r>
    <s v="#ORD-10505"/>
    <s v="2024-12-14"/>
    <s v="10:40:43"/>
    <s v="Chloe Rodriguez"/>
    <s v="chloe.rodriguez90@gmail.com"/>
    <s v="+1-585-537-3756"/>
    <s v="Charlotte"/>
    <s v="NC"/>
    <s v="United States"/>
    <s v="Running Shoes - Women's x2"/>
    <x v="5"/>
    <n v="1"/>
    <n v="139.97999999999999"/>
    <s v="None"/>
    <n v="0"/>
    <n v="0"/>
    <n v="14"/>
    <n v="153.97999999999999"/>
    <x v="1"/>
    <x v="3"/>
    <x v="2"/>
    <s v="2024-12-16"/>
    <n v="0"/>
    <x v="1"/>
    <s v="Q4"/>
    <n v="139.97999999999999"/>
  </r>
  <r>
    <s v="#ORD-10506"/>
    <s v="2024-01-21"/>
    <s v="09:04:32"/>
    <s v="Noah Miller"/>
    <s v="noah.miller61@gmail.com"/>
    <s v="+1-450-134-2946"/>
    <s v="Jacksonville"/>
    <s v="FL"/>
    <s v="United States"/>
    <s v="Air Fryer 5.8Qt x1"/>
    <x v="6"/>
    <n v="1"/>
    <n v="79.989999999999995"/>
    <s v="LOYALTY5"/>
    <n v="4"/>
    <n v="0"/>
    <n v="6.46"/>
    <n v="82.45"/>
    <x v="7"/>
    <x v="0"/>
    <x v="4"/>
    <m/>
    <n v="0"/>
    <x v="6"/>
    <s v="Q1"/>
    <n v="75.989999999999995"/>
  </r>
  <r>
    <s v="#ORD-10507"/>
    <s v="2024-09-10"/>
    <s v="12:30:31"/>
    <s v="Oliver Sanchez"/>
    <s v="oliver.sanchez39@outlook.com"/>
    <s v="+1-319-184-2999"/>
    <s v="Indianapolis"/>
    <s v="IN"/>
    <s v="United States"/>
    <s v="Classic Fit Polo Shirt x1 | Sunscreen SPF 50 Face x1 | High-Waist Leggings x1"/>
    <x v="1"/>
    <n v="3"/>
    <n v="96.97"/>
    <s v="WELCOME15"/>
    <n v="14.55"/>
    <n v="0"/>
    <n v="6.59"/>
    <n v="89.01"/>
    <x v="1"/>
    <x v="5"/>
    <x v="2"/>
    <s v="2024-09-11"/>
    <n v="0"/>
    <x v="11"/>
    <s v="Q3"/>
    <n v="82.42"/>
  </r>
  <r>
    <s v="#ORD-10508"/>
    <s v="2024-07-05"/>
    <s v="05:14:55"/>
    <s v="Michael King"/>
    <s v="michael.king3@outlook.com"/>
    <s v="+1-505-685-3051"/>
    <s v="San Diego"/>
    <s v="CA"/>
    <s v="United States"/>
    <s v="Men's Grooming Kit x1"/>
    <x v="0"/>
    <n v="1"/>
    <n v="35.99"/>
    <s v="LOYALTY5"/>
    <n v="1.8"/>
    <n v="5.99"/>
    <n v="2.91"/>
    <n v="43.09"/>
    <x v="5"/>
    <x v="0"/>
    <x v="4"/>
    <m/>
    <n v="0"/>
    <x v="2"/>
    <s v="Q3"/>
    <n v="34.190000000000005"/>
  </r>
  <r>
    <s v="#ORD-10509"/>
    <s v="2024-03-12"/>
    <s v="19:17:53"/>
    <s v="Sophia Lee"/>
    <s v="sophia.lee92@outlook.com"/>
    <s v="+1-874-220-3960"/>
    <s v="Chicago"/>
    <s v="IL"/>
    <s v="United States"/>
    <s v="Sunscreen SPF 50 Face x1"/>
    <x v="0"/>
    <n v="1"/>
    <n v="18.989999999999998"/>
    <s v="FLASH25"/>
    <n v="4.75"/>
    <n v="9.99"/>
    <n v="0.85"/>
    <n v="25.08"/>
    <x v="5"/>
    <x v="0"/>
    <x v="2"/>
    <s v="2024-03-14"/>
    <n v="0"/>
    <x v="9"/>
    <s v="Q1"/>
    <n v="14.239999999999998"/>
  </r>
  <r>
    <s v="#ORD-10510"/>
    <s v="2024-05-02"/>
    <s v="01:27:06"/>
    <s v="Victoria Lopez"/>
    <s v="victoria.lopez72@gmail.com"/>
    <s v="+1-327-618-5891"/>
    <s v="New York"/>
    <s v="NY"/>
    <s v="United States"/>
    <s v="Mechanical Keyboard x1"/>
    <x v="7"/>
    <n v="1"/>
    <n v="119.99"/>
    <s v="None"/>
    <n v="0"/>
    <n v="0"/>
    <n v="7.2"/>
    <n v="127.19"/>
    <x v="1"/>
    <x v="2"/>
    <x v="2"/>
    <s v="2024-05-03"/>
    <n v="0"/>
    <x v="4"/>
    <s v="Q2"/>
    <n v="119.99"/>
  </r>
  <r>
    <s v="#ORD-10511"/>
    <s v="2024-04-06"/>
    <s v="10:40:09"/>
    <s v="Alexander Scott"/>
    <s v="alexander.scott55@outlook.com"/>
    <s v="+1-911-420-9563"/>
    <s v="Philadelphia"/>
    <s v="PA"/>
    <s v="United States"/>
    <s v="Air Fryer 5.8Qt x2"/>
    <x v="6"/>
    <n v="1"/>
    <n v="159.97999999999999"/>
    <s v="SAVE10"/>
    <n v="16"/>
    <n v="0"/>
    <n v="14.4"/>
    <n v="158.38"/>
    <x v="5"/>
    <x v="3"/>
    <x v="3"/>
    <m/>
    <n v="0"/>
    <x v="10"/>
    <s v="Q2"/>
    <n v="143.97999999999999"/>
  </r>
  <r>
    <s v="#ORD-10512"/>
    <s v="2024-02-08"/>
    <s v="10:49:55"/>
    <s v="Emily Flores"/>
    <s v="emily.flores66@gmail.com"/>
    <s v="+1-331-846-7914"/>
    <s v="Seattle"/>
    <s v="WA"/>
    <s v="United States"/>
    <s v="Portable Bluetooth Speaker x1 | Casual Sneakers x1"/>
    <x v="7"/>
    <n v="2"/>
    <n v="109.98"/>
    <s v="None"/>
    <n v="0"/>
    <n v="0"/>
    <n v="7.7"/>
    <n v="117.68"/>
    <x v="1"/>
    <x v="3"/>
    <x v="1"/>
    <s v="2024-02-11"/>
    <n v="0"/>
    <x v="0"/>
    <s v="Q1"/>
    <n v="109.98"/>
  </r>
  <r>
    <s v="#ORD-10513"/>
    <s v="2024-12-16"/>
    <s v="22:43:15"/>
    <s v="Ava Torres"/>
    <s v="ava.torres34@gmail.com"/>
    <s v="+1-931-481-9379"/>
    <s v="Dallas"/>
    <s v="TX"/>
    <s v="United States"/>
    <s v="Organic Green Tea 100ct x1"/>
    <x v="9"/>
    <n v="1"/>
    <n v="14.99"/>
    <s v="SAVE10"/>
    <n v="1.5"/>
    <n v="9.99"/>
    <n v="1.35"/>
    <n v="24.83"/>
    <x v="0"/>
    <x v="3"/>
    <x v="2"/>
    <s v="2024-12-18"/>
    <n v="0"/>
    <x v="1"/>
    <s v="Q4"/>
    <n v="13.49"/>
  </r>
  <r>
    <s v="#ORD-10514"/>
    <s v="2024-11-01"/>
    <s v="22:40:46"/>
    <s v="Victoria Hernandez"/>
    <s v="victoria.hernandez20@gmail.com"/>
    <s v="+1-267-437-2457"/>
    <s v="Columbus"/>
    <s v="OH"/>
    <s v="United States"/>
    <s v="Wireless Noise-Cancelling Headphones x3"/>
    <x v="7"/>
    <n v="1"/>
    <n v="269.97000000000003"/>
    <s v="None"/>
    <n v="0"/>
    <n v="0"/>
    <n v="16.2"/>
    <n v="286.17"/>
    <x v="0"/>
    <x v="5"/>
    <x v="0"/>
    <s v="2024-11-05"/>
    <n v="286.17"/>
    <x v="8"/>
    <s v="Q4"/>
    <n v="269.97000000000003"/>
  </r>
  <r>
    <s v="#ORD-10515"/>
    <s v="2024-11-05"/>
    <s v="22:48:23"/>
    <s v="Alexander Perez"/>
    <s v="alexander.perez35@gmail.com"/>
    <s v="+1-739-845-6022"/>
    <s v="Memphis"/>
    <s v="TN"/>
    <s v="United States"/>
    <s v="Wireless Noise-Cancelling Headphones x1"/>
    <x v="7"/>
    <n v="1"/>
    <n v="89.99"/>
    <s v="None"/>
    <n v="0"/>
    <n v="0"/>
    <n v="7.65"/>
    <n v="97.64"/>
    <x v="7"/>
    <x v="6"/>
    <x v="2"/>
    <s v="2024-11-07"/>
    <n v="0"/>
    <x v="8"/>
    <s v="Q4"/>
    <n v="89.99"/>
  </r>
  <r>
    <s v="#ORD-10516"/>
    <s v="2024-08-10"/>
    <s v="04:53:59"/>
    <s v="Daniel Allen"/>
    <s v="daniel.allen68@gmail.com"/>
    <s v="+1-808-970-7597"/>
    <s v="Houston"/>
    <s v="TX"/>
    <s v="United States"/>
    <s v="Coffee Maker Programmable x1 | Hiking Boots x1 | Scented Soy Candle Set x1"/>
    <x v="6"/>
    <n v="3"/>
    <n v="187.97"/>
    <s v="WELCOME15"/>
    <n v="28.2"/>
    <n v="0"/>
    <n v="11.18"/>
    <n v="170.95"/>
    <x v="0"/>
    <x v="4"/>
    <x v="0"/>
    <s v="2024-08-15"/>
    <n v="170.95"/>
    <x v="5"/>
    <s v="Q3"/>
    <n v="159.77000000000001"/>
  </r>
  <r>
    <s v="#ORD-10517"/>
    <s v="2024-07-18"/>
    <s v="10:46:35"/>
    <s v="Ella Hill"/>
    <s v="ella.hill34@gmail.com"/>
    <s v="+1-894-723-7852"/>
    <s v="Phoenix"/>
    <s v="AZ"/>
    <s v="United States"/>
    <s v="Anti-Aging Serum 1oz x1 | Mechanical Keyboard x1"/>
    <x v="0"/>
    <n v="2"/>
    <n v="169.98"/>
    <s v="SAVE10"/>
    <n v="17"/>
    <n v="0"/>
    <n v="9.18"/>
    <n v="162.16"/>
    <x v="2"/>
    <x v="0"/>
    <x v="1"/>
    <s v="2024-07-20"/>
    <n v="0"/>
    <x v="2"/>
    <s v="Q3"/>
    <n v="152.97999999999999"/>
  </r>
  <r>
    <s v="#ORD-10518"/>
    <s v="2024-04-17"/>
    <s v="02:51:23"/>
    <s v="Sebastian Lopez"/>
    <s v="sebastian.lopez46@outlook.com"/>
    <s v="+1-295-269-1940"/>
    <s v="Charlotte"/>
    <s v="NC"/>
    <s v="United States"/>
    <s v="Air Fryer 5.8Qt x2 | Sunscreen SPF 50 Face x1 | Leather Wallet Slim x2 | Bamboo Sunglasses x3"/>
    <x v="6"/>
    <n v="4"/>
    <n v="313.92"/>
    <s v="WELCOME15"/>
    <n v="47.09"/>
    <n v="0"/>
    <n v="21.35"/>
    <n v="288.18"/>
    <x v="4"/>
    <x v="0"/>
    <x v="2"/>
    <s v="2024-04-19"/>
    <n v="0"/>
    <x v="10"/>
    <s v="Q2"/>
    <n v="266.83000000000004"/>
  </r>
  <r>
    <s v="#ORD-10519"/>
    <s v="2024-06-13"/>
    <s v="15:48:49"/>
    <s v="Ethan Jackson"/>
    <s v="ethan.jackson64@yahoo.com"/>
    <s v="+1-919-647-6653"/>
    <s v="Seattle"/>
    <s v="WA"/>
    <s v="United States"/>
    <s v="Bamboo Sunglasses x1 | Men's Grooming Kit x1"/>
    <x v="2"/>
    <n v="2"/>
    <n v="60.98"/>
    <s v="FLASH25"/>
    <n v="15.25"/>
    <n v="4.99"/>
    <n v="3.89"/>
    <n v="54.61"/>
    <x v="0"/>
    <x v="3"/>
    <x v="2"/>
    <s v="2024-06-17"/>
    <n v="0"/>
    <x v="3"/>
    <s v="Q2"/>
    <n v="45.73"/>
  </r>
  <r>
    <s v="#ORD-10520"/>
    <s v="2024-06-23"/>
    <s v="05:44:24"/>
    <s v="Oliver Wright"/>
    <s v="oliver.wright78@gmail.com"/>
    <s v="+1-895-355-9832"/>
    <s v="El Paso"/>
    <s v="TX"/>
    <s v="United States"/>
    <s v="Anti-Aging Serum 1oz x2 | Bamboo Sunglasses x1 | Leather Wallet Slim x1 | Classic Fit Polo Shirt x1 | Air Fryer 5.8Qt x1"/>
    <x v="0"/>
    <n v="5"/>
    <n v="269.94"/>
    <s v="None"/>
    <n v="0"/>
    <n v="0"/>
    <n v="22.94"/>
    <n v="292.88"/>
    <x v="5"/>
    <x v="3"/>
    <x v="2"/>
    <s v="2024-06-26"/>
    <n v="0"/>
    <x v="3"/>
    <s v="Q2"/>
    <n v="269.94"/>
  </r>
  <r>
    <s v="#ORD-10521"/>
    <s v="2024-03-23"/>
    <s v="17:55:06"/>
    <s v="Mason Jackson"/>
    <s v="mason.jackson62@gmail.com"/>
    <s v="+1-832-968-8999"/>
    <s v="San Jose"/>
    <s v="CA"/>
    <s v="United States"/>
    <s v="Essential Oil Diffuser x1"/>
    <x v="4"/>
    <n v="1"/>
    <n v="32.99"/>
    <s v="None"/>
    <n v="0"/>
    <n v="7.99"/>
    <n v="3.3"/>
    <n v="44.28"/>
    <x v="5"/>
    <x v="2"/>
    <x v="3"/>
    <m/>
    <n v="0"/>
    <x v="9"/>
    <s v="Q1"/>
    <n v="32.99"/>
  </r>
  <r>
    <s v="#ORD-10522"/>
    <s v="2024-04-25"/>
    <s v="20:49:46"/>
    <s v="Noah Thompson"/>
    <s v="noah.thompson79@gmail.com"/>
    <s v="+1-402-186-9668"/>
    <s v="New York"/>
    <s v="NY"/>
    <s v="United States"/>
    <s v="Wireless Noise-Cancelling Headphones x1"/>
    <x v="7"/>
    <n v="1"/>
    <n v="89.99"/>
    <s v="None"/>
    <n v="0"/>
    <n v="0"/>
    <n v="7.65"/>
    <n v="97.64"/>
    <x v="5"/>
    <x v="3"/>
    <x v="3"/>
    <m/>
    <n v="0"/>
    <x v="10"/>
    <s v="Q2"/>
    <n v="89.99"/>
  </r>
  <r>
    <s v="#ORD-10523"/>
    <s v="2024-10-25"/>
    <s v="19:46:17"/>
    <s v="Scarlett Martinez"/>
    <s v="scarlett.martinez16@yahoo.com"/>
    <s v="+1-872-959-8198"/>
    <s v="Columbus"/>
    <s v="OH"/>
    <s v="United States"/>
    <s v="Casual Sneakers x1 | Stainless Steel Cookware Set x1"/>
    <x v="5"/>
    <n v="2"/>
    <n v="189.98"/>
    <s v="WELCOME15"/>
    <n v="28.5"/>
    <n v="0"/>
    <n v="11.3"/>
    <n v="172.78"/>
    <x v="5"/>
    <x v="3"/>
    <x v="3"/>
    <m/>
    <n v="0"/>
    <x v="7"/>
    <s v="Q4"/>
    <n v="161.47999999999999"/>
  </r>
  <r>
    <s v="#ORD-10524"/>
    <s v="2024-05-19"/>
    <s v="12:19:44"/>
    <s v="Mia Rodriguez"/>
    <s v="mia.rodriguez96@gmail.com"/>
    <s v="+1-631-600-9119"/>
    <s v="Jacksonville"/>
    <s v="FL"/>
    <s v="United States"/>
    <s v="Sunscreen SPF 50 Face x1 | Running Shoes - Women's x1 | Smart LED Desk Lamp x2 | Yoga Mat Premium x2"/>
    <x v="0"/>
    <n v="4"/>
    <n v="238.94"/>
    <s v="None"/>
    <n v="0"/>
    <n v="0"/>
    <n v="23.89"/>
    <n v="262.83"/>
    <x v="0"/>
    <x v="5"/>
    <x v="2"/>
    <s v="2024-05-20"/>
    <n v="0"/>
    <x v="4"/>
    <s v="Q2"/>
    <n v="238.94"/>
  </r>
  <r>
    <s v="#ORD-10525"/>
    <s v="2024-10-08"/>
    <s v="22:45:34"/>
    <s v="Isabella Lee"/>
    <s v="isabella.lee98@yahoo.com"/>
    <s v="+1-811-855-1131"/>
    <s v="Memphis"/>
    <s v="TN"/>
    <s v="United States"/>
    <s v="Denim Jacket x3 | Protein Powder Chocolate 2lb x2 | Mechanical Keyboard x1 | Smart LED Desk Lamp x1"/>
    <x v="1"/>
    <n v="4"/>
    <n v="444.93"/>
    <s v="None"/>
    <n v="0"/>
    <n v="0"/>
    <n v="44.49"/>
    <n v="489.42"/>
    <x v="0"/>
    <x v="4"/>
    <x v="1"/>
    <s v="2024-10-12"/>
    <n v="0"/>
    <x v="7"/>
    <s v="Q4"/>
    <n v="444.93"/>
  </r>
  <r>
    <s v="#ORD-10526"/>
    <s v="2024-10-22"/>
    <s v="12:06:03"/>
    <s v="Jack Young"/>
    <s v="jack.young37@gmail.com"/>
    <s v="+1-882-940-8031"/>
    <s v="San Jose"/>
    <s v="CA"/>
    <s v="United States"/>
    <s v="Scented Soy Candle Set x1"/>
    <x v="4"/>
    <n v="1"/>
    <n v="22.99"/>
    <s v="FLASH25"/>
    <n v="5.75"/>
    <n v="5.99"/>
    <n v="1.21"/>
    <n v="24.44"/>
    <x v="0"/>
    <x v="3"/>
    <x v="2"/>
    <s v="2024-10-24"/>
    <n v="0"/>
    <x v="7"/>
    <s v="Q4"/>
    <n v="17.239999999999998"/>
  </r>
  <r>
    <s v="#ORD-10527"/>
    <s v="2024-03-11"/>
    <s v="08:47:48"/>
    <s v="Charlotte Young"/>
    <s v="charlotte.young14@outlook.com"/>
    <s v="+1-636-118-4270"/>
    <s v="Boston"/>
    <s v="MA"/>
    <s v="United States"/>
    <s v="Canvas Backpack 25L x1"/>
    <x v="2"/>
    <n v="1"/>
    <n v="54.99"/>
    <s v="None"/>
    <n v="0"/>
    <n v="5.99"/>
    <n v="3.3"/>
    <n v="64.28"/>
    <x v="0"/>
    <x v="3"/>
    <x v="2"/>
    <s v="2024-03-13"/>
    <n v="0"/>
    <x v="9"/>
    <s v="Q1"/>
    <n v="54.99"/>
  </r>
  <r>
    <s v="#ORD-10528"/>
    <s v="2024-03-30"/>
    <s v="21:03:43"/>
    <s v="Ethan Brown"/>
    <s v="ethan.brown53@outlook.com"/>
    <s v="+1-559-828-7849"/>
    <s v="Fort Worth"/>
    <s v="TX"/>
    <s v="United States"/>
    <s v="Multivitamin Daily Pack x1"/>
    <x v="8"/>
    <n v="1"/>
    <n v="19.989999999999998"/>
    <s v="FLASH25"/>
    <n v="5"/>
    <n v="9.99"/>
    <n v="1.5"/>
    <n v="26.48"/>
    <x v="0"/>
    <x v="3"/>
    <x v="1"/>
    <s v="2024-04-02"/>
    <n v="0"/>
    <x v="9"/>
    <s v="Q1"/>
    <n v="14.989999999999998"/>
  </r>
  <r>
    <s v="#ORD-10529"/>
    <s v="2024-01-01"/>
    <s v="04:59:42"/>
    <s v="Oliver Lee"/>
    <s v="oliver.lee7@gmail.com"/>
    <s v="+1-703-472-6476"/>
    <s v="Albuquerque"/>
    <s v="NM"/>
    <s v="United States"/>
    <s v="Men's Grooming Kit x1"/>
    <x v="0"/>
    <n v="1"/>
    <n v="35.99"/>
    <s v="SAVE10"/>
    <n v="3.6"/>
    <n v="9.99"/>
    <n v="2.59"/>
    <n v="44.97"/>
    <x v="2"/>
    <x v="3"/>
    <x v="2"/>
    <s v="2024-01-04"/>
    <n v="0"/>
    <x v="6"/>
    <s v="Q1"/>
    <n v="32.39"/>
  </r>
  <r>
    <s v="#ORD-10530"/>
    <s v="2024-08-02"/>
    <s v="06:51:09"/>
    <s v="Aiden Davis"/>
    <s v="aiden.davis86@gmail.com"/>
    <s v="+1-593-189-2742"/>
    <s v="Houston"/>
    <s v="TX"/>
    <s v="United States"/>
    <s v="Mechanical Keyboard x2 | Resistance Band Set x1 | Insulated Water Bottle 32oz x2"/>
    <x v="7"/>
    <n v="3"/>
    <n v="320.95"/>
    <s v="FLASH25"/>
    <n v="80.239999999999995"/>
    <n v="0"/>
    <n v="21.66"/>
    <n v="262.37"/>
    <x v="5"/>
    <x v="0"/>
    <x v="2"/>
    <s v="2024-08-07"/>
    <n v="0"/>
    <x v="5"/>
    <s v="Q3"/>
    <n v="240.70999999999998"/>
  </r>
  <r>
    <s v="#ORD-10531"/>
    <s v="2024-09-11"/>
    <s v="03:01:55"/>
    <s v="Isabella Flores"/>
    <s v="isabella.flores6@outlook.com"/>
    <s v="+1-938-257-1717"/>
    <s v="Houston"/>
    <s v="TX"/>
    <s v="United States"/>
    <s v="Running Shoes - Women's x3 | Sunscreen SPF 50 Face x1 | Organic Green Tea 100ct x1"/>
    <x v="5"/>
    <n v="3"/>
    <n v="243.95"/>
    <s v="SAVE10"/>
    <n v="24.39"/>
    <n v="0"/>
    <n v="17.559999999999999"/>
    <n v="237.12"/>
    <x v="1"/>
    <x v="7"/>
    <x v="2"/>
    <s v="2024-09-16"/>
    <n v="0"/>
    <x v="11"/>
    <s v="Q3"/>
    <n v="219.56"/>
  </r>
  <r>
    <s v="#ORD-10532"/>
    <s v="2024-10-21"/>
    <s v="21:42:10"/>
    <s v="Isabella Gonzalez"/>
    <s v="isabella.gonzalez71@outlook.com"/>
    <s v="+1-370-713-5491"/>
    <s v="Columbus"/>
    <s v="OH"/>
    <s v="United States"/>
    <s v="Bamboo Sunglasses x2 | Coffee Maker Programmable x1 | Insulated Water Bottle 32oz x2"/>
    <x v="2"/>
    <n v="3"/>
    <n v="160.94999999999999"/>
    <s v="WELCOME15"/>
    <n v="24.14"/>
    <n v="0"/>
    <n v="8.2100000000000009"/>
    <n v="145.02000000000001"/>
    <x v="5"/>
    <x v="5"/>
    <x v="0"/>
    <s v="2024-10-22"/>
    <n v="145.02000000000001"/>
    <x v="7"/>
    <s v="Q4"/>
    <n v="136.81"/>
  </r>
  <r>
    <s v="#ORD-10533"/>
    <s v="2024-09-26"/>
    <s v="10:42:56"/>
    <s v="Isabella Jackson"/>
    <s v="isabella.jackson73@gmail.com"/>
    <s v="+1-610-721-5448"/>
    <s v="Los Angeles"/>
    <s v="CA"/>
    <s v="United States"/>
    <s v="Denim Jacket x1"/>
    <x v="1"/>
    <n v="1"/>
    <n v="64.989999999999995"/>
    <s v="FLASH25"/>
    <n v="16.25"/>
    <n v="4.99"/>
    <n v="3.41"/>
    <n v="57.14"/>
    <x v="5"/>
    <x v="5"/>
    <x v="0"/>
    <s v="2024-09-30"/>
    <n v="57.14"/>
    <x v="11"/>
    <s v="Q3"/>
    <n v="48.739999999999995"/>
  </r>
  <r>
    <s v="#ORD-10534"/>
    <s v="2024-01-04"/>
    <s v="10:35:36"/>
    <s v="Lucas Lopez"/>
    <s v="lucas.lopez21@outlook.com"/>
    <s v="+1-246-646-4902"/>
    <s v="New York"/>
    <s v="NY"/>
    <s v="United States"/>
    <s v="High-Waist Leggings x1 | Air Fryer 5.8Qt x2 | Organic Green Tea 100ct x1"/>
    <x v="1"/>
    <n v="3"/>
    <n v="217.96"/>
    <s v="None"/>
    <n v="0"/>
    <n v="0"/>
    <n v="17.440000000000001"/>
    <n v="235.4"/>
    <x v="1"/>
    <x v="0"/>
    <x v="2"/>
    <s v="2024-01-06"/>
    <n v="0"/>
    <x v="6"/>
    <s v="Q1"/>
    <n v="217.96"/>
  </r>
  <r>
    <s v="#ORD-10535"/>
    <s v="2024-02-21"/>
    <s v="15:22:59"/>
    <s v="Evelyn Williams"/>
    <s v="evelyn.williams19@yahoo.com"/>
    <s v="+1-285-822-9999"/>
    <s v="Oklahoma City"/>
    <s v="OK"/>
    <s v="United States"/>
    <s v="High-Waist Leggings x1"/>
    <x v="1"/>
    <n v="1"/>
    <n v="42.99"/>
    <s v="None"/>
    <n v="0"/>
    <n v="5.99"/>
    <n v="3.87"/>
    <n v="52.85"/>
    <x v="0"/>
    <x v="0"/>
    <x v="1"/>
    <s v="2024-02-24"/>
    <n v="0"/>
    <x v="0"/>
    <s v="Q1"/>
    <n v="42.99"/>
  </r>
  <r>
    <s v="#ORD-10536"/>
    <s v="2024-01-23"/>
    <s v="05:44:01"/>
    <s v="Harper Rodriguez"/>
    <s v="harper.rodriguez79@gmail.com"/>
    <s v="+1-869-363-4377"/>
    <s v="Columbus"/>
    <s v="OH"/>
    <s v="United States"/>
    <s v="Wireless Noise-Cancelling Headphones x1 | Denim Jacket x2"/>
    <x v="7"/>
    <n v="2"/>
    <n v="219.97"/>
    <s v="SAVE10"/>
    <n v="22"/>
    <n v="0"/>
    <n v="13.86"/>
    <n v="211.83"/>
    <x v="0"/>
    <x v="3"/>
    <x v="2"/>
    <s v="2024-01-27"/>
    <n v="0"/>
    <x v="6"/>
    <s v="Q1"/>
    <n v="197.97"/>
  </r>
  <r>
    <s v="#ORD-10537"/>
    <s v="2024-09-01"/>
    <s v="14:10:03"/>
    <s v="Avery Anderson"/>
    <s v="avery.anderson35@gmail.com"/>
    <s v="+1-393-683-9036"/>
    <s v="Austin"/>
    <s v="TX"/>
    <s v="United States"/>
    <s v="Classic Fit Polo Shirt x1 | Protein Powder Chocolate 2lb x2 | Mechanical Keyboard x1"/>
    <x v="1"/>
    <n v="3"/>
    <n v="244.96"/>
    <s v="None"/>
    <n v="0"/>
    <n v="0"/>
    <n v="20.82"/>
    <n v="265.77999999999997"/>
    <x v="0"/>
    <x v="3"/>
    <x v="2"/>
    <s v="2024-09-03"/>
    <n v="0"/>
    <x v="11"/>
    <s v="Q3"/>
    <n v="244.96"/>
  </r>
  <r>
    <s v="#ORD-10538"/>
    <s v="2024-03-10"/>
    <s v="00:36:12"/>
    <s v="Logan Jackson"/>
    <s v="logan.jackson40@gmail.com"/>
    <s v="+1-302-486-7291"/>
    <s v="New York"/>
    <s v="NY"/>
    <s v="United States"/>
    <s v="Anti-Aging Serum 1oz x1 | Scented Soy Candle Set x1 | Running Shoes - Women's x1"/>
    <x v="0"/>
    <n v="3"/>
    <n v="142.97"/>
    <s v="WELCOME15"/>
    <n v="21.45"/>
    <n v="0"/>
    <n v="7.29"/>
    <n v="128.81"/>
    <x v="1"/>
    <x v="3"/>
    <x v="2"/>
    <s v="2024-03-15"/>
    <n v="0"/>
    <x v="9"/>
    <s v="Q1"/>
    <n v="121.52"/>
  </r>
  <r>
    <s v="#ORD-10539"/>
    <s v="2024-01-17"/>
    <s v="23:41:12"/>
    <s v="Liam Davis"/>
    <s v="liam.davis2@outlook.com"/>
    <s v="+1-407-242-8871"/>
    <s v="Baltimore"/>
    <s v="MD"/>
    <s v="United States"/>
    <s v="Classic Fit Polo Shirt x1"/>
    <x v="1"/>
    <n v="1"/>
    <n v="34.99"/>
    <s v="None"/>
    <n v="0"/>
    <n v="4.99"/>
    <n v="2.1"/>
    <n v="42.08"/>
    <x v="7"/>
    <x v="3"/>
    <x v="1"/>
    <s v="2024-01-18"/>
    <n v="0"/>
    <x v="6"/>
    <s v="Q1"/>
    <n v="34.99"/>
  </r>
  <r>
    <s v="#ORD-10540"/>
    <s v="2024-07-04"/>
    <s v="23:44:58"/>
    <s v="Chloe Robinson"/>
    <s v="chloe.robinson21@gmail.com"/>
    <s v="+1-723-956-7804"/>
    <s v="Baltimore"/>
    <s v="MD"/>
    <s v="United States"/>
    <s v="Portable Bluetooth Speaker x1"/>
    <x v="7"/>
    <n v="1"/>
    <n v="49.99"/>
    <s v="SAVE10"/>
    <n v="5"/>
    <n v="4.99"/>
    <n v="2.7"/>
    <n v="52.68"/>
    <x v="6"/>
    <x v="3"/>
    <x v="2"/>
    <s v="2024-07-05"/>
    <n v="0"/>
    <x v="2"/>
    <s v="Q3"/>
    <n v="44.99"/>
  </r>
  <r>
    <s v="#ORD-10541"/>
    <s v="2024-06-14"/>
    <s v="21:11:26"/>
    <s v="James Smith"/>
    <s v="james.smith29@gmail.com"/>
    <s v="+1-373-212-4678"/>
    <s v="Tucson"/>
    <s v="AZ"/>
    <s v="United States"/>
    <s v="Insulated Water Bottle 32oz x1"/>
    <x v="3"/>
    <n v="1"/>
    <n v="27.99"/>
    <s v="None"/>
    <n v="0"/>
    <n v="9.99"/>
    <n v="2.8"/>
    <n v="40.78"/>
    <x v="4"/>
    <x v="6"/>
    <x v="2"/>
    <s v="2024-06-18"/>
    <n v="0"/>
    <x v="3"/>
    <s v="Q2"/>
    <n v="27.99"/>
  </r>
  <r>
    <s v="#ORD-10542"/>
    <s v="2024-12-24"/>
    <s v="13:57:44"/>
    <s v="Sophia Jackson"/>
    <s v="sophia.jackson10@yahoo.com"/>
    <s v="+1-306-377-9179"/>
    <s v="Jacksonville"/>
    <s v="FL"/>
    <s v="United States"/>
    <s v="USB-C Fast Charger 65W x1 | Leather Wallet Slim x1 | Portable Bluetooth Speaker x1 | Scented Soy Candle Set x1"/>
    <x v="7"/>
    <n v="4"/>
    <n v="132.96"/>
    <s v="WELCOME15"/>
    <n v="19.940000000000001"/>
    <n v="0"/>
    <n v="7.91"/>
    <n v="120.93"/>
    <x v="4"/>
    <x v="4"/>
    <x v="2"/>
    <s v="2024-12-27"/>
    <n v="0"/>
    <x v="1"/>
    <s v="Q4"/>
    <n v="113.02000000000001"/>
  </r>
  <r>
    <s v="#ORD-10543"/>
    <s v="2024-11-30"/>
    <s v="15:45:22"/>
    <s v="Alexander Taylor"/>
    <s v="alexander.taylor92@outlook.com"/>
    <s v="+1-292-430-3089"/>
    <s v="Louisville"/>
    <s v="KY"/>
    <s v="United States"/>
    <s v="Mechanical Keyboard x1 | Classic Fit Polo Shirt x1 | Essential Oil Diffuser x2 | Resistance Band Set x3"/>
    <x v="7"/>
    <n v="4"/>
    <n v="295.93"/>
    <s v="None"/>
    <n v="0"/>
    <n v="0"/>
    <n v="17.760000000000002"/>
    <n v="313.69"/>
    <x v="1"/>
    <x v="1"/>
    <x v="2"/>
    <s v="2024-12-02"/>
    <n v="0"/>
    <x v="8"/>
    <s v="Q4"/>
    <n v="295.93"/>
  </r>
  <r>
    <s v="#ORD-10544"/>
    <s v="2024-07-05"/>
    <s v="21:56:03"/>
    <s v="Logan Harris"/>
    <s v="logan.harris41@gmail.com"/>
    <s v="+1-745-649-4770"/>
    <s v="Jacksonville"/>
    <s v="FL"/>
    <s v="United States"/>
    <s v="Multivitamin Daily Pack x2 | Scented Soy Candle Set x1"/>
    <x v="8"/>
    <n v="2"/>
    <n v="62.97"/>
    <s v="None"/>
    <n v="0"/>
    <n v="9.99"/>
    <n v="5.35"/>
    <n v="78.31"/>
    <x v="5"/>
    <x v="5"/>
    <x v="3"/>
    <m/>
    <n v="0"/>
    <x v="2"/>
    <s v="Q3"/>
    <n v="62.97"/>
  </r>
  <r>
    <s v="#ORD-10545"/>
    <s v="2024-08-12"/>
    <s v="10:11:55"/>
    <s v="Elizabeth Garcia"/>
    <s v="elizabeth.garcia92@gmail.com"/>
    <s v="+1-557-469-3283"/>
    <s v="Denver"/>
    <s v="CO"/>
    <s v="United States"/>
    <s v="High-Waist Leggings x2 | Men's Grooming Kit x1 | Casual Sneakers x1"/>
    <x v="1"/>
    <n v="3"/>
    <n v="181.96"/>
    <s v="None"/>
    <n v="0"/>
    <n v="0"/>
    <n v="14.56"/>
    <n v="196.52"/>
    <x v="1"/>
    <x v="1"/>
    <x v="2"/>
    <s v="2024-08-13"/>
    <n v="0"/>
    <x v="5"/>
    <s v="Q3"/>
    <n v="181.96"/>
  </r>
  <r>
    <s v="#ORD-10546"/>
    <s v="2024-04-04"/>
    <s v="04:14:22"/>
    <s v="Evelyn Walker"/>
    <s v="evelyn.walker71@outlook.com"/>
    <s v="+1-580-155-2736"/>
    <s v="Phoenix"/>
    <s v="AZ"/>
    <s v="United States"/>
    <s v="Casual Sneakers x1"/>
    <x v="5"/>
    <n v="1"/>
    <n v="59.99"/>
    <s v="None"/>
    <n v="0"/>
    <n v="4.99"/>
    <n v="6"/>
    <n v="70.98"/>
    <x v="1"/>
    <x v="3"/>
    <x v="2"/>
    <s v="2024-04-08"/>
    <n v="0"/>
    <x v="10"/>
    <s v="Q2"/>
    <n v="59.99"/>
  </r>
  <r>
    <s v="#ORD-10547"/>
    <s v="2024-05-21"/>
    <s v="20:19:22"/>
    <s v="Daniel Jones"/>
    <s v="daniel.jones77@yahoo.com"/>
    <s v="+1-915-406-8703"/>
    <s v="Indianapolis"/>
    <s v="IN"/>
    <s v="United States"/>
    <s v="Casual Sneakers x1"/>
    <x v="5"/>
    <n v="1"/>
    <n v="59.99"/>
    <s v="LOYALTY5"/>
    <n v="3"/>
    <n v="9.99"/>
    <n v="3.99"/>
    <n v="70.97"/>
    <x v="6"/>
    <x v="5"/>
    <x v="2"/>
    <s v="2024-05-26"/>
    <n v="0"/>
    <x v="4"/>
    <s v="Q2"/>
    <n v="56.99"/>
  </r>
  <r>
    <s v="#ORD-10548"/>
    <s v="2024-03-01"/>
    <s v="12:58:31"/>
    <s v="Sofia Perez"/>
    <s v="sofia.perez83@yahoo.com"/>
    <s v="+1-767-828-5227"/>
    <s v="Charlotte"/>
    <s v="NC"/>
    <s v="United States"/>
    <s v="Essential Oil Diffuser x1"/>
    <x v="4"/>
    <n v="1"/>
    <n v="32.99"/>
    <s v="None"/>
    <n v="0"/>
    <n v="5.99"/>
    <n v="1.98"/>
    <n v="40.96"/>
    <x v="5"/>
    <x v="5"/>
    <x v="3"/>
    <m/>
    <n v="0"/>
    <x v="9"/>
    <s v="Q1"/>
    <n v="32.99"/>
  </r>
  <r>
    <s v="#ORD-10549"/>
    <s v="2024-12-27"/>
    <s v="17:44:43"/>
    <s v="Chloe King"/>
    <s v="chloe.king91@gmail.com"/>
    <s v="+1-819-961-2264"/>
    <s v="San Jose"/>
    <s v="CA"/>
    <s v="United States"/>
    <s v="USB-C Fast Charger 65W x1"/>
    <x v="7"/>
    <n v="1"/>
    <n v="29.99"/>
    <s v="None"/>
    <n v="0"/>
    <n v="5.99"/>
    <n v="2.5499999999999998"/>
    <n v="38.53"/>
    <x v="1"/>
    <x v="3"/>
    <x v="2"/>
    <s v="2025-01-01"/>
    <n v="0"/>
    <x v="1"/>
    <s v="Q4"/>
    <n v="29.99"/>
  </r>
  <r>
    <s v="#ORD-10550"/>
    <s v="2024-03-05"/>
    <s v="00:16:27"/>
    <s v="Sebastian Young"/>
    <s v="sebastian.young84@outlook.com"/>
    <s v="+1-445-388-3666"/>
    <s v="Austin"/>
    <s v="TX"/>
    <s v="United States"/>
    <s v="Insulated Water Bottle 32oz x1"/>
    <x v="3"/>
    <n v="1"/>
    <n v="27.99"/>
    <s v="None"/>
    <n v="0"/>
    <n v="7.99"/>
    <n v="1.68"/>
    <n v="37.659999999999997"/>
    <x v="0"/>
    <x v="3"/>
    <x v="1"/>
    <s v="2024-03-06"/>
    <n v="0"/>
    <x v="9"/>
    <s v="Q1"/>
    <n v="27.99"/>
  </r>
  <r>
    <s v="#ORD-10551"/>
    <s v="2024-04-30"/>
    <s v="01:12:29"/>
    <s v="Grace Miller"/>
    <s v="grace.miller28@outlook.com"/>
    <s v="+1-695-146-1787"/>
    <s v="Chicago"/>
    <s v="IL"/>
    <s v="United States"/>
    <s v="Running Shoes - Women's x1"/>
    <x v="5"/>
    <n v="1"/>
    <n v="69.989999999999995"/>
    <s v="None"/>
    <n v="0"/>
    <n v="5.99"/>
    <n v="5.6"/>
    <n v="81.58"/>
    <x v="0"/>
    <x v="0"/>
    <x v="2"/>
    <s v="2024-05-05"/>
    <n v="0"/>
    <x v="10"/>
    <s v="Q2"/>
    <n v="69.989999999999995"/>
  </r>
  <r>
    <s v="#ORD-10552"/>
    <s v="2024-06-03"/>
    <s v="14:54:00"/>
    <s v="Abigail Garcia"/>
    <s v="abigail.garcia2@outlook.com"/>
    <s v="+1-993-253-1388"/>
    <s v="San Jose"/>
    <s v="CA"/>
    <s v="United States"/>
    <s v="Resistance Band Set x1 | Classic Fit Polo Shirt x1"/>
    <x v="3"/>
    <n v="2"/>
    <n v="59.98"/>
    <s v="None"/>
    <n v="0"/>
    <n v="4.99"/>
    <n v="4.8"/>
    <n v="69.77"/>
    <x v="5"/>
    <x v="4"/>
    <x v="2"/>
    <s v="2024-06-08"/>
    <n v="0"/>
    <x v="3"/>
    <s v="Q2"/>
    <n v="59.98"/>
  </r>
  <r>
    <s v="#ORD-10553"/>
    <s v="2024-03-03"/>
    <s v="14:42:26"/>
    <s v="Daniel Harris"/>
    <s v="daniel.harris76@yahoo.com"/>
    <s v="+1-728-846-9573"/>
    <s v="Indianapolis"/>
    <s v="IN"/>
    <s v="United States"/>
    <s v="Organic Green Tea 100ct x1"/>
    <x v="9"/>
    <n v="1"/>
    <n v="14.99"/>
    <s v="None"/>
    <n v="0"/>
    <n v="5.99"/>
    <n v="1.05"/>
    <n v="22.03"/>
    <x v="6"/>
    <x v="0"/>
    <x v="2"/>
    <s v="2024-03-08"/>
    <n v="0"/>
    <x v="9"/>
    <s v="Q1"/>
    <n v="14.99"/>
  </r>
  <r>
    <s v="#ORD-10554"/>
    <s v="2024-05-19"/>
    <s v="22:23:30"/>
    <s v="Muhammad Robinson"/>
    <s v="muhammad.robinson17@gmail.com"/>
    <s v="+1-780-742-9151"/>
    <s v="Louisville"/>
    <s v="KY"/>
    <s v="United States"/>
    <s v="Multivitamin Daily Pack x2 | Portable Bluetooth Speaker x2"/>
    <x v="8"/>
    <n v="2"/>
    <n v="139.96"/>
    <s v="WELCOME15"/>
    <n v="20.99"/>
    <n v="0"/>
    <n v="8.33"/>
    <n v="127.3"/>
    <x v="0"/>
    <x v="0"/>
    <x v="2"/>
    <s v="2024-05-21"/>
    <n v="0"/>
    <x v="4"/>
    <s v="Q2"/>
    <n v="118.97000000000001"/>
  </r>
  <r>
    <s v="#ORD-10555"/>
    <s v="2024-11-05"/>
    <s v="16:08:54"/>
    <s v="Sophia Smith"/>
    <s v="sophia.smith99@outlook.com"/>
    <s v="+1-927-890-8548"/>
    <s v="Phoenix"/>
    <s v="AZ"/>
    <s v="United States"/>
    <s v="USB-C Fast Charger 65W x1 | Stainless Steel Cookware Set x1 | Smart LED Desk Lamp x1"/>
    <x v="7"/>
    <n v="3"/>
    <n v="199.97"/>
    <s v="None"/>
    <n v="0"/>
    <n v="0"/>
    <n v="16"/>
    <n v="215.97"/>
    <x v="1"/>
    <x v="3"/>
    <x v="2"/>
    <s v="2024-11-07"/>
    <n v="0"/>
    <x v="8"/>
    <s v="Q4"/>
    <n v="199.97"/>
  </r>
  <r>
    <s v="#ORD-10556"/>
    <s v="2024-02-24"/>
    <s v="13:03:47"/>
    <s v="Harper Young"/>
    <s v="harper.young98@outlook.com"/>
    <s v="+1-285-798-7769"/>
    <s v="Dallas"/>
    <s v="TX"/>
    <s v="United States"/>
    <s v="Linen Throw Blanket x2 | Stainless Steel Cookware Set x1 | Portable Bluetooth Speaker x2 | Insulated Water Bottle 32oz x2"/>
    <x v="4"/>
    <n v="4"/>
    <n v="365.93"/>
    <s v="None"/>
    <n v="0"/>
    <n v="0"/>
    <n v="31.1"/>
    <n v="397.03"/>
    <x v="5"/>
    <x v="6"/>
    <x v="1"/>
    <s v="2024-02-27"/>
    <n v="0"/>
    <x v="0"/>
    <s v="Q1"/>
    <n v="365.93"/>
  </r>
  <r>
    <s v="#ORD-10557"/>
    <s v="2024-09-07"/>
    <s v="01:16:24"/>
    <s v="Scarlett Robinson"/>
    <s v="scarlett.robinson88@gmail.com"/>
    <s v="+1-608-974-2195"/>
    <s v="Dallas"/>
    <s v="TX"/>
    <s v="United States"/>
    <s v="High-Waist Leggings x1"/>
    <x v="1"/>
    <n v="1"/>
    <n v="42.99"/>
    <s v="FLASH25"/>
    <n v="10.75"/>
    <n v="4.99"/>
    <n v="2.2599999999999998"/>
    <n v="39.49"/>
    <x v="4"/>
    <x v="3"/>
    <x v="2"/>
    <s v="2024-09-12"/>
    <n v="0"/>
    <x v="11"/>
    <s v="Q3"/>
    <n v="32.24"/>
  </r>
  <r>
    <s v="#ORD-10558"/>
    <s v="2024-06-30"/>
    <s v="22:37:52"/>
    <s v="Amelia Harris"/>
    <s v="amelia.harris60@yahoo.com"/>
    <s v="+1-524-450-8967"/>
    <s v="Milwaukee"/>
    <s v="WI"/>
    <s v="United States"/>
    <s v="Leather Wallet Slim x1 | Denim Jacket x1"/>
    <x v="2"/>
    <n v="2"/>
    <n v="94.98"/>
    <s v="None"/>
    <n v="0"/>
    <n v="0"/>
    <n v="8.07"/>
    <n v="103.05"/>
    <x v="6"/>
    <x v="3"/>
    <x v="1"/>
    <s v="2024-07-01"/>
    <n v="0"/>
    <x v="3"/>
    <s v="Q2"/>
    <n v="94.98"/>
  </r>
  <r>
    <s v="#ORD-10559"/>
    <s v="2024-07-30"/>
    <s v="16:31:30"/>
    <s v="Lucas Young"/>
    <s v="lucas.young36@gmail.com"/>
    <s v="+1-263-927-6922"/>
    <s v="Houston"/>
    <s v="TX"/>
    <s v="United States"/>
    <s v="Stainless Steel Cookware Set x1"/>
    <x v="6"/>
    <n v="1"/>
    <n v="129.99"/>
    <s v="None"/>
    <n v="0"/>
    <n v="0"/>
    <n v="10.4"/>
    <n v="140.38999999999999"/>
    <x v="1"/>
    <x v="7"/>
    <x v="4"/>
    <m/>
    <n v="0"/>
    <x v="2"/>
    <s v="Q3"/>
    <n v="129.99"/>
  </r>
  <r>
    <s v="#ORD-10560"/>
    <s v="2024-01-09"/>
    <s v="21:50:30"/>
    <s v="Jack Young"/>
    <s v="jack.young7@gmail.com"/>
    <s v="+1-255-194-8021"/>
    <s v="San Antonio"/>
    <s v="TX"/>
    <s v="United States"/>
    <s v="Anti-Aging Serum 1oz x1 | Multivitamin Daily Pack x1 | Hiking Boots x1 | Essential Oil Diffuser x1"/>
    <x v="0"/>
    <n v="4"/>
    <n v="212.96"/>
    <s v="SUMMER20"/>
    <n v="42.59"/>
    <n v="0"/>
    <n v="14.48"/>
    <n v="184.85"/>
    <x v="5"/>
    <x v="0"/>
    <x v="2"/>
    <s v="2024-01-11"/>
    <n v="0"/>
    <x v="6"/>
    <s v="Q1"/>
    <n v="170.37"/>
  </r>
  <r>
    <s v="#ORD-10561"/>
    <s v="2024-06-11"/>
    <s v="18:18:18"/>
    <s v="Muhammad Martin"/>
    <s v="muhammad.martin26@gmail.com"/>
    <s v="+1-811-303-2274"/>
    <s v="Philadelphia"/>
    <s v="PA"/>
    <s v="United States"/>
    <s v="Coffee Maker Programmable x2 | Sunscreen SPF 50 Face x3"/>
    <x v="6"/>
    <n v="2"/>
    <n v="166.95"/>
    <s v="WELCOME15"/>
    <n v="25.04"/>
    <n v="0"/>
    <n v="11.35"/>
    <n v="153.26"/>
    <x v="2"/>
    <x v="0"/>
    <x v="2"/>
    <s v="2024-06-16"/>
    <n v="0"/>
    <x v="3"/>
    <s v="Q2"/>
    <n v="141.91"/>
  </r>
  <r>
    <s v="#ORD-10562"/>
    <s v="2024-10-12"/>
    <s v="04:41:58"/>
    <s v="Daniel Green"/>
    <s v="daniel.green42@outlook.com"/>
    <s v="+1-939-103-8381"/>
    <s v="Phoenix"/>
    <s v="AZ"/>
    <s v="United States"/>
    <s v="Men's Grooming Kit x1 | Resistance Band Set x1 | Wireless Noise-Cancelling Headphones x1"/>
    <x v="0"/>
    <n v="3"/>
    <n v="150.97"/>
    <s v="SAVE10"/>
    <n v="15.1"/>
    <n v="0"/>
    <n v="8.15"/>
    <n v="144.02000000000001"/>
    <x v="6"/>
    <x v="4"/>
    <x v="2"/>
    <s v="2024-10-17"/>
    <n v="0"/>
    <x v="7"/>
    <s v="Q4"/>
    <n v="135.87"/>
  </r>
  <r>
    <s v="#ORD-10563"/>
    <s v="2024-03-25"/>
    <s v="21:42:42"/>
    <s v="Isabella Robinson"/>
    <s v="isabella.robinson75@gmail.com"/>
    <s v="+1-572-116-5947"/>
    <s v="Oklahoma City"/>
    <s v="OK"/>
    <s v="United States"/>
    <s v="Running Shoes - Women's x1 | Multivitamin Daily Pack x1 | Sunscreen SPF 50 Face x1"/>
    <x v="5"/>
    <n v="3"/>
    <n v="108.97"/>
    <s v="SAVE10"/>
    <n v="10.9"/>
    <n v="0"/>
    <n v="6.86"/>
    <n v="104.93"/>
    <x v="7"/>
    <x v="7"/>
    <x v="2"/>
    <s v="2024-03-28"/>
    <n v="0"/>
    <x v="9"/>
    <s v="Q1"/>
    <n v="98.07"/>
  </r>
  <r>
    <s v="#ORD-10564"/>
    <s v="2024-06-26"/>
    <s v="02:12:16"/>
    <s v="Aiden King"/>
    <s v="aiden.king16@outlook.com"/>
    <s v="+1-638-482-3898"/>
    <s v="Baltimore"/>
    <s v="MD"/>
    <s v="United States"/>
    <s v="Insulated Water Bottle 32oz x1"/>
    <x v="3"/>
    <n v="1"/>
    <n v="27.99"/>
    <s v="FLASH25"/>
    <n v="7"/>
    <n v="9.99"/>
    <n v="1.89"/>
    <n v="32.869999999999997"/>
    <x v="7"/>
    <x v="3"/>
    <x v="2"/>
    <s v="2024-06-30"/>
    <n v="0"/>
    <x v="3"/>
    <s v="Q2"/>
    <n v="20.99"/>
  </r>
  <r>
    <s v="#ORD-10565"/>
    <s v="2024-04-20"/>
    <s v="16:39:10"/>
    <s v="William Flores"/>
    <s v="william.flores70@gmail.com"/>
    <s v="+1-621-206-9133"/>
    <s v="Philadelphia"/>
    <s v="PA"/>
    <s v="United States"/>
    <s v="Sunscreen SPF 50 Face x1 | Anti-Aging Serum 1oz x2 | Multivitamin Daily Pack x3"/>
    <x v="0"/>
    <n v="3"/>
    <n v="178.94"/>
    <s v="None"/>
    <n v="0"/>
    <n v="0"/>
    <n v="10.74"/>
    <n v="189.68"/>
    <x v="6"/>
    <x v="3"/>
    <x v="2"/>
    <s v="2024-04-25"/>
    <n v="0"/>
    <x v="10"/>
    <s v="Q2"/>
    <n v="178.94"/>
  </r>
  <r>
    <s v="#ORD-10566"/>
    <s v="2024-08-13"/>
    <s v="17:29:22"/>
    <s v="Benjamin Scott"/>
    <s v="benjamin.scott82@gmail.com"/>
    <s v="+1-675-522-7484"/>
    <s v="Houston"/>
    <s v="TX"/>
    <s v="United States"/>
    <s v="Anti-Aging Serum 1oz x1 | Yoga Mat Premium x1 | Canvas Backpack 25L x1"/>
    <x v="0"/>
    <n v="3"/>
    <n v="139.97"/>
    <s v="WELCOME15"/>
    <n v="21"/>
    <n v="0"/>
    <n v="7.14"/>
    <n v="126.11"/>
    <x v="0"/>
    <x v="5"/>
    <x v="2"/>
    <s v="2024-08-16"/>
    <n v="0"/>
    <x v="5"/>
    <s v="Q3"/>
    <n v="118.97"/>
  </r>
  <r>
    <s v="#ORD-10567"/>
    <s v="2024-09-12"/>
    <s v="19:21:35"/>
    <s v="Emma White"/>
    <s v="emma.white29@yahoo.com"/>
    <s v="+1-233-115-1430"/>
    <s v="Louisville"/>
    <s v="KY"/>
    <s v="United States"/>
    <s v="Denim Jacket x2"/>
    <x v="1"/>
    <n v="1"/>
    <n v="129.97999999999999"/>
    <s v="WELCOME15"/>
    <n v="19.5"/>
    <n v="0"/>
    <n v="11.05"/>
    <n v="121.53"/>
    <x v="0"/>
    <x v="2"/>
    <x v="4"/>
    <m/>
    <n v="0"/>
    <x v="11"/>
    <s v="Q3"/>
    <n v="110.47999999999999"/>
  </r>
  <r>
    <s v="#ORD-10568"/>
    <s v="2024-05-10"/>
    <s v="03:15:52"/>
    <s v="James White"/>
    <s v="james.white67@outlook.com"/>
    <s v="+1-252-920-8030"/>
    <s v="Baltimore"/>
    <s v="MD"/>
    <s v="United States"/>
    <s v="Linen Throw Blanket x3"/>
    <x v="4"/>
    <n v="1"/>
    <n v="119.97"/>
    <s v="None"/>
    <n v="0"/>
    <n v="0"/>
    <n v="10.8"/>
    <n v="130.77000000000001"/>
    <x v="7"/>
    <x v="3"/>
    <x v="4"/>
    <m/>
    <n v="0"/>
    <x v="4"/>
    <s v="Q2"/>
    <n v="119.97"/>
  </r>
  <r>
    <s v="#ORD-10569"/>
    <s v="2024-05-03"/>
    <s v="13:08:21"/>
    <s v="Isabella Harris"/>
    <s v="isabella.harris23@gmail.com"/>
    <s v="+1-362-430-4338"/>
    <s v="Portland"/>
    <s v="OR"/>
    <s v="United States"/>
    <s v="Multivitamin Daily Pack x1 | Casual Sneakers x2"/>
    <x v="8"/>
    <n v="2"/>
    <n v="139.97"/>
    <s v="FLASH25"/>
    <n v="34.99"/>
    <n v="0"/>
    <n v="6.3"/>
    <n v="111.28"/>
    <x v="1"/>
    <x v="6"/>
    <x v="2"/>
    <s v="2024-05-08"/>
    <n v="0"/>
    <x v="4"/>
    <s v="Q2"/>
    <n v="104.97999999999999"/>
  </r>
  <r>
    <s v="#ORD-10570"/>
    <s v="2024-10-26"/>
    <s v="01:13:14"/>
    <s v="Ethan Garcia"/>
    <s v="ethan.garcia56@gmail.com"/>
    <s v="+1-849-746-6867"/>
    <s v="New York"/>
    <s v="NY"/>
    <s v="United States"/>
    <s v="Wireless Noise-Cancelling Headphones x2 | Scented Soy Candle Set x3"/>
    <x v="7"/>
    <n v="2"/>
    <n v="248.95"/>
    <s v="None"/>
    <n v="0"/>
    <n v="0"/>
    <n v="22.41"/>
    <n v="271.36"/>
    <x v="5"/>
    <x v="4"/>
    <x v="2"/>
    <s v="2024-10-30"/>
    <n v="0"/>
    <x v="7"/>
    <s v="Q4"/>
    <n v="248.95"/>
  </r>
  <r>
    <s v="#ORD-10571"/>
    <s v="2024-07-26"/>
    <s v="22:27:00"/>
    <s v="Logan Thomas"/>
    <s v="logan.thomas29@gmail.com"/>
    <s v="+1-670-710-3010"/>
    <s v="Oklahoma City"/>
    <s v="OK"/>
    <s v="United States"/>
    <s v="Men's Grooming Kit x2 | Classic Fit Polo Shirt x2 | High-Waist Leggings x1"/>
    <x v="0"/>
    <n v="3"/>
    <n v="184.95"/>
    <s v="SAVE10"/>
    <n v="18.5"/>
    <n v="0"/>
    <n v="9.99"/>
    <n v="176.44"/>
    <x v="2"/>
    <x v="0"/>
    <x v="2"/>
    <s v="2024-07-27"/>
    <n v="0"/>
    <x v="2"/>
    <s v="Q3"/>
    <n v="166.45"/>
  </r>
  <r>
    <s v="#ORD-10572"/>
    <s v="2024-07-10"/>
    <s v="22:41:51"/>
    <s v="Sophia Martinez"/>
    <s v="sophia.martinez34@yahoo.com"/>
    <s v="+1-584-421-8387"/>
    <s v="San Jose"/>
    <s v="CA"/>
    <s v="United States"/>
    <s v="Bamboo Sunglasses x1 | Denim Jacket x1 | Running Shoes - Women's x1"/>
    <x v="2"/>
    <n v="3"/>
    <n v="159.97"/>
    <s v="None"/>
    <n v="0"/>
    <n v="0"/>
    <n v="13.6"/>
    <n v="173.57"/>
    <x v="7"/>
    <x v="3"/>
    <x v="4"/>
    <m/>
    <n v="0"/>
    <x v="2"/>
    <s v="Q3"/>
    <n v="159.97"/>
  </r>
  <r>
    <s v="#ORD-10573"/>
    <s v="2024-09-02"/>
    <s v="03:20:07"/>
    <s v="Mia Lopez"/>
    <s v="mia.lopez2@outlook.com"/>
    <s v="+1-324-297-1484"/>
    <s v="San Jose"/>
    <s v="CA"/>
    <s v="United States"/>
    <s v="Portable Bluetooth Speaker x3 | Smart LED Desk Lamp x3"/>
    <x v="7"/>
    <n v="2"/>
    <n v="269.94"/>
    <s v="SUMMER20"/>
    <n v="53.99"/>
    <n v="0"/>
    <n v="19.440000000000001"/>
    <n v="235.39"/>
    <x v="1"/>
    <x v="3"/>
    <x v="0"/>
    <s v="2024-09-05"/>
    <n v="235.39"/>
    <x v="11"/>
    <s v="Q3"/>
    <n v="215.95"/>
  </r>
  <r>
    <s v="#ORD-10574"/>
    <s v="2024-05-21"/>
    <s v="17:01:38"/>
    <s v="Grace Johnson"/>
    <s v="grace.johnson66@yahoo.com"/>
    <s v="+1-693-304-2506"/>
    <s v="San Francisco"/>
    <s v="CA"/>
    <s v="United States"/>
    <s v="Running Shoes - Women's x1"/>
    <x v="5"/>
    <n v="1"/>
    <n v="69.989999999999995"/>
    <s v="None"/>
    <n v="0"/>
    <n v="5.99"/>
    <n v="4.2"/>
    <n v="80.180000000000007"/>
    <x v="1"/>
    <x v="1"/>
    <x v="2"/>
    <s v="2024-05-24"/>
    <n v="0"/>
    <x v="4"/>
    <s v="Q2"/>
    <n v="69.989999999999995"/>
  </r>
  <r>
    <s v="#ORD-10575"/>
    <s v="2024-11-10"/>
    <s v="04:32:09"/>
    <s v="Emily Torres"/>
    <s v="emily.torres38@gmail.com"/>
    <s v="+1-305-697-6105"/>
    <s v="Oklahoma City"/>
    <s v="OK"/>
    <s v="United States"/>
    <s v="Air Fryer 5.8Qt x3 | Protein Powder Chocolate 2lb x1"/>
    <x v="6"/>
    <n v="2"/>
    <n v="284.95999999999998"/>
    <s v="None"/>
    <n v="0"/>
    <n v="0"/>
    <n v="28.5"/>
    <n v="313.45999999999998"/>
    <x v="4"/>
    <x v="4"/>
    <x v="4"/>
    <m/>
    <n v="0"/>
    <x v="8"/>
    <s v="Q4"/>
    <n v="284.95999999999998"/>
  </r>
  <r>
    <s v="#ORD-10576"/>
    <s v="2024-06-22"/>
    <s v="06:29:29"/>
    <s v="Mia Wilson"/>
    <s v="mia.wilson63@gmail.com"/>
    <s v="+1-847-939-2052"/>
    <s v="Portland"/>
    <s v="OR"/>
    <s v="United States"/>
    <s v="Men's Grooming Kit x1"/>
    <x v="0"/>
    <n v="1"/>
    <n v="35.99"/>
    <s v="SAVE10"/>
    <n v="3.6"/>
    <n v="4.99"/>
    <n v="2.92"/>
    <n v="40.299999999999997"/>
    <x v="5"/>
    <x v="3"/>
    <x v="1"/>
    <s v="2024-06-25"/>
    <n v="0"/>
    <x v="3"/>
    <s v="Q2"/>
    <n v="32.39"/>
  </r>
  <r>
    <s v="#ORD-10577"/>
    <s v="2024-06-08"/>
    <s v="03:41:23"/>
    <s v="Avery Hernandez"/>
    <s v="avery.hernandez5@yahoo.com"/>
    <s v="+1-390-466-5019"/>
    <s v="Albuquerque"/>
    <s v="NM"/>
    <s v="United States"/>
    <s v="Denim Jacket x2"/>
    <x v="1"/>
    <n v="1"/>
    <n v="129.97999999999999"/>
    <s v="FLASH25"/>
    <n v="32.49"/>
    <n v="0"/>
    <n v="7.8"/>
    <n v="105.29"/>
    <x v="5"/>
    <x v="3"/>
    <x v="1"/>
    <s v="2024-06-12"/>
    <n v="0"/>
    <x v="3"/>
    <s v="Q2"/>
    <n v="97.489999999999981"/>
  </r>
  <r>
    <s v="#ORD-10578"/>
    <s v="2024-10-29"/>
    <s v="17:36:08"/>
    <s v="Ava Wilson"/>
    <s v="ava.wilson48@gmail.com"/>
    <s v="+1-775-167-7317"/>
    <s v="El Paso"/>
    <s v="TX"/>
    <s v="United States"/>
    <s v="Wireless Noise-Cancelling Headphones x1"/>
    <x v="7"/>
    <n v="1"/>
    <n v="89.99"/>
    <s v="None"/>
    <n v="0"/>
    <n v="0"/>
    <n v="9"/>
    <n v="98.99"/>
    <x v="0"/>
    <x v="5"/>
    <x v="1"/>
    <s v="2024-10-31"/>
    <n v="0"/>
    <x v="7"/>
    <s v="Q4"/>
    <n v="89.99"/>
  </r>
  <r>
    <s v="#ORD-10579"/>
    <s v="2024-08-05"/>
    <s v="20:30:50"/>
    <s v="Evelyn Flores"/>
    <s v="evelyn.flores68@gmail.com"/>
    <s v="+1-401-150-9092"/>
    <s v="San Antonio"/>
    <s v="TX"/>
    <s v="United States"/>
    <s v="Scented Soy Candle Set x3"/>
    <x v="4"/>
    <n v="1"/>
    <n v="68.97"/>
    <s v="None"/>
    <n v="0"/>
    <n v="9.99"/>
    <n v="6.9"/>
    <n v="85.86"/>
    <x v="6"/>
    <x v="3"/>
    <x v="1"/>
    <s v="2024-08-07"/>
    <n v="0"/>
    <x v="5"/>
    <s v="Q3"/>
    <n v="68.97"/>
  </r>
  <r>
    <s v="#ORD-10580"/>
    <s v="2024-06-24"/>
    <s v="20:15:47"/>
    <s v="Michael Williams"/>
    <s v="michael.williams54@gmail.com"/>
    <s v="+1-491-234-7599"/>
    <s v="Dallas"/>
    <s v="TX"/>
    <s v="United States"/>
    <s v="Resistance Band Set x1"/>
    <x v="3"/>
    <n v="1"/>
    <n v="24.99"/>
    <s v="None"/>
    <n v="0"/>
    <n v="4.99"/>
    <n v="2"/>
    <n v="31.98"/>
    <x v="0"/>
    <x v="6"/>
    <x v="2"/>
    <s v="2024-06-28"/>
    <n v="0"/>
    <x v="3"/>
    <s v="Q2"/>
    <n v="24.99"/>
  </r>
  <r>
    <s v="#ORD-10581"/>
    <s v="2024-09-07"/>
    <s v="09:44:41"/>
    <s v="Olivia Scott"/>
    <s v="olivia.scott68@gmail.com"/>
    <s v="+1-281-669-6131"/>
    <s v="Tucson"/>
    <s v="AZ"/>
    <s v="United States"/>
    <s v="Stainless Steel Cookware Set x1"/>
    <x v="6"/>
    <n v="1"/>
    <n v="129.99"/>
    <s v="WELCOME15"/>
    <n v="19.5"/>
    <n v="0"/>
    <n v="11.05"/>
    <n v="121.54"/>
    <x v="0"/>
    <x v="3"/>
    <x v="1"/>
    <s v="2024-09-11"/>
    <n v="0"/>
    <x v="11"/>
    <s v="Q3"/>
    <n v="110.49000000000001"/>
  </r>
  <r>
    <s v="#ORD-10582"/>
    <s v="2024-06-25"/>
    <s v="13:00:32"/>
    <s v="Michael Green"/>
    <s v="michael.green51@gmail.com"/>
    <s v="+1-530-982-8138"/>
    <s v="Los Angeles"/>
    <s v="CA"/>
    <s v="United States"/>
    <s v="Essential Oil Diffuser x1 | Bamboo Sunglasses x1"/>
    <x v="4"/>
    <n v="2"/>
    <n v="57.98"/>
    <s v="LOYALTY5"/>
    <n v="2.9"/>
    <n v="4.99"/>
    <n v="3.3"/>
    <n v="63.37"/>
    <x v="0"/>
    <x v="6"/>
    <x v="2"/>
    <s v="2024-06-26"/>
    <n v="0"/>
    <x v="3"/>
    <s v="Q2"/>
    <n v="55.08"/>
  </r>
  <r>
    <s v="#ORD-10583"/>
    <s v="2024-11-12"/>
    <s v="23:02:49"/>
    <s v="Amelia Hernandez"/>
    <s v="amelia.hernandez25@outlook.com"/>
    <s v="+1-476-815-3790"/>
    <s v="Chicago"/>
    <s v="IL"/>
    <s v="United States"/>
    <s v="Wireless Noise-Cancelling Headphones x1 | Bamboo Sunglasses x2 | Sunscreen SPF 50 Face x1 | Canvas Backpack 25L x1"/>
    <x v="7"/>
    <n v="4"/>
    <n v="213.95"/>
    <s v="SAVE10"/>
    <n v="21.4"/>
    <n v="0"/>
    <n v="11.55"/>
    <n v="204.1"/>
    <x v="0"/>
    <x v="4"/>
    <x v="4"/>
    <m/>
    <n v="0"/>
    <x v="8"/>
    <s v="Q4"/>
    <n v="192.54999999999998"/>
  </r>
  <r>
    <s v="#ORD-10584"/>
    <s v="2024-11-30"/>
    <s v="17:26:33"/>
    <s v="Isabella Hill"/>
    <s v="isabella.hill16@gmail.com"/>
    <s v="+1-791-589-9029"/>
    <s v="Charlotte"/>
    <s v="NC"/>
    <s v="United States"/>
    <s v="Linen Throw Blanket x2"/>
    <x v="4"/>
    <n v="1"/>
    <n v="79.98"/>
    <s v="WELCOME15"/>
    <n v="12"/>
    <n v="0"/>
    <n v="6.8"/>
    <n v="74.78"/>
    <x v="5"/>
    <x v="3"/>
    <x v="0"/>
    <s v="2024-12-02"/>
    <n v="74.78"/>
    <x v="8"/>
    <s v="Q4"/>
    <n v="67.98"/>
  </r>
  <r>
    <s v="#ORD-10585"/>
    <s v="2024-02-05"/>
    <s v="15:37:55"/>
    <s v="Elijah Lee"/>
    <s v="elijah.lee94@gmail.com"/>
    <s v="+1-706-161-4481"/>
    <s v="Memphis"/>
    <s v="TN"/>
    <s v="United States"/>
    <s v="Yoga Mat Premium x2"/>
    <x v="3"/>
    <n v="1"/>
    <n v="69.98"/>
    <s v="SAVE10"/>
    <n v="7"/>
    <n v="5.99"/>
    <n v="6.3"/>
    <n v="75.27"/>
    <x v="1"/>
    <x v="2"/>
    <x v="2"/>
    <s v="2024-02-06"/>
    <n v="0"/>
    <x v="0"/>
    <s v="Q1"/>
    <n v="62.980000000000004"/>
  </r>
  <r>
    <s v="#ORD-10586"/>
    <s v="2024-02-10"/>
    <s v="14:20:03"/>
    <s v="Emma Wilson"/>
    <s v="emma.wilson50@gmail.com"/>
    <s v="+1-333-324-6957"/>
    <s v="Charlotte"/>
    <s v="NC"/>
    <s v="United States"/>
    <s v="Denim Jacket x1"/>
    <x v="1"/>
    <n v="1"/>
    <n v="64.989999999999995"/>
    <s v="FLASH25"/>
    <n v="16.25"/>
    <n v="7.99"/>
    <n v="3.9"/>
    <n v="60.63"/>
    <x v="1"/>
    <x v="0"/>
    <x v="0"/>
    <s v="2024-02-11"/>
    <n v="60.63"/>
    <x v="0"/>
    <s v="Q1"/>
    <n v="48.739999999999995"/>
  </r>
  <r>
    <s v="#ORD-10587"/>
    <s v="2024-03-13"/>
    <s v="23:51:12"/>
    <s v="Elizabeth Robinson"/>
    <s v="elizabeth.robinson80@outlook.com"/>
    <s v="+1-216-571-4064"/>
    <s v="Milwaukee"/>
    <s v="WI"/>
    <s v="United States"/>
    <s v="Multivitamin Daily Pack x1"/>
    <x v="8"/>
    <n v="1"/>
    <n v="19.989999999999998"/>
    <s v="SAVE10"/>
    <n v="2"/>
    <n v="4.99"/>
    <n v="1.26"/>
    <n v="24.24"/>
    <x v="5"/>
    <x v="3"/>
    <x v="2"/>
    <s v="2024-03-15"/>
    <n v="0"/>
    <x v="9"/>
    <s v="Q1"/>
    <n v="17.989999999999998"/>
  </r>
  <r>
    <s v="#ORD-10588"/>
    <s v="2024-02-15"/>
    <s v="22:52:48"/>
    <s v="Elijah Johnson"/>
    <s v="elijah.johnson85@yahoo.com"/>
    <s v="+1-398-401-4103"/>
    <s v="Indianapolis"/>
    <s v="IN"/>
    <s v="United States"/>
    <s v="USB-C Fast Charger 65W x1 | Insulated Water Bottle 32oz x1 | Multivitamin Daily Pack x1 | Running Shoes - Women's x1"/>
    <x v="7"/>
    <n v="4"/>
    <n v="147.96"/>
    <s v="SAVE10"/>
    <n v="14.8"/>
    <n v="0"/>
    <n v="10.65"/>
    <n v="143.81"/>
    <x v="0"/>
    <x v="0"/>
    <x v="4"/>
    <m/>
    <n v="0"/>
    <x v="0"/>
    <s v="Q1"/>
    <n v="133.16"/>
  </r>
  <r>
    <s v="#ORD-10589"/>
    <s v="2024-06-17"/>
    <s v="09:07:18"/>
    <s v="Henry Lopez"/>
    <s v="henry.lopez36@yahoo.com"/>
    <s v="+1-267-644-2655"/>
    <s v="Nashville"/>
    <s v="TN"/>
    <s v="United States"/>
    <s v="Portable Bluetooth Speaker x1"/>
    <x v="7"/>
    <n v="1"/>
    <n v="49.99"/>
    <s v="None"/>
    <n v="0"/>
    <n v="5.99"/>
    <n v="3"/>
    <n v="58.98"/>
    <x v="0"/>
    <x v="3"/>
    <x v="2"/>
    <s v="2024-06-19"/>
    <n v="0"/>
    <x v="3"/>
    <s v="Q2"/>
    <n v="49.99"/>
  </r>
  <r>
    <s v="#ORD-10590"/>
    <s v="2024-06-01"/>
    <s v="13:57:27"/>
    <s v="Elijah Anderson"/>
    <s v="elijah.anderson80@yahoo.com"/>
    <s v="+1-494-851-1050"/>
    <s v="Albuquerque"/>
    <s v="NM"/>
    <s v="United States"/>
    <s v="Men's Grooming Kit x2"/>
    <x v="0"/>
    <n v="1"/>
    <n v="71.98"/>
    <s v="SAVE10"/>
    <n v="7.2"/>
    <n v="9.99"/>
    <n v="4.53"/>
    <n v="79.3"/>
    <x v="0"/>
    <x v="3"/>
    <x v="2"/>
    <s v="2024-06-06"/>
    <n v="0"/>
    <x v="3"/>
    <s v="Q2"/>
    <n v="64.78"/>
  </r>
  <r>
    <s v="#ORD-10591"/>
    <s v="2024-11-27"/>
    <s v="02:28:18"/>
    <s v="Sophia Lopez"/>
    <s v="sophia.lopez90@outlook.com"/>
    <s v="+1-278-274-1159"/>
    <s v="San Francisco"/>
    <s v="CA"/>
    <s v="United States"/>
    <s v="Casual Sneakers x1 | Running Shoes - Men's x1 | Resistance Band Set x2 | Anti-Aging Serum 1oz x1"/>
    <x v="5"/>
    <n v="4"/>
    <n v="234.95"/>
    <s v="None"/>
    <n v="0"/>
    <n v="0"/>
    <n v="23.5"/>
    <n v="258.45"/>
    <x v="5"/>
    <x v="3"/>
    <x v="2"/>
    <s v="2024-11-30"/>
    <n v="0"/>
    <x v="8"/>
    <s v="Q4"/>
    <n v="234.95"/>
  </r>
  <r>
    <s v="#ORD-10592"/>
    <s v="2024-12-05"/>
    <s v="02:59:12"/>
    <s v="Victoria Thompson"/>
    <s v="victoria.thompson75@gmail.com"/>
    <s v="+1-302-411-6499"/>
    <s v="Indianapolis"/>
    <s v="IN"/>
    <s v="United States"/>
    <s v="Smart LED Desk Lamp x1"/>
    <x v="7"/>
    <n v="1"/>
    <n v="39.99"/>
    <s v="None"/>
    <n v="0"/>
    <n v="7.99"/>
    <n v="2.8"/>
    <n v="50.78"/>
    <x v="5"/>
    <x v="3"/>
    <x v="2"/>
    <s v="2024-12-06"/>
    <n v="0"/>
    <x v="1"/>
    <s v="Q4"/>
    <n v="39.99"/>
  </r>
  <r>
    <s v="#ORD-10593"/>
    <s v="2024-07-07"/>
    <s v="22:26:46"/>
    <s v="Avery Allen"/>
    <s v="avery.allen45@yahoo.com"/>
    <s v="+1-315-376-9508"/>
    <s v="Portland"/>
    <s v="OR"/>
    <s v="United States"/>
    <s v="Organic Green Tea 100ct x1"/>
    <x v="9"/>
    <n v="1"/>
    <n v="14.99"/>
    <s v="SAVE10"/>
    <n v="1.5"/>
    <n v="7.99"/>
    <n v="1.35"/>
    <n v="22.83"/>
    <x v="0"/>
    <x v="5"/>
    <x v="3"/>
    <m/>
    <n v="0"/>
    <x v="2"/>
    <s v="Q3"/>
    <n v="13.49"/>
  </r>
  <r>
    <s v="#ORD-10594"/>
    <s v="2024-07-12"/>
    <s v="08:07:57"/>
    <s v="Liam Martinez"/>
    <s v="liam.martinez29@yahoo.com"/>
    <s v="+1-854-210-5487"/>
    <s v="Columbus"/>
    <s v="OH"/>
    <s v="United States"/>
    <s v="Linen Throw Blanket x2"/>
    <x v="4"/>
    <n v="1"/>
    <n v="79.98"/>
    <s v="WELCOME15"/>
    <n v="12"/>
    <n v="0"/>
    <n v="5.44"/>
    <n v="73.42"/>
    <x v="0"/>
    <x v="3"/>
    <x v="4"/>
    <m/>
    <n v="0"/>
    <x v="2"/>
    <s v="Q3"/>
    <n v="67.98"/>
  </r>
  <r>
    <s v="#ORD-10595"/>
    <s v="2024-12-19"/>
    <s v="12:51:56"/>
    <s v="Grace Robinson"/>
    <s v="grace.robinson68@gmail.com"/>
    <s v="+1-325-543-8455"/>
    <s v="Albuquerque"/>
    <s v="NM"/>
    <s v="United States"/>
    <s v="Leather Wallet Slim x1 | Resistance Band Set x1"/>
    <x v="2"/>
    <n v="2"/>
    <n v="54.98"/>
    <s v="SAVE10"/>
    <n v="5.5"/>
    <n v="7.99"/>
    <n v="3.46"/>
    <n v="60.93"/>
    <x v="0"/>
    <x v="5"/>
    <x v="1"/>
    <s v="2024-12-24"/>
    <n v="0"/>
    <x v="1"/>
    <s v="Q4"/>
    <n v="49.48"/>
  </r>
  <r>
    <s v="#ORD-10596"/>
    <s v="2024-09-23"/>
    <s v="05:34:19"/>
    <s v="Chloe Thompson"/>
    <s v="chloe.thompson15@yahoo.com"/>
    <s v="+1-664-141-4560"/>
    <s v="San Jose"/>
    <s v="CA"/>
    <s v="United States"/>
    <s v="Anti-Aging Serum 1oz x1"/>
    <x v="0"/>
    <n v="1"/>
    <n v="49.99"/>
    <s v="SAVE10"/>
    <n v="5"/>
    <n v="5.99"/>
    <n v="3.6"/>
    <n v="54.58"/>
    <x v="5"/>
    <x v="3"/>
    <x v="2"/>
    <s v="2024-09-24"/>
    <n v="0"/>
    <x v="11"/>
    <s v="Q3"/>
    <n v="44.99"/>
  </r>
  <r>
    <s v="#ORD-10597"/>
    <s v="2024-01-02"/>
    <s v="23:26:40"/>
    <s v="Evelyn Hill"/>
    <s v="evelyn.hill7@gmail.com"/>
    <s v="+1-358-188-5434"/>
    <s v="Houston"/>
    <s v="TX"/>
    <s v="United States"/>
    <s v="Anti-Aging Serum 1oz x2"/>
    <x v="0"/>
    <n v="1"/>
    <n v="99.98"/>
    <s v="None"/>
    <n v="0"/>
    <n v="0"/>
    <n v="8"/>
    <n v="107.98"/>
    <x v="0"/>
    <x v="2"/>
    <x v="0"/>
    <s v="2024-01-07"/>
    <n v="107.98"/>
    <x v="6"/>
    <s v="Q1"/>
    <n v="99.98"/>
  </r>
  <r>
    <s v="#ORD-10598"/>
    <s v="2024-01-13"/>
    <s v="11:32:08"/>
    <s v="James Gonzalez"/>
    <s v="james.gonzalez75@yahoo.com"/>
    <s v="+1-811-418-3839"/>
    <s v="Columbus"/>
    <s v="OH"/>
    <s v="United States"/>
    <s v="Insulated Water Bottle 32oz x2 | Casual Sneakers x1"/>
    <x v="3"/>
    <n v="2"/>
    <n v="115.97"/>
    <s v="WELCOME15"/>
    <n v="17.399999999999999"/>
    <n v="0"/>
    <n v="8.3800000000000008"/>
    <n v="106.95"/>
    <x v="7"/>
    <x v="3"/>
    <x v="2"/>
    <s v="2024-01-16"/>
    <n v="0"/>
    <x v="6"/>
    <s v="Q1"/>
    <n v="98.57"/>
  </r>
  <r>
    <s v="#ORD-10599"/>
    <s v="2024-10-25"/>
    <s v="03:06:47"/>
    <s v="Chloe Lewis"/>
    <s v="chloe.lewis42@yahoo.com"/>
    <s v="+1-758-287-7159"/>
    <s v="El Paso"/>
    <s v="TX"/>
    <s v="United States"/>
    <s v="Mechanical Keyboard x1"/>
    <x v="7"/>
    <n v="1"/>
    <n v="119.99"/>
    <s v="None"/>
    <n v="0"/>
    <n v="0"/>
    <n v="9.6"/>
    <n v="129.59"/>
    <x v="0"/>
    <x v="3"/>
    <x v="3"/>
    <m/>
    <n v="0"/>
    <x v="7"/>
    <s v="Q4"/>
    <n v="119.99"/>
  </r>
  <r>
    <s v="#ORD-10600"/>
    <s v="2024-05-01"/>
    <s v="15:47:56"/>
    <s v="Jack Miller"/>
    <s v="jack.miller68@gmail.com"/>
    <s v="+1-290-873-3303"/>
    <s v="Phoenix"/>
    <s v="AZ"/>
    <s v="United States"/>
    <s v="Anti-Aging Serum 1oz x1 | Sunscreen SPF 50 Face x1"/>
    <x v="0"/>
    <n v="2"/>
    <n v="68.98"/>
    <s v="SUMMER20"/>
    <n v="13.8"/>
    <n v="9.99"/>
    <n v="4.6900000000000004"/>
    <n v="69.86"/>
    <x v="5"/>
    <x v="2"/>
    <x v="2"/>
    <s v="2024-05-05"/>
    <n v="0"/>
    <x v="4"/>
    <s v="Q2"/>
    <n v="55.180000000000007"/>
  </r>
  <r>
    <s v="#ORD-10601"/>
    <s v="2024-08-29"/>
    <s v="03:06:42"/>
    <s v="Benjamin Martin"/>
    <s v="benjamin.martin32@yahoo.com"/>
    <s v="+1-255-186-1896"/>
    <s v="Louisville"/>
    <s v="KY"/>
    <s v="United States"/>
    <s v="Linen Throw Blanket x1 | Leather Wallet Slim x2"/>
    <x v="4"/>
    <n v="2"/>
    <n v="99.97"/>
    <s v="WELCOME15"/>
    <n v="15"/>
    <n v="0"/>
    <n v="5.95"/>
    <n v="90.92"/>
    <x v="5"/>
    <x v="3"/>
    <x v="0"/>
    <s v="2024-09-02"/>
    <n v="90.92"/>
    <x v="5"/>
    <s v="Q3"/>
    <n v="84.97"/>
  </r>
  <r>
    <s v="#ORD-10602"/>
    <s v="2024-04-22"/>
    <s v="20:22:23"/>
    <s v="Elijah Miller"/>
    <s v="elijah.miller77@gmail.com"/>
    <s v="+1-339-328-3535"/>
    <s v="Austin"/>
    <s v="TX"/>
    <s v="United States"/>
    <s v="Sunscreen SPF 50 Face x2 | Resistance Band Set x1"/>
    <x v="0"/>
    <n v="2"/>
    <n v="62.97"/>
    <s v="LOYALTY5"/>
    <n v="3.15"/>
    <n v="4.99"/>
    <n v="5.98"/>
    <n v="70.790000000000006"/>
    <x v="0"/>
    <x v="3"/>
    <x v="3"/>
    <m/>
    <n v="0"/>
    <x v="10"/>
    <s v="Q2"/>
    <n v="59.82"/>
  </r>
  <r>
    <s v="#ORD-10603"/>
    <s v="2024-03-18"/>
    <s v="22:39:30"/>
    <s v="Aiden Martin"/>
    <s v="aiden.martin1@outlook.com"/>
    <s v="+1-225-952-9287"/>
    <s v="Portland"/>
    <s v="OR"/>
    <s v="United States"/>
    <s v="Wireless Noise-Cancelling Headphones x1"/>
    <x v="7"/>
    <n v="1"/>
    <n v="89.99"/>
    <s v="None"/>
    <n v="0"/>
    <n v="0"/>
    <n v="8.1"/>
    <n v="98.09"/>
    <x v="0"/>
    <x v="3"/>
    <x v="3"/>
    <m/>
    <n v="0"/>
    <x v="9"/>
    <s v="Q1"/>
    <n v="89.99"/>
  </r>
  <r>
    <s v="#ORD-10604"/>
    <s v="2024-07-06"/>
    <s v="20:35:33"/>
    <s v="Avery Sanchez"/>
    <s v="avery.sanchez16@gmail.com"/>
    <s v="+1-723-859-9956"/>
    <s v="Los Angeles"/>
    <s v="CA"/>
    <s v="United States"/>
    <s v="Denim Jacket x2 | Casual Sneakers x1 | Canvas Backpack 25L x2 | Coffee Maker Programmable x1 | Hiking Boots x1"/>
    <x v="1"/>
    <n v="5"/>
    <n v="464.93"/>
    <s v="None"/>
    <n v="0"/>
    <n v="0"/>
    <n v="32.549999999999997"/>
    <n v="497.48"/>
    <x v="0"/>
    <x v="4"/>
    <x v="2"/>
    <s v="2024-07-08"/>
    <n v="0"/>
    <x v="2"/>
    <s v="Q3"/>
    <n v="464.93"/>
  </r>
  <r>
    <s v="#ORD-10605"/>
    <s v="2024-02-08"/>
    <s v="20:15:03"/>
    <s v="Charlotte Young"/>
    <s v="charlotte.young38@gmail.com"/>
    <s v="+1-211-694-5960"/>
    <s v="Indianapolis"/>
    <s v="IN"/>
    <s v="United States"/>
    <s v="Stainless Steel Cookware Set x1 | Insulated Water Bottle 32oz x1 | Anti-Aging Serum 1oz x1 | Hiking Boots x1"/>
    <x v="6"/>
    <n v="4"/>
    <n v="317.95999999999998"/>
    <s v="WELCOME15"/>
    <n v="47.69"/>
    <n v="0"/>
    <n v="18.920000000000002"/>
    <n v="289.19"/>
    <x v="0"/>
    <x v="5"/>
    <x v="4"/>
    <m/>
    <n v="0"/>
    <x v="0"/>
    <s v="Q1"/>
    <n v="270.27"/>
  </r>
  <r>
    <s v="#ORD-10606"/>
    <s v="2024-02-24"/>
    <s v="02:24:10"/>
    <s v="Olivia Green"/>
    <s v="olivia.green6@yahoo.com"/>
    <s v="+1-599-625-2028"/>
    <s v="Charlotte"/>
    <s v="NC"/>
    <s v="United States"/>
    <s v="Men's Grooming Kit x1 | Organic Green Tea 100ct x3"/>
    <x v="0"/>
    <n v="2"/>
    <n v="80.959999999999994"/>
    <s v="SAVE10"/>
    <n v="8.1"/>
    <n v="0"/>
    <n v="6.56"/>
    <n v="79.42"/>
    <x v="4"/>
    <x v="5"/>
    <x v="1"/>
    <s v="2024-02-29"/>
    <n v="0"/>
    <x v="0"/>
    <s v="Q1"/>
    <n v="72.86"/>
  </r>
  <r>
    <s v="#ORD-10607"/>
    <s v="2024-10-04"/>
    <s v="17:58:56"/>
    <s v="Logan Martinez"/>
    <s v="logan.martinez84@yahoo.com"/>
    <s v="+1-925-619-9608"/>
    <s v="Jacksonville"/>
    <s v="FL"/>
    <s v="United States"/>
    <s v="Mechanical Keyboard x2 | Hiking Boots x1 | High-Waist Leggings x1"/>
    <x v="7"/>
    <n v="3"/>
    <n v="392.96"/>
    <s v="SUMMER20"/>
    <n v="78.59"/>
    <n v="0"/>
    <n v="26.72"/>
    <n v="341.09"/>
    <x v="7"/>
    <x v="0"/>
    <x v="2"/>
    <s v="2024-10-09"/>
    <n v="0"/>
    <x v="7"/>
    <s v="Q4"/>
    <n v="314.37"/>
  </r>
  <r>
    <s v="#ORD-10608"/>
    <s v="2024-08-14"/>
    <s v="23:52:18"/>
    <s v="Harper Rodriguez"/>
    <s v="harper.rodriguez42@outlook.com"/>
    <s v="+1-531-878-4793"/>
    <s v="Boston"/>
    <s v="MA"/>
    <s v="United States"/>
    <s v="Protein Powder Chocolate 2lb x1 | USB-C Fast Charger 65W x2"/>
    <x v="8"/>
    <n v="2"/>
    <n v="104.97"/>
    <s v="None"/>
    <n v="0"/>
    <n v="0"/>
    <n v="7.35"/>
    <n v="112.32"/>
    <x v="0"/>
    <x v="3"/>
    <x v="3"/>
    <m/>
    <n v="0"/>
    <x v="5"/>
    <s v="Q3"/>
    <n v="104.97"/>
  </r>
  <r>
    <s v="#ORD-10609"/>
    <s v="2024-06-12"/>
    <s v="03:12:25"/>
    <s v="Oliver Miller"/>
    <s v="oliver.miller23@yahoo.com"/>
    <s v="+1-336-752-4272"/>
    <s v="Albuquerque"/>
    <s v="NM"/>
    <s v="United States"/>
    <s v="Portable Bluetooth Speaker x1 | Scented Soy Candle Set x2 | Hiking Boots x1 | Smart LED Desk Lamp x1"/>
    <x v="7"/>
    <n v="4"/>
    <n v="245.95"/>
    <s v="None"/>
    <n v="0"/>
    <n v="0"/>
    <n v="17.22"/>
    <n v="263.17"/>
    <x v="0"/>
    <x v="4"/>
    <x v="4"/>
    <m/>
    <n v="0"/>
    <x v="3"/>
    <s v="Q2"/>
    <n v="245.95"/>
  </r>
  <r>
    <s v="#ORD-10610"/>
    <s v="2024-10-15"/>
    <s v="05:22:32"/>
    <s v="Charlotte Taylor"/>
    <s v="charlotte.taylor57@yahoo.com"/>
    <s v="+1-234-929-3302"/>
    <s v="Indianapolis"/>
    <s v="IN"/>
    <s v="United States"/>
    <s v="Denim Jacket x1"/>
    <x v="1"/>
    <n v="1"/>
    <n v="64.989999999999995"/>
    <s v="None"/>
    <n v="0"/>
    <n v="4.99"/>
    <n v="5.85"/>
    <n v="75.83"/>
    <x v="0"/>
    <x v="1"/>
    <x v="2"/>
    <s v="2024-10-17"/>
    <n v="0"/>
    <x v="7"/>
    <s v="Q4"/>
    <n v="64.989999999999995"/>
  </r>
  <r>
    <s v="#ORD-10611"/>
    <s v="2024-05-12"/>
    <s v="07:39:34"/>
    <s v="Emma White"/>
    <s v="emma.white53@outlook.com"/>
    <s v="+1-712-460-6840"/>
    <s v="Memphis"/>
    <s v="TN"/>
    <s v="United States"/>
    <s v="Men's Grooming Kit x3"/>
    <x v="0"/>
    <n v="1"/>
    <n v="107.97"/>
    <s v="FLASH25"/>
    <n v="26.99"/>
    <n v="0"/>
    <n v="6.88"/>
    <n v="87.86"/>
    <x v="0"/>
    <x v="3"/>
    <x v="3"/>
    <m/>
    <n v="0"/>
    <x v="4"/>
    <s v="Q2"/>
    <n v="80.98"/>
  </r>
  <r>
    <s v="#ORD-10612"/>
    <s v="2024-08-30"/>
    <s v="21:48:34"/>
    <s v="Benjamin Torres"/>
    <s v="benjamin.torres18@yahoo.com"/>
    <s v="+1-223-329-5749"/>
    <s v="Milwaukee"/>
    <s v="WI"/>
    <s v="United States"/>
    <s v="USB-C Fast Charger 65W x1"/>
    <x v="7"/>
    <n v="1"/>
    <n v="29.99"/>
    <s v="None"/>
    <n v="0"/>
    <n v="7.99"/>
    <n v="1.8"/>
    <n v="39.78"/>
    <x v="0"/>
    <x v="3"/>
    <x v="0"/>
    <s v="2024-09-02"/>
    <n v="39.78"/>
    <x v="5"/>
    <s v="Q3"/>
    <n v="29.99"/>
  </r>
  <r>
    <s v="#ORD-10613"/>
    <s v="2024-12-04"/>
    <s v="10:43:12"/>
    <s v="Harper Harris"/>
    <s v="harper.harris46@gmail.com"/>
    <s v="+1-833-158-9944"/>
    <s v="Boston"/>
    <s v="MA"/>
    <s v="United States"/>
    <s v="Yoga Mat Premium x1"/>
    <x v="3"/>
    <n v="1"/>
    <n v="34.99"/>
    <s v="LOYALTY5"/>
    <n v="1.75"/>
    <n v="5.99"/>
    <n v="2.99"/>
    <n v="42.22"/>
    <x v="2"/>
    <x v="5"/>
    <x v="4"/>
    <m/>
    <n v="0"/>
    <x v="1"/>
    <s v="Q4"/>
    <n v="33.24"/>
  </r>
  <r>
    <s v="#ORD-10614"/>
    <s v="2024-06-12"/>
    <s v="15:47:08"/>
    <s v="Mason Hill"/>
    <s v="mason.hill34@yahoo.com"/>
    <s v="+1-705-174-1579"/>
    <s v="Indianapolis"/>
    <s v="IN"/>
    <s v="United States"/>
    <s v="Resistance Band Set x2"/>
    <x v="3"/>
    <n v="1"/>
    <n v="49.98"/>
    <s v="None"/>
    <n v="0"/>
    <n v="5.99"/>
    <n v="3.5"/>
    <n v="59.47"/>
    <x v="5"/>
    <x v="4"/>
    <x v="2"/>
    <s v="2024-06-14"/>
    <n v="0"/>
    <x v="3"/>
    <s v="Q2"/>
    <n v="49.98"/>
  </r>
  <r>
    <s v="#ORD-10615"/>
    <s v="2024-12-10"/>
    <s v="16:16:23"/>
    <s v="Emily Jones"/>
    <s v="emily.jones77@outlook.com"/>
    <s v="+1-510-900-4731"/>
    <s v="Columbus"/>
    <s v="OH"/>
    <s v="United States"/>
    <s v="Mechanical Keyboard x2 | Hiking Boots x1"/>
    <x v="7"/>
    <n v="2"/>
    <n v="349.97"/>
    <s v="SUMMER20"/>
    <n v="69.989999999999995"/>
    <n v="0"/>
    <n v="25.2"/>
    <n v="305.18"/>
    <x v="0"/>
    <x v="3"/>
    <x v="3"/>
    <m/>
    <n v="0"/>
    <x v="1"/>
    <s v="Q4"/>
    <n v="279.98"/>
  </r>
  <r>
    <s v="#ORD-10616"/>
    <s v="2024-09-21"/>
    <s v="20:09:10"/>
    <s v="Liam Brown"/>
    <s v="liam.brown26@outlook.com"/>
    <s v="+1-318-548-2933"/>
    <s v="New York"/>
    <s v="NY"/>
    <s v="United States"/>
    <s v="Wireless Noise-Cancelling Headphones x1 | Coffee Maker Programmable x1"/>
    <x v="7"/>
    <n v="2"/>
    <n v="144.97999999999999"/>
    <s v="WELCOME15"/>
    <n v="21.75"/>
    <n v="0"/>
    <n v="12.32"/>
    <n v="135.55000000000001"/>
    <x v="0"/>
    <x v="4"/>
    <x v="0"/>
    <s v="2024-09-23"/>
    <n v="135.55000000000001"/>
    <x v="11"/>
    <s v="Q3"/>
    <n v="123.22999999999999"/>
  </r>
  <r>
    <s v="#ORD-10617"/>
    <s v="2024-12-22"/>
    <s v="13:01:10"/>
    <s v="Benjamin White"/>
    <s v="benjamin.white25@gmail.com"/>
    <s v="+1-246-921-1244"/>
    <s v="Jacksonville"/>
    <s v="FL"/>
    <s v="United States"/>
    <s v="Casual Sneakers x1"/>
    <x v="5"/>
    <n v="1"/>
    <n v="59.99"/>
    <s v="None"/>
    <n v="0"/>
    <n v="5.99"/>
    <n v="5.0999999999999996"/>
    <n v="71.08"/>
    <x v="6"/>
    <x v="2"/>
    <x v="0"/>
    <s v="2024-12-27"/>
    <n v="71.08"/>
    <x v="1"/>
    <s v="Q4"/>
    <n v="59.99"/>
  </r>
  <r>
    <s v="#ORD-10618"/>
    <s v="2024-03-11"/>
    <s v="03:15:11"/>
    <s v="Oliver Brown"/>
    <s v="oliver.brown8@gmail.com"/>
    <s v="+1-278-356-9907"/>
    <s v="Chicago"/>
    <s v="IL"/>
    <s v="United States"/>
    <s v="Resistance Band Set x1"/>
    <x v="3"/>
    <n v="1"/>
    <n v="24.99"/>
    <s v="None"/>
    <n v="0"/>
    <n v="7.99"/>
    <n v="1.75"/>
    <n v="34.729999999999997"/>
    <x v="1"/>
    <x v="5"/>
    <x v="2"/>
    <s v="2024-03-12"/>
    <n v="0"/>
    <x v="9"/>
    <s v="Q1"/>
    <n v="24.99"/>
  </r>
  <r>
    <s v="#ORD-10619"/>
    <s v="2024-11-29"/>
    <s v="12:13:29"/>
    <s v="Lucas Allen"/>
    <s v="lucas.allen95@outlook.com"/>
    <s v="+1-715-206-1884"/>
    <s v="Boston"/>
    <s v="MA"/>
    <s v="United States"/>
    <s v="Sunscreen SPF 50 Face x1"/>
    <x v="0"/>
    <n v="1"/>
    <n v="18.989999999999998"/>
    <s v="SAVE10"/>
    <n v="1.9"/>
    <n v="7.99"/>
    <n v="1.71"/>
    <n v="26.79"/>
    <x v="0"/>
    <x v="2"/>
    <x v="1"/>
    <s v="2024-12-04"/>
    <n v="0"/>
    <x v="8"/>
    <s v="Q4"/>
    <n v="17.09"/>
  </r>
  <r>
    <s v="#ORD-10620"/>
    <s v="2024-01-31"/>
    <s v="11:10:13"/>
    <s v="Emily Clark"/>
    <s v="emily.clark80@gmail.com"/>
    <s v="+1-942-935-3325"/>
    <s v="Boston"/>
    <s v="MA"/>
    <s v="United States"/>
    <s v="Mechanical Keyboard x2"/>
    <x v="7"/>
    <n v="1"/>
    <n v="239.98"/>
    <s v="FLASH25"/>
    <n v="59.99"/>
    <n v="0"/>
    <n v="12.6"/>
    <n v="192.59"/>
    <x v="0"/>
    <x v="0"/>
    <x v="2"/>
    <s v="2024-02-03"/>
    <n v="0"/>
    <x v="6"/>
    <s v="Q1"/>
    <n v="179.98999999999998"/>
  </r>
  <r>
    <s v="#ORD-10621"/>
    <s v="2024-02-14"/>
    <s v="08:46:52"/>
    <s v="Olivia Thomas"/>
    <s v="olivia.thomas57@yahoo.com"/>
    <s v="+1-593-607-1308"/>
    <s v="Boston"/>
    <s v="MA"/>
    <s v="United States"/>
    <s v="Denim Jacket x1"/>
    <x v="1"/>
    <n v="1"/>
    <n v="64.989999999999995"/>
    <s v="SAVE10"/>
    <n v="6.5"/>
    <n v="9.99"/>
    <n v="4.68"/>
    <n v="73.16"/>
    <x v="6"/>
    <x v="3"/>
    <x v="2"/>
    <s v="2024-02-19"/>
    <n v="0"/>
    <x v="0"/>
    <s v="Q1"/>
    <n v="58.489999999999995"/>
  </r>
  <r>
    <s v="#ORD-10622"/>
    <s v="2024-05-27"/>
    <s v="07:35:01"/>
    <s v="Elizabeth Harris"/>
    <s v="elizabeth.harris6@gmail.com"/>
    <s v="+1-971-705-4547"/>
    <s v="Charlotte"/>
    <s v="NC"/>
    <s v="United States"/>
    <s v="Multivitamin Daily Pack x1"/>
    <x v="8"/>
    <n v="1"/>
    <n v="19.989999999999998"/>
    <s v="SAVE10"/>
    <n v="2"/>
    <n v="4.99"/>
    <n v="1.62"/>
    <n v="24.6"/>
    <x v="6"/>
    <x v="1"/>
    <x v="1"/>
    <s v="2024-05-30"/>
    <n v="0"/>
    <x v="4"/>
    <s v="Q2"/>
    <n v="17.989999999999998"/>
  </r>
  <r>
    <s v="#ORD-10623"/>
    <s v="2024-06-15"/>
    <s v="01:02:50"/>
    <s v="Liam Perez"/>
    <s v="liam.perez80@gmail.com"/>
    <s v="+1-366-490-8656"/>
    <s v="Portland"/>
    <s v="OR"/>
    <s v="United States"/>
    <s v="Bamboo Sunglasses x1 | Men's Grooming Kit x1 | Classic Fit Polo Shirt x1"/>
    <x v="2"/>
    <n v="3"/>
    <n v="95.97"/>
    <s v="SAVE10"/>
    <n v="9.6"/>
    <n v="0"/>
    <n v="7.77"/>
    <n v="94.14"/>
    <x v="5"/>
    <x v="0"/>
    <x v="0"/>
    <s v="2024-06-18"/>
    <n v="94.14"/>
    <x v="3"/>
    <s v="Q2"/>
    <n v="86.37"/>
  </r>
  <r>
    <s v="#ORD-10624"/>
    <s v="2024-09-22"/>
    <s v="02:16:52"/>
    <s v="Oliver Rodriguez"/>
    <s v="oliver.rodriguez2@gmail.com"/>
    <s v="+1-514-682-6259"/>
    <s v="Tucson"/>
    <s v="AZ"/>
    <s v="United States"/>
    <s v="USB-C Fast Charger 65W x1 | Casual Sneakers x1 | Classic Fit Polo Shirt x1 | Coffee Maker Programmable x1"/>
    <x v="7"/>
    <n v="4"/>
    <n v="179.96"/>
    <s v="SAVE10"/>
    <n v="18"/>
    <n v="0"/>
    <n v="16.2"/>
    <n v="178.16"/>
    <x v="0"/>
    <x v="0"/>
    <x v="2"/>
    <s v="2024-09-23"/>
    <n v="0"/>
    <x v="11"/>
    <s v="Q3"/>
    <n v="161.96"/>
  </r>
  <r>
    <s v="#ORD-10625"/>
    <s v="2024-01-04"/>
    <s v="10:40:51"/>
    <s v="Harper Lopez"/>
    <s v="harper.lopez60@gmail.com"/>
    <s v="+1-265-551-3945"/>
    <s v="Charlotte"/>
    <s v="NC"/>
    <s v="United States"/>
    <s v="Insulated Water Bottle 32oz x1 | Stainless Steel Cookware Set x1"/>
    <x v="3"/>
    <n v="2"/>
    <n v="157.97999999999999"/>
    <s v="WELCOME15"/>
    <n v="23.7"/>
    <n v="0"/>
    <n v="8.06"/>
    <n v="142.34"/>
    <x v="1"/>
    <x v="3"/>
    <x v="0"/>
    <s v="2024-01-07"/>
    <n v="142.34"/>
    <x v="6"/>
    <s v="Q1"/>
    <n v="134.28"/>
  </r>
  <r>
    <s v="#ORD-10626"/>
    <s v="2024-09-01"/>
    <s v="19:10:39"/>
    <s v="Harper Moore"/>
    <s v="harper.moore64@gmail.com"/>
    <s v="+1-793-424-1687"/>
    <s v="Dallas"/>
    <s v="TX"/>
    <s v="United States"/>
    <s v="Canvas Backpack 25L x1"/>
    <x v="2"/>
    <n v="1"/>
    <n v="54.99"/>
    <s v="None"/>
    <n v="0"/>
    <n v="5.99"/>
    <n v="3.3"/>
    <n v="64.28"/>
    <x v="1"/>
    <x v="3"/>
    <x v="0"/>
    <s v="2024-09-05"/>
    <n v="64.28"/>
    <x v="11"/>
    <s v="Q3"/>
    <n v="54.99"/>
  </r>
  <r>
    <s v="#ORD-10627"/>
    <s v="2024-01-07"/>
    <s v="06:13:56"/>
    <s v="William Anderson"/>
    <s v="william.anderson92@outlook.com"/>
    <s v="+1-279-342-4343"/>
    <s v="Los Angeles"/>
    <s v="CA"/>
    <s v="United States"/>
    <s v="Canvas Backpack 25L x1 | Insulated Water Bottle 32oz x1"/>
    <x v="2"/>
    <n v="2"/>
    <n v="82.98"/>
    <s v="None"/>
    <n v="0"/>
    <n v="0"/>
    <n v="6.64"/>
    <n v="89.62"/>
    <x v="0"/>
    <x v="5"/>
    <x v="2"/>
    <s v="2024-01-12"/>
    <n v="0"/>
    <x v="6"/>
    <s v="Q1"/>
    <n v="82.98"/>
  </r>
  <r>
    <s v="#ORD-10628"/>
    <s v="2024-09-06"/>
    <s v="06:49:14"/>
    <s v="Abigail Nguyen"/>
    <s v="abigail.nguyen88@gmail.com"/>
    <s v="+1-501-736-1510"/>
    <s v="Jacksonville"/>
    <s v="FL"/>
    <s v="United States"/>
    <s v="Yoga Mat Premium x1"/>
    <x v="3"/>
    <n v="1"/>
    <n v="34.99"/>
    <s v="SAVE10"/>
    <n v="3.5"/>
    <n v="7.99"/>
    <n v="2.52"/>
    <n v="42"/>
    <x v="7"/>
    <x v="2"/>
    <x v="1"/>
    <s v="2024-09-10"/>
    <n v="0"/>
    <x v="11"/>
    <s v="Q3"/>
    <n v="31.490000000000002"/>
  </r>
  <r>
    <s v="#ORD-10629"/>
    <s v="2024-01-10"/>
    <s v="22:00:22"/>
    <s v="Mia White"/>
    <s v="mia.white38@outlook.com"/>
    <s v="+1-587-950-1534"/>
    <s v="Los Angeles"/>
    <s v="CA"/>
    <s v="United States"/>
    <s v="Running Shoes - Women's x2"/>
    <x v="5"/>
    <n v="1"/>
    <n v="139.97999999999999"/>
    <s v="FLASH25"/>
    <n v="34.99"/>
    <n v="0"/>
    <n v="10.5"/>
    <n v="115.49"/>
    <x v="6"/>
    <x v="5"/>
    <x v="1"/>
    <s v="2024-01-12"/>
    <n v="0"/>
    <x v="6"/>
    <s v="Q1"/>
    <n v="104.98999999999998"/>
  </r>
  <r>
    <s v="#ORD-10630"/>
    <s v="2024-01-31"/>
    <s v="00:35:41"/>
    <s v="James Harris"/>
    <s v="james.harris84@gmail.com"/>
    <s v="+1-524-375-4195"/>
    <s v="Memphis"/>
    <s v="TN"/>
    <s v="United States"/>
    <s v="Casual Sneakers x1 | Linen Throw Blanket x1 | Air Fryer 5.8Qt x2 | Essential Oil Diffuser x2"/>
    <x v="5"/>
    <n v="4"/>
    <n v="325.94"/>
    <s v="FLASH25"/>
    <n v="81.48"/>
    <n v="0"/>
    <n v="14.67"/>
    <n v="259.13"/>
    <x v="1"/>
    <x v="0"/>
    <x v="0"/>
    <s v="2024-02-04"/>
    <n v="259.13"/>
    <x v="6"/>
    <s v="Q1"/>
    <n v="244.45999999999998"/>
  </r>
  <r>
    <s v="#ORD-10631"/>
    <s v="2024-11-06"/>
    <s v="07:16:30"/>
    <s v="Chloe Jackson"/>
    <s v="chloe.jackson32@gmail.com"/>
    <s v="+1-773-617-2252"/>
    <s v="Tucson"/>
    <s v="AZ"/>
    <s v="United States"/>
    <s v="Insulated Water Bottle 32oz x1 | Casual Sneakers x3 | Organic Green Tea 100ct x1"/>
    <x v="3"/>
    <n v="3"/>
    <n v="222.95"/>
    <s v="SUMMER20"/>
    <n v="44.59"/>
    <n v="0"/>
    <n v="17.84"/>
    <n v="196.2"/>
    <x v="7"/>
    <x v="5"/>
    <x v="2"/>
    <s v="2024-11-09"/>
    <n v="0"/>
    <x v="8"/>
    <s v="Q4"/>
    <n v="178.35999999999999"/>
  </r>
  <r>
    <s v="#ORD-10632"/>
    <s v="2024-06-11"/>
    <s v="15:58:01"/>
    <s v="Alexander Young"/>
    <s v="alexander.young30@gmail.com"/>
    <s v="+1-466-914-5700"/>
    <s v="Nashville"/>
    <s v="TN"/>
    <s v="United States"/>
    <s v="Denim Jacket x2"/>
    <x v="1"/>
    <n v="1"/>
    <n v="129.97999999999999"/>
    <s v="None"/>
    <n v="0"/>
    <n v="0"/>
    <n v="11.7"/>
    <n v="141.68"/>
    <x v="0"/>
    <x v="2"/>
    <x v="2"/>
    <s v="2024-06-16"/>
    <n v="0"/>
    <x v="3"/>
    <s v="Q2"/>
    <n v="129.97999999999999"/>
  </r>
  <r>
    <s v="#ORD-10633"/>
    <s v="2024-07-15"/>
    <s v="03:10:58"/>
    <s v="Muhammad Lee"/>
    <s v="muhammad.lee11@gmail.com"/>
    <s v="+1-641-124-3735"/>
    <s v="Houston"/>
    <s v="TX"/>
    <s v="United States"/>
    <s v="Linen Throw Blanket x1 | Stainless Steel Cookware Set x1 | Essential Oil Diffuser x1 | Leather Wallet Slim x1 | Classic Fit Polo Shirt x1"/>
    <x v="4"/>
    <n v="5"/>
    <n v="267.95"/>
    <s v="FLASH25"/>
    <n v="66.989999999999995"/>
    <n v="0"/>
    <n v="20.100000000000001"/>
    <n v="221.06"/>
    <x v="2"/>
    <x v="4"/>
    <x v="2"/>
    <s v="2024-07-16"/>
    <n v="0"/>
    <x v="2"/>
    <s v="Q3"/>
    <n v="200.95999999999998"/>
  </r>
  <r>
    <s v="#ORD-10634"/>
    <s v="2024-05-17"/>
    <s v="14:56:49"/>
    <s v="Ava Rodriguez"/>
    <s v="ava.rodriguez68@outlook.com"/>
    <s v="+1-275-856-6815"/>
    <s v="San Francisco"/>
    <s v="CA"/>
    <s v="United States"/>
    <s v="Sunscreen SPF 50 Face x1"/>
    <x v="0"/>
    <n v="1"/>
    <n v="18.989999999999998"/>
    <s v="SAVE10"/>
    <n v="1.9"/>
    <n v="4.99"/>
    <n v="1.37"/>
    <n v="23.45"/>
    <x v="4"/>
    <x v="2"/>
    <x v="2"/>
    <s v="2024-05-18"/>
    <n v="0"/>
    <x v="4"/>
    <s v="Q2"/>
    <n v="17.09"/>
  </r>
  <r>
    <s v="#ORD-10635"/>
    <s v="2024-10-21"/>
    <s v="05:54:13"/>
    <s v="Avery Clark"/>
    <s v="avery.clark58@yahoo.com"/>
    <s v="+1-588-428-8185"/>
    <s v="Oklahoma City"/>
    <s v="OK"/>
    <s v="United States"/>
    <s v="Mechanical Keyboard x1 | Men's Grooming Kit x2"/>
    <x v="7"/>
    <n v="2"/>
    <n v="191.97"/>
    <s v="FLASH25"/>
    <n v="47.99"/>
    <n v="0"/>
    <n v="8.64"/>
    <n v="152.62"/>
    <x v="0"/>
    <x v="3"/>
    <x v="1"/>
    <s v="2024-10-25"/>
    <n v="0"/>
    <x v="7"/>
    <s v="Q4"/>
    <n v="143.97999999999999"/>
  </r>
  <r>
    <s v="#ORD-10636"/>
    <s v="2024-10-27"/>
    <s v="04:56:28"/>
    <s v="Logan King"/>
    <s v="logan.king76@gmail.com"/>
    <s v="+1-242-933-4451"/>
    <s v="Portland"/>
    <s v="OR"/>
    <s v="United States"/>
    <s v="Yoga Mat Premium x1"/>
    <x v="3"/>
    <n v="1"/>
    <n v="34.99"/>
    <s v="None"/>
    <n v="0"/>
    <n v="9.99"/>
    <n v="2.8"/>
    <n v="47.78"/>
    <x v="0"/>
    <x v="3"/>
    <x v="2"/>
    <s v="2024-10-29"/>
    <n v="0"/>
    <x v="7"/>
    <s v="Q4"/>
    <n v="34.99"/>
  </r>
  <r>
    <s v="#ORD-10637"/>
    <s v="2024-05-14"/>
    <s v="21:29:44"/>
    <s v="Jack Wright"/>
    <s v="jack.wright74@yahoo.com"/>
    <s v="+1-971-208-4795"/>
    <s v="Dallas"/>
    <s v="TX"/>
    <s v="United States"/>
    <s v="Smart LED Desk Lamp x1"/>
    <x v="7"/>
    <n v="1"/>
    <n v="39.99"/>
    <s v="SUMMER20"/>
    <n v="8"/>
    <n v="9.99"/>
    <n v="2.2400000000000002"/>
    <n v="44.22"/>
    <x v="4"/>
    <x v="3"/>
    <x v="2"/>
    <s v="2024-05-19"/>
    <n v="0"/>
    <x v="4"/>
    <s v="Q2"/>
    <n v="31.990000000000002"/>
  </r>
  <r>
    <s v="#ORD-10638"/>
    <s v="2024-03-06"/>
    <s v="13:49:07"/>
    <s v="Elijah Martinez"/>
    <s v="elijah.martinez27@outlook.com"/>
    <s v="+1-488-684-7987"/>
    <s v="Houston"/>
    <s v="TX"/>
    <s v="United States"/>
    <s v="Leather Wallet Slim x1"/>
    <x v="2"/>
    <n v="1"/>
    <n v="29.99"/>
    <s v="FLASH25"/>
    <n v="7.5"/>
    <n v="5.99"/>
    <n v="1.35"/>
    <n v="29.83"/>
    <x v="5"/>
    <x v="6"/>
    <x v="1"/>
    <s v="2024-03-08"/>
    <n v="0"/>
    <x v="9"/>
    <s v="Q1"/>
    <n v="22.49"/>
  </r>
  <r>
    <s v="#ORD-10639"/>
    <s v="2024-02-12"/>
    <s v="13:41:04"/>
    <s v="Avery Wright"/>
    <s v="avery.wright59@gmail.com"/>
    <s v="+1-562-922-2295"/>
    <s v="Phoenix"/>
    <s v="AZ"/>
    <s v="United States"/>
    <s v="Bamboo Sunglasses x1 | Canvas Backpack 25L x2"/>
    <x v="2"/>
    <n v="2"/>
    <n v="134.97"/>
    <s v="SUMMER20"/>
    <n v="26.99"/>
    <n v="0"/>
    <n v="8.64"/>
    <n v="116.62"/>
    <x v="0"/>
    <x v="3"/>
    <x v="2"/>
    <s v="2024-02-13"/>
    <n v="0"/>
    <x v="0"/>
    <s v="Q1"/>
    <n v="107.98"/>
  </r>
  <r>
    <s v="#ORD-10640"/>
    <s v="2024-09-01"/>
    <s v="21:50:28"/>
    <s v="Amelia Jones"/>
    <s v="amelia.jones21@yahoo.com"/>
    <s v="+1-771-776-1583"/>
    <s v="Austin"/>
    <s v="TX"/>
    <s v="United States"/>
    <s v="Anti-Aging Serum 1oz x2 | Classic Fit Polo Shirt x1 | USB-C Fast Charger 65W x3"/>
    <x v="0"/>
    <n v="3"/>
    <n v="224.94"/>
    <s v="WELCOME15"/>
    <n v="33.74"/>
    <n v="0"/>
    <n v="11.47"/>
    <n v="202.67"/>
    <x v="2"/>
    <x v="6"/>
    <x v="1"/>
    <s v="2024-09-03"/>
    <n v="0"/>
    <x v="11"/>
    <s v="Q3"/>
    <n v="191.2"/>
  </r>
  <r>
    <s v="#ORD-10641"/>
    <s v="2024-03-26"/>
    <s v="12:30:06"/>
    <s v="Emma Thomas"/>
    <s v="emma.thomas76@gmail.com"/>
    <s v="+1-940-867-4509"/>
    <s v="Phoenix"/>
    <s v="AZ"/>
    <s v="United States"/>
    <s v="Hiking Boots x1 | Stainless Steel Cookware Set x2"/>
    <x v="5"/>
    <n v="2"/>
    <n v="369.97"/>
    <s v="SUMMER20"/>
    <n v="73.989999999999995"/>
    <n v="0"/>
    <n v="23.68"/>
    <n v="319.66000000000003"/>
    <x v="0"/>
    <x v="0"/>
    <x v="2"/>
    <s v="2024-03-31"/>
    <n v="0"/>
    <x v="9"/>
    <s v="Q1"/>
    <n v="295.98"/>
  </r>
  <r>
    <s v="#ORD-10642"/>
    <s v="2024-03-10"/>
    <s v="04:09:08"/>
    <s v="Emma Lewis"/>
    <s v="emma.lewis63@yahoo.com"/>
    <s v="+1-437-996-5786"/>
    <s v="Chicago"/>
    <s v="IL"/>
    <s v="United States"/>
    <s v="Sunscreen SPF 50 Face x1"/>
    <x v="0"/>
    <n v="1"/>
    <n v="18.989999999999998"/>
    <s v="WELCOME15"/>
    <n v="2.85"/>
    <n v="5.99"/>
    <n v="1.61"/>
    <n v="23.74"/>
    <x v="0"/>
    <x v="5"/>
    <x v="2"/>
    <s v="2024-03-13"/>
    <n v="0"/>
    <x v="9"/>
    <s v="Q1"/>
    <n v="16.139999999999997"/>
  </r>
  <r>
    <s v="#ORD-10643"/>
    <s v="2024-05-18"/>
    <s v="16:40:22"/>
    <s v="Michael Allen"/>
    <s v="michael.allen81@gmail.com"/>
    <s v="+1-318-280-8614"/>
    <s v="Louisville"/>
    <s v="KY"/>
    <s v="United States"/>
    <s v="Yoga Mat Premium x1 | Smart LED Desk Lamp x3"/>
    <x v="3"/>
    <n v="2"/>
    <n v="154.96"/>
    <s v="SAVE10"/>
    <n v="15.5"/>
    <n v="0"/>
    <n v="11.85"/>
    <n v="151.31"/>
    <x v="7"/>
    <x v="3"/>
    <x v="4"/>
    <m/>
    <n v="0"/>
    <x v="4"/>
    <s v="Q2"/>
    <n v="139.46"/>
  </r>
  <r>
    <s v="#ORD-10644"/>
    <s v="2024-02-19"/>
    <s v="17:35:08"/>
    <s v="Abigail Davis"/>
    <s v="abigail.davis90@gmail.com"/>
    <s v="+1-262-675-6295"/>
    <s v="Jacksonville"/>
    <s v="FL"/>
    <s v="United States"/>
    <s v="Stainless Steel Cookware Set x2 | Denim Jacket x1 | High-Waist Leggings x1"/>
    <x v="6"/>
    <n v="3"/>
    <n v="367.96"/>
    <s v="None"/>
    <n v="0"/>
    <n v="0"/>
    <n v="29.44"/>
    <n v="397.4"/>
    <x v="0"/>
    <x v="3"/>
    <x v="4"/>
    <m/>
    <n v="0"/>
    <x v="0"/>
    <s v="Q1"/>
    <n v="367.96"/>
  </r>
  <r>
    <s v="#ORD-10645"/>
    <s v="2024-04-11"/>
    <s v="05:53:39"/>
    <s v="Harper Lee"/>
    <s v="harper.lee51@yahoo.com"/>
    <s v="+1-825-437-3117"/>
    <s v="Columbus"/>
    <s v="OH"/>
    <s v="United States"/>
    <s v="Hiking Boots x1 | Stainless Steel Cookware Set x2 | Men's Grooming Kit x1 | Casual Sneakers x1"/>
    <x v="5"/>
    <n v="4"/>
    <n v="465.95"/>
    <s v="LOYALTY5"/>
    <n v="23.3"/>
    <n v="0"/>
    <n v="30.99"/>
    <n v="473.64"/>
    <x v="5"/>
    <x v="6"/>
    <x v="2"/>
    <s v="2024-04-16"/>
    <n v="0"/>
    <x v="10"/>
    <s v="Q2"/>
    <n v="442.65"/>
  </r>
  <r>
    <s v="#ORD-10646"/>
    <s v="2024-05-27"/>
    <s v="06:17:22"/>
    <s v="Victoria Scott"/>
    <s v="victoria.scott93@gmail.com"/>
    <s v="+1-360-958-9776"/>
    <s v="New York"/>
    <s v="NY"/>
    <s v="United States"/>
    <s v="Sunscreen SPF 50 Face x1"/>
    <x v="0"/>
    <n v="1"/>
    <n v="18.989999999999998"/>
    <s v="SAVE10"/>
    <n v="1.9"/>
    <n v="4.99"/>
    <n v="1.71"/>
    <n v="23.79"/>
    <x v="0"/>
    <x v="3"/>
    <x v="0"/>
    <s v="2024-05-29"/>
    <n v="23.79"/>
    <x v="4"/>
    <s v="Q2"/>
    <n v="17.09"/>
  </r>
  <r>
    <s v="#ORD-10647"/>
    <s v="2024-03-24"/>
    <s v="17:40:42"/>
    <s v="Henry Anderson"/>
    <s v="henry.anderson21@yahoo.com"/>
    <s v="+1-489-408-1397"/>
    <s v="San Jose"/>
    <s v="CA"/>
    <s v="United States"/>
    <s v="Casual Sneakers x1 | Wireless Noise-Cancelling Headphones x1"/>
    <x v="5"/>
    <n v="2"/>
    <n v="149.97999999999999"/>
    <s v="FLASH25"/>
    <n v="37.49"/>
    <n v="0"/>
    <n v="6.75"/>
    <n v="119.24"/>
    <x v="5"/>
    <x v="6"/>
    <x v="2"/>
    <s v="2024-03-26"/>
    <n v="0"/>
    <x v="9"/>
    <s v="Q1"/>
    <n v="112.48999999999998"/>
  </r>
  <r>
    <s v="#ORD-10648"/>
    <s v="2024-05-26"/>
    <s v="17:52:48"/>
    <s v="Amelia Thomas"/>
    <s v="amelia.thomas35@outlook.com"/>
    <s v="+1-220-115-9875"/>
    <s v="Los Angeles"/>
    <s v="CA"/>
    <s v="United States"/>
    <s v="Mechanical Keyboard x2 | Denim Jacket x1"/>
    <x v="7"/>
    <n v="2"/>
    <n v="304.97000000000003"/>
    <s v="None"/>
    <n v="0"/>
    <n v="0"/>
    <n v="18.3"/>
    <n v="323.27"/>
    <x v="0"/>
    <x v="4"/>
    <x v="4"/>
    <m/>
    <n v="0"/>
    <x v="4"/>
    <s v="Q2"/>
    <n v="304.97000000000003"/>
  </r>
  <r>
    <s v="#ORD-10649"/>
    <s v="2024-11-18"/>
    <s v="21:52:41"/>
    <s v="Victoria Martinez"/>
    <s v="victoria.martinez95@yahoo.com"/>
    <s v="+1-682-485-5771"/>
    <s v="Houston"/>
    <s v="TX"/>
    <s v="United States"/>
    <s v="Yoga Mat Premium x1 | High-Waist Leggings x1"/>
    <x v="3"/>
    <n v="2"/>
    <n v="77.98"/>
    <s v="None"/>
    <n v="0"/>
    <n v="0"/>
    <n v="6.24"/>
    <n v="84.22"/>
    <x v="0"/>
    <x v="3"/>
    <x v="2"/>
    <s v="2024-11-23"/>
    <n v="0"/>
    <x v="8"/>
    <s v="Q4"/>
    <n v="77.98"/>
  </r>
  <r>
    <s v="#ORD-10650"/>
    <s v="2024-12-18"/>
    <s v="12:03:28"/>
    <s v="Jack Garcia"/>
    <s v="jack.garcia53@yahoo.com"/>
    <s v="+1-429-691-1407"/>
    <s v="San Diego"/>
    <s v="CA"/>
    <s v="United States"/>
    <s v="Air Fryer 5.8Qt x1 | Casual Sneakers x3"/>
    <x v="6"/>
    <n v="2"/>
    <n v="259.95999999999998"/>
    <s v="WELCOME15"/>
    <n v="38.99"/>
    <n v="0"/>
    <n v="17.68"/>
    <n v="238.65"/>
    <x v="6"/>
    <x v="4"/>
    <x v="3"/>
    <m/>
    <n v="0"/>
    <x v="1"/>
    <s v="Q4"/>
    <n v="220.96999999999997"/>
  </r>
  <r>
    <s v="#ORD-10651"/>
    <s v="2024-02-12"/>
    <s v="07:28:23"/>
    <s v="Henry Anderson"/>
    <s v="henry.anderson48@gmail.com"/>
    <s v="+1-807-355-2374"/>
    <s v="Charlotte"/>
    <s v="NC"/>
    <s v="United States"/>
    <s v="Resistance Band Set x2 | Mechanical Keyboard x3"/>
    <x v="3"/>
    <n v="2"/>
    <n v="409.95"/>
    <s v="None"/>
    <n v="0"/>
    <n v="0"/>
    <n v="36.9"/>
    <n v="446.85"/>
    <x v="0"/>
    <x v="2"/>
    <x v="3"/>
    <m/>
    <n v="0"/>
    <x v="0"/>
    <s v="Q1"/>
    <n v="409.95"/>
  </r>
  <r>
    <s v="#ORD-10652"/>
    <s v="2024-10-22"/>
    <s v="09:08:03"/>
    <s v="James Sanchez"/>
    <s v="james.sanchez61@outlook.com"/>
    <s v="+1-813-516-1091"/>
    <s v="Nashville"/>
    <s v="TN"/>
    <s v="United States"/>
    <s v="Classic Fit Polo Shirt x1"/>
    <x v="1"/>
    <n v="1"/>
    <n v="34.99"/>
    <s v="WELCOME15"/>
    <n v="5.25"/>
    <n v="7.99"/>
    <n v="2.97"/>
    <n v="40.700000000000003"/>
    <x v="0"/>
    <x v="3"/>
    <x v="1"/>
    <s v="2024-10-27"/>
    <n v="0"/>
    <x v="7"/>
    <s v="Q4"/>
    <n v="29.740000000000002"/>
  </r>
  <r>
    <s v="#ORD-10653"/>
    <s v="2024-05-01"/>
    <s v="13:31:19"/>
    <s v="Elijah Wilson"/>
    <s v="elijah.wilson72@outlook.com"/>
    <s v="+1-732-866-2990"/>
    <s v="Memphis"/>
    <s v="TN"/>
    <s v="United States"/>
    <s v="Casual Sneakers x1 | Resistance Band Set x1 | Organic Green Tea 100ct x2 | Sunscreen SPF 50 Face x2"/>
    <x v="5"/>
    <n v="4"/>
    <n v="152.94"/>
    <s v="None"/>
    <n v="0"/>
    <n v="0"/>
    <n v="13"/>
    <n v="165.94"/>
    <x v="1"/>
    <x v="3"/>
    <x v="2"/>
    <s v="2024-05-03"/>
    <n v="0"/>
    <x v="4"/>
    <s v="Q2"/>
    <n v="152.94"/>
  </r>
  <r>
    <s v="#ORD-10654"/>
    <s v="2024-06-13"/>
    <s v="17:39:53"/>
    <s v="Mia Gonzalez"/>
    <s v="mia.gonzalez15@gmail.com"/>
    <s v="+1-501-837-5441"/>
    <s v="Charlotte"/>
    <s v="NC"/>
    <s v="United States"/>
    <s v="Essential Oil Diffuser x1 | High-Waist Leggings x1"/>
    <x v="4"/>
    <n v="2"/>
    <n v="75.98"/>
    <s v="FLASH25"/>
    <n v="19"/>
    <n v="0"/>
    <n v="4.84"/>
    <n v="61.82"/>
    <x v="5"/>
    <x v="3"/>
    <x v="4"/>
    <m/>
    <n v="0"/>
    <x v="3"/>
    <s v="Q2"/>
    <n v="56.980000000000004"/>
  </r>
  <r>
    <s v="#ORD-10655"/>
    <s v="2024-04-22"/>
    <s v="16:49:48"/>
    <s v="Owen Lee"/>
    <s v="owen.lee48@yahoo.com"/>
    <s v="+1-368-636-8763"/>
    <s v="Nashville"/>
    <s v="TN"/>
    <s v="United States"/>
    <s v="Running Shoes - Women's x1 | High-Waist Leggings x2"/>
    <x v="5"/>
    <n v="2"/>
    <n v="155.97"/>
    <s v="FLASH25"/>
    <n v="38.99"/>
    <n v="0"/>
    <n v="10.53"/>
    <n v="127.51"/>
    <x v="0"/>
    <x v="5"/>
    <x v="1"/>
    <s v="2024-04-24"/>
    <n v="0"/>
    <x v="10"/>
    <s v="Q2"/>
    <n v="116.97999999999999"/>
  </r>
  <r>
    <s v="#ORD-10656"/>
    <s v="2024-01-27"/>
    <s v="00:55:57"/>
    <s v="Emma Lee"/>
    <s v="emma.lee23@gmail.com"/>
    <s v="+1-481-391-7982"/>
    <s v="Columbus"/>
    <s v="OH"/>
    <s v="United States"/>
    <s v="Wireless Noise-Cancelling Headphones x1 | Yoga Mat Premium x1 | Sunscreen SPF 50 Face x1 | Running Shoes - Women's x1 | Smart LED Desk Lamp x1"/>
    <x v="7"/>
    <n v="5"/>
    <n v="253.95"/>
    <s v="SAVE10"/>
    <n v="25.39"/>
    <n v="0"/>
    <n v="22.86"/>
    <n v="251.42"/>
    <x v="1"/>
    <x v="3"/>
    <x v="2"/>
    <s v="2024-01-29"/>
    <n v="0"/>
    <x v="6"/>
    <s v="Q1"/>
    <n v="228.56"/>
  </r>
  <r>
    <s v="#ORD-10657"/>
    <s v="2024-08-05"/>
    <s v="21:56:44"/>
    <s v="Daniel Martin"/>
    <s v="daniel.martin80@outlook.com"/>
    <s v="+1-801-760-7274"/>
    <s v="Jacksonville"/>
    <s v="FL"/>
    <s v="United States"/>
    <s v="Anti-Aging Serum 1oz x1 | Running Shoes - Women's x1"/>
    <x v="0"/>
    <n v="2"/>
    <n v="119.98"/>
    <s v="None"/>
    <n v="0"/>
    <n v="0"/>
    <n v="9.6"/>
    <n v="129.58000000000001"/>
    <x v="0"/>
    <x v="0"/>
    <x v="2"/>
    <s v="2024-08-10"/>
    <n v="0"/>
    <x v="5"/>
    <s v="Q3"/>
    <n v="119.98"/>
  </r>
  <r>
    <s v="#ORD-10658"/>
    <s v="2024-10-13"/>
    <s v="07:48:45"/>
    <s v="Muhammad Nguyen"/>
    <s v="muhammad.nguyen76@outlook.com"/>
    <s v="+1-686-995-1004"/>
    <s v="Memphis"/>
    <s v="TN"/>
    <s v="United States"/>
    <s v="Anti-Aging Serum 1oz x1 | Bamboo Sunglasses x1 | Stainless Steel Cookware Set x1"/>
    <x v="0"/>
    <n v="3"/>
    <n v="204.97"/>
    <s v="None"/>
    <n v="0"/>
    <n v="0"/>
    <n v="12.3"/>
    <n v="217.27"/>
    <x v="2"/>
    <x v="0"/>
    <x v="2"/>
    <s v="2024-10-15"/>
    <n v="0"/>
    <x v="7"/>
    <s v="Q4"/>
    <n v="204.97"/>
  </r>
  <r>
    <s v="#ORD-10659"/>
    <s v="2024-11-09"/>
    <s v="11:58:11"/>
    <s v="Abigail Jones"/>
    <s v="abigail.jones7@gmail.com"/>
    <s v="+1-923-585-6816"/>
    <s v="Albuquerque"/>
    <s v="NM"/>
    <s v="United States"/>
    <s v="Anti-Aging Serum 1oz x1"/>
    <x v="0"/>
    <n v="1"/>
    <n v="49.99"/>
    <s v="SAVE10"/>
    <n v="5"/>
    <n v="4.99"/>
    <n v="3.15"/>
    <n v="53.13"/>
    <x v="1"/>
    <x v="3"/>
    <x v="4"/>
    <m/>
    <n v="0"/>
    <x v="8"/>
    <s v="Q4"/>
    <n v="44.99"/>
  </r>
  <r>
    <s v="#ORD-10660"/>
    <s v="2024-08-23"/>
    <s v="02:33:35"/>
    <s v="Aiden Wright"/>
    <s v="aiden.wright68@gmail.com"/>
    <s v="+1-645-767-6704"/>
    <s v="Austin"/>
    <s v="TX"/>
    <s v="United States"/>
    <s v="Running Shoes - Men's x1 | Essential Oil Diffuser x1 | Denim Jacket x1"/>
    <x v="5"/>
    <n v="3"/>
    <n v="172.97"/>
    <s v="SUMMER20"/>
    <n v="34.590000000000003"/>
    <n v="0"/>
    <n v="11.76"/>
    <n v="150.13999999999999"/>
    <x v="1"/>
    <x v="3"/>
    <x v="2"/>
    <s v="2024-08-28"/>
    <n v="0"/>
    <x v="5"/>
    <s v="Q3"/>
    <n v="138.38"/>
  </r>
  <r>
    <s v="#ORD-10661"/>
    <s v="2024-05-14"/>
    <s v="08:52:30"/>
    <s v="Logan Johnson"/>
    <s v="logan.johnson47@outlook.com"/>
    <s v="+1-652-469-9618"/>
    <s v="Milwaukee"/>
    <s v="WI"/>
    <s v="United States"/>
    <s v="Running Shoes - Women's x1 | Scented Soy Candle Set x3"/>
    <x v="5"/>
    <n v="2"/>
    <n v="138.96"/>
    <s v="None"/>
    <n v="0"/>
    <n v="0"/>
    <n v="11.81"/>
    <n v="150.77000000000001"/>
    <x v="5"/>
    <x v="1"/>
    <x v="2"/>
    <s v="2024-05-16"/>
    <n v="0"/>
    <x v="4"/>
    <s v="Q2"/>
    <n v="138.96"/>
  </r>
  <r>
    <s v="#ORD-10662"/>
    <s v="2024-12-19"/>
    <s v="19:30:55"/>
    <s v="Charlotte Smith"/>
    <s v="charlotte.smith40@gmail.com"/>
    <s v="+1-607-144-5145"/>
    <s v="Denver"/>
    <s v="CO"/>
    <s v="United States"/>
    <s v="Hiking Boots x1"/>
    <x v="5"/>
    <n v="1"/>
    <n v="109.99"/>
    <s v="None"/>
    <n v="0"/>
    <n v="0"/>
    <n v="9.9"/>
    <n v="119.89"/>
    <x v="0"/>
    <x v="0"/>
    <x v="3"/>
    <m/>
    <n v="0"/>
    <x v="1"/>
    <s v="Q4"/>
    <n v="109.99"/>
  </r>
  <r>
    <s v="#ORD-10663"/>
    <s v="2024-08-23"/>
    <s v="22:44:29"/>
    <s v="Elijah Brown"/>
    <s v="elijah.brown4@outlook.com"/>
    <s v="+1-334-184-7874"/>
    <s v="Denver"/>
    <s v="CO"/>
    <s v="United States"/>
    <s v="Stainless Steel Cookware Set x1 | Running Shoes - Men's x2"/>
    <x v="6"/>
    <n v="2"/>
    <n v="279.97000000000003"/>
    <s v="FLASH25"/>
    <n v="69.989999999999995"/>
    <n v="0"/>
    <n v="12.6"/>
    <n v="222.58"/>
    <x v="0"/>
    <x v="3"/>
    <x v="2"/>
    <s v="2024-08-25"/>
    <n v="0"/>
    <x v="5"/>
    <s v="Q3"/>
    <n v="209.98000000000002"/>
  </r>
  <r>
    <s v="#ORD-10664"/>
    <s v="2024-11-29"/>
    <s v="04:07:01"/>
    <s v="Mason Brown"/>
    <s v="mason.brown82@yahoo.com"/>
    <s v="+1-939-475-9459"/>
    <s v="Charlotte"/>
    <s v="NC"/>
    <s v="United States"/>
    <s v="Canvas Backpack 25L x1 | Running Shoes - Women's x2"/>
    <x v="2"/>
    <n v="2"/>
    <n v="194.97"/>
    <s v="SAVE10"/>
    <n v="19.5"/>
    <n v="0"/>
    <n v="17.55"/>
    <n v="193.02"/>
    <x v="4"/>
    <x v="3"/>
    <x v="2"/>
    <s v="2024-12-04"/>
    <n v="0"/>
    <x v="8"/>
    <s v="Q4"/>
    <n v="175.47"/>
  </r>
  <r>
    <s v="#ORD-10665"/>
    <s v="2024-11-16"/>
    <s v="10:00:01"/>
    <s v="Emma Sanchez"/>
    <s v="emma.sanchez86@yahoo.com"/>
    <s v="+1-480-674-6745"/>
    <s v="Columbus"/>
    <s v="OH"/>
    <s v="United States"/>
    <s v="Mechanical Keyboard x1 | Men's Grooming Kit x1 | Hiking Boots x1"/>
    <x v="7"/>
    <n v="3"/>
    <n v="265.97000000000003"/>
    <s v="None"/>
    <n v="0"/>
    <n v="0"/>
    <n v="26.6"/>
    <n v="292.57"/>
    <x v="5"/>
    <x v="3"/>
    <x v="2"/>
    <s v="2024-11-19"/>
    <n v="0"/>
    <x v="8"/>
    <s v="Q4"/>
    <n v="265.97000000000003"/>
  </r>
  <r>
    <s v="#ORD-10666"/>
    <s v="2024-12-27"/>
    <s v="06:46:17"/>
    <s v="Mason Perez"/>
    <s v="mason.perez73@yahoo.com"/>
    <s v="+1-422-753-7136"/>
    <s v="Charlotte"/>
    <s v="NC"/>
    <s v="United States"/>
    <s v="Smart LED Desk Lamp x1 | Bamboo Sunglasses x2"/>
    <x v="7"/>
    <n v="2"/>
    <n v="89.97"/>
    <s v="None"/>
    <n v="0"/>
    <n v="0"/>
    <n v="7.2"/>
    <n v="97.17"/>
    <x v="1"/>
    <x v="1"/>
    <x v="2"/>
    <s v="2024-12-28"/>
    <n v="0"/>
    <x v="1"/>
    <s v="Q4"/>
    <n v="89.97"/>
  </r>
  <r>
    <s v="#ORD-10667"/>
    <s v="2024-09-21"/>
    <s v="10:21:37"/>
    <s v="Sebastian Garcia"/>
    <s v="sebastian.garcia93@yahoo.com"/>
    <s v="+1-343-678-6169"/>
    <s v="Albuquerque"/>
    <s v="NM"/>
    <s v="United States"/>
    <s v="Leather Wallet Slim x1 | Canvas Backpack 25L x2"/>
    <x v="2"/>
    <n v="2"/>
    <n v="139.97"/>
    <s v="None"/>
    <n v="0"/>
    <n v="0"/>
    <n v="11.2"/>
    <n v="151.16999999999999"/>
    <x v="0"/>
    <x v="4"/>
    <x v="2"/>
    <s v="2024-09-24"/>
    <n v="0"/>
    <x v="11"/>
    <s v="Q3"/>
    <n v="139.97"/>
  </r>
  <r>
    <s v="#ORD-10668"/>
    <s v="2024-03-18"/>
    <s v="08:54:29"/>
    <s v="Sofia Anderson"/>
    <s v="sofia.anderson25@gmail.com"/>
    <s v="+1-660-949-3793"/>
    <s v="Baltimore"/>
    <s v="MD"/>
    <s v="United States"/>
    <s v="Yoga Mat Premium x1"/>
    <x v="3"/>
    <n v="1"/>
    <n v="34.99"/>
    <s v="SUMMER20"/>
    <n v="7"/>
    <n v="7.99"/>
    <n v="1.68"/>
    <n v="37.659999999999997"/>
    <x v="5"/>
    <x v="0"/>
    <x v="1"/>
    <s v="2024-03-23"/>
    <n v="0"/>
    <x v="9"/>
    <s v="Q1"/>
    <n v="27.990000000000002"/>
  </r>
  <r>
    <s v="#ORD-10669"/>
    <s v="2024-09-29"/>
    <s v="16:51:41"/>
    <s v="Olivia Hill"/>
    <s v="olivia.hill20@yahoo.com"/>
    <s v="+1-725-891-4452"/>
    <s v="Fort Worth"/>
    <s v="TX"/>
    <s v="United States"/>
    <s v="Essential Oil Diffuser x2"/>
    <x v="4"/>
    <n v="1"/>
    <n v="65.98"/>
    <s v="SAVE10"/>
    <n v="6.6"/>
    <n v="5.99"/>
    <n v="4.75"/>
    <n v="70.12"/>
    <x v="1"/>
    <x v="5"/>
    <x v="2"/>
    <s v="2024-09-30"/>
    <n v="0"/>
    <x v="11"/>
    <s v="Q3"/>
    <n v="59.38"/>
  </r>
  <r>
    <s v="#ORD-10670"/>
    <s v="2024-02-14"/>
    <s v="18:39:25"/>
    <s v="Harper Wilson"/>
    <s v="harper.wilson34@gmail.com"/>
    <s v="+1-918-207-6879"/>
    <s v="Charlotte"/>
    <s v="NC"/>
    <s v="United States"/>
    <s v="Essential Oil Diffuser x1 | Running Shoes - Men's x1"/>
    <x v="4"/>
    <n v="2"/>
    <n v="107.98"/>
    <s v="SAVE10"/>
    <n v="10.8"/>
    <n v="0"/>
    <n v="7.77"/>
    <n v="104.95"/>
    <x v="1"/>
    <x v="0"/>
    <x v="2"/>
    <s v="2024-02-17"/>
    <n v="0"/>
    <x v="0"/>
    <s v="Q1"/>
    <n v="97.18"/>
  </r>
  <r>
    <s v="#ORD-10671"/>
    <s v="2024-09-08"/>
    <s v="14:41:29"/>
    <s v="Emma Hernandez"/>
    <s v="emma.hernandez61@gmail.com"/>
    <s v="+1-684-954-4990"/>
    <s v="Columbus"/>
    <s v="OH"/>
    <s v="United States"/>
    <s v="Running Shoes - Men's x1 | Bamboo Sunglasses x1 | Insulated Water Bottle 32oz x2 | Yoga Mat Premium x1"/>
    <x v="5"/>
    <n v="4"/>
    <n v="190.95"/>
    <s v="LOYALTY5"/>
    <n v="9.5500000000000007"/>
    <n v="0"/>
    <n v="15.42"/>
    <n v="196.82"/>
    <x v="1"/>
    <x v="4"/>
    <x v="4"/>
    <m/>
    <n v="0"/>
    <x v="11"/>
    <s v="Q3"/>
    <n v="181.39999999999998"/>
  </r>
  <r>
    <s v="#ORD-10672"/>
    <s v="2024-06-04"/>
    <s v="19:01:04"/>
    <s v="Harper White"/>
    <s v="harper.white44@gmail.com"/>
    <s v="+1-807-129-3687"/>
    <s v="Nashville"/>
    <s v="TN"/>
    <s v="United States"/>
    <s v="Bamboo Sunglasses x2"/>
    <x v="2"/>
    <n v="1"/>
    <n v="49.98"/>
    <s v="FLASH25"/>
    <n v="12.49"/>
    <n v="4.99"/>
    <n v="3.19"/>
    <n v="45.67"/>
    <x v="5"/>
    <x v="3"/>
    <x v="4"/>
    <m/>
    <n v="0"/>
    <x v="3"/>
    <s v="Q2"/>
    <n v="37.489999999999995"/>
  </r>
  <r>
    <s v="#ORD-10673"/>
    <s v="2024-07-22"/>
    <s v="12:49:49"/>
    <s v="Scarlett Hernandez"/>
    <s v="scarlett.hernandez39@outlook.com"/>
    <s v="+1-984-244-6670"/>
    <s v="Tucson"/>
    <s v="AZ"/>
    <s v="United States"/>
    <s v="Linen Throw Blanket x2"/>
    <x v="4"/>
    <n v="1"/>
    <n v="79.98"/>
    <s v="None"/>
    <n v="0"/>
    <n v="0"/>
    <n v="8"/>
    <n v="87.98"/>
    <x v="0"/>
    <x v="1"/>
    <x v="2"/>
    <s v="2024-07-25"/>
    <n v="0"/>
    <x v="2"/>
    <s v="Q3"/>
    <n v="79.98"/>
  </r>
  <r>
    <s v="#ORD-10674"/>
    <s v="2024-02-27"/>
    <s v="06:42:57"/>
    <s v="Sebastian Sanchez"/>
    <s v="sebastian.sanchez59@gmail.com"/>
    <s v="+1-901-668-7131"/>
    <s v="Philadelphia"/>
    <s v="PA"/>
    <s v="United States"/>
    <s v="Running Shoes - Men's x1"/>
    <x v="5"/>
    <n v="1"/>
    <n v="74.989999999999995"/>
    <s v="None"/>
    <n v="0"/>
    <n v="5.99"/>
    <n v="5.25"/>
    <n v="86.23"/>
    <x v="4"/>
    <x v="5"/>
    <x v="2"/>
    <s v="2024-02-29"/>
    <n v="0"/>
    <x v="0"/>
    <s v="Q1"/>
    <n v="74.989999999999995"/>
  </r>
  <r>
    <s v="#ORD-10675"/>
    <s v="2024-08-01"/>
    <s v="12:46:42"/>
    <s v="Emma Young"/>
    <s v="emma.young45@gmail.com"/>
    <s v="+1-331-425-3187"/>
    <s v="Philadelphia"/>
    <s v="PA"/>
    <s v="United States"/>
    <s v="Sunscreen SPF 50 Face x2 | Running Shoes - Women's x1"/>
    <x v="0"/>
    <n v="2"/>
    <n v="107.97"/>
    <s v="SUMMER20"/>
    <n v="21.59"/>
    <n v="0"/>
    <n v="8.64"/>
    <n v="95.02"/>
    <x v="0"/>
    <x v="2"/>
    <x v="4"/>
    <m/>
    <n v="0"/>
    <x v="5"/>
    <s v="Q3"/>
    <n v="86.38"/>
  </r>
  <r>
    <s v="#ORD-10676"/>
    <s v="2024-06-13"/>
    <s v="21:29:18"/>
    <s v="Henry Lee"/>
    <s v="henry.lee37@outlook.com"/>
    <s v="+1-570-448-9215"/>
    <s v="Albuquerque"/>
    <s v="NM"/>
    <s v="United States"/>
    <s v="Coffee Maker Programmable x1 | USB-C Fast Charger 65W x1"/>
    <x v="6"/>
    <n v="2"/>
    <n v="84.98"/>
    <s v="LOYALTY5"/>
    <n v="4.25"/>
    <n v="0"/>
    <n v="4.84"/>
    <n v="85.57"/>
    <x v="0"/>
    <x v="0"/>
    <x v="2"/>
    <s v="2024-06-16"/>
    <n v="0"/>
    <x v="3"/>
    <s v="Q2"/>
    <n v="80.73"/>
  </r>
  <r>
    <s v="#ORD-10677"/>
    <s v="2024-01-31"/>
    <s v="00:12:18"/>
    <s v="Emma Green"/>
    <s v="emma.green97@gmail.com"/>
    <s v="+1-354-391-6096"/>
    <s v="Nashville"/>
    <s v="TN"/>
    <s v="United States"/>
    <s v="Mechanical Keyboard x1 | Stainless Steel Cookware Set x1"/>
    <x v="7"/>
    <n v="2"/>
    <n v="249.98"/>
    <s v="WELCOME15"/>
    <n v="37.5"/>
    <n v="0"/>
    <n v="12.75"/>
    <n v="225.23"/>
    <x v="0"/>
    <x v="0"/>
    <x v="4"/>
    <m/>
    <n v="0"/>
    <x v="6"/>
    <s v="Q1"/>
    <n v="212.48"/>
  </r>
  <r>
    <s v="#ORD-10678"/>
    <s v="2024-03-04"/>
    <s v="12:19:48"/>
    <s v="Elizabeth Young"/>
    <s v="elizabeth.young34@yahoo.com"/>
    <s v="+1-212-264-6226"/>
    <s v="Los Angeles"/>
    <s v="CA"/>
    <s v="United States"/>
    <s v="Air Fryer 5.8Qt x2"/>
    <x v="6"/>
    <n v="1"/>
    <n v="159.97999999999999"/>
    <s v="SUMMER20"/>
    <n v="32"/>
    <n v="0"/>
    <n v="7.68"/>
    <n v="135.66"/>
    <x v="0"/>
    <x v="4"/>
    <x v="4"/>
    <m/>
    <n v="0"/>
    <x v="9"/>
    <s v="Q1"/>
    <n v="127.97999999999999"/>
  </r>
  <r>
    <s v="#ORD-10679"/>
    <s v="2024-09-10"/>
    <s v="22:01:05"/>
    <s v="Isabella Nguyen"/>
    <s v="isabella.nguyen50@yahoo.com"/>
    <s v="+1-573-214-3930"/>
    <s v="San Francisco"/>
    <s v="CA"/>
    <s v="United States"/>
    <s v="Protein Powder Chocolate 2lb x1 | Multivitamin Daily Pack x1 | Classic Fit Polo Shirt x1 | Portable Bluetooth Speaker x1"/>
    <x v="8"/>
    <n v="4"/>
    <n v="149.96"/>
    <s v="SUMMER20"/>
    <n v="29.99"/>
    <n v="0"/>
    <n v="10.8"/>
    <n v="130.77000000000001"/>
    <x v="5"/>
    <x v="5"/>
    <x v="1"/>
    <s v="2024-09-15"/>
    <n v="0"/>
    <x v="11"/>
    <s v="Q3"/>
    <n v="119.97000000000001"/>
  </r>
  <r>
    <s v="#ORD-10680"/>
    <s v="2024-01-03"/>
    <s v="16:50:29"/>
    <s v="Jack Scott"/>
    <s v="jack.scott50@yahoo.com"/>
    <s v="+1-645-149-8614"/>
    <s v="Memphis"/>
    <s v="TN"/>
    <s v="United States"/>
    <s v="Bamboo Sunglasses x2"/>
    <x v="2"/>
    <n v="1"/>
    <n v="49.98"/>
    <s v="SAVE10"/>
    <n v="5"/>
    <n v="5.99"/>
    <n v="4.05"/>
    <n v="55.02"/>
    <x v="6"/>
    <x v="4"/>
    <x v="3"/>
    <m/>
    <n v="0"/>
    <x v="6"/>
    <s v="Q1"/>
    <n v="44.98"/>
  </r>
  <r>
    <s v="#ORD-10681"/>
    <s v="2024-01-20"/>
    <s v="10:43:08"/>
    <s v="Evelyn Williams"/>
    <s v="evelyn.williams63@gmail.com"/>
    <s v="+1-851-136-2829"/>
    <s v="Houston"/>
    <s v="TX"/>
    <s v="United States"/>
    <s v="Anti-Aging Serum 1oz x1 | Insulated Water Bottle 32oz x1 | Hiking Boots x2 | Multivitamin Daily Pack x1"/>
    <x v="0"/>
    <n v="4"/>
    <n v="317.95"/>
    <s v="None"/>
    <n v="0"/>
    <n v="0"/>
    <n v="25.44"/>
    <n v="343.39"/>
    <x v="5"/>
    <x v="3"/>
    <x v="1"/>
    <s v="2024-01-23"/>
    <n v="0"/>
    <x v="6"/>
    <s v="Q1"/>
    <n v="317.95"/>
  </r>
  <r>
    <s v="#ORD-10682"/>
    <s v="2024-03-09"/>
    <s v="01:17:45"/>
    <s v="Emily Williams"/>
    <s v="emily.williams95@gmail.com"/>
    <s v="+1-905-732-4999"/>
    <s v="Seattle"/>
    <s v="WA"/>
    <s v="United States"/>
    <s v="Smart LED Desk Lamp x1"/>
    <x v="7"/>
    <n v="1"/>
    <n v="39.99"/>
    <s v="None"/>
    <n v="0"/>
    <n v="9.99"/>
    <n v="3.4"/>
    <n v="53.38"/>
    <x v="4"/>
    <x v="3"/>
    <x v="3"/>
    <m/>
    <n v="0"/>
    <x v="9"/>
    <s v="Q1"/>
    <n v="39.99"/>
  </r>
  <r>
    <s v="#ORD-10683"/>
    <s v="2024-05-24"/>
    <s v="18:42:15"/>
    <s v="Owen Nguyen"/>
    <s v="owen.nguyen6@gmail.com"/>
    <s v="+1-610-122-4013"/>
    <s v="Charlotte"/>
    <s v="NC"/>
    <s v="United States"/>
    <s v="Scented Soy Candle Set x3"/>
    <x v="4"/>
    <n v="1"/>
    <n v="68.97"/>
    <s v="None"/>
    <n v="0"/>
    <n v="9.99"/>
    <n v="6.21"/>
    <n v="85.17"/>
    <x v="3"/>
    <x v="3"/>
    <x v="2"/>
    <s v="2024-05-28"/>
    <n v="0"/>
    <x v="4"/>
    <s v="Q2"/>
    <n v="68.97"/>
  </r>
  <r>
    <s v="#ORD-10684"/>
    <s v="2024-08-09"/>
    <s v="17:07:41"/>
    <s v="Harper Garcia"/>
    <s v="harper.garcia56@outlook.com"/>
    <s v="+1-420-878-8158"/>
    <s v="Baltimore"/>
    <s v="MD"/>
    <s v="United States"/>
    <s v="Yoga Mat Premium x1"/>
    <x v="3"/>
    <n v="1"/>
    <n v="34.99"/>
    <s v="FLASH25"/>
    <n v="8.75"/>
    <n v="5.99"/>
    <n v="2.62"/>
    <n v="34.85"/>
    <x v="6"/>
    <x v="3"/>
    <x v="3"/>
    <m/>
    <n v="0"/>
    <x v="5"/>
    <s v="Q3"/>
    <n v="26.240000000000002"/>
  </r>
  <r>
    <s v="#ORD-10685"/>
    <s v="2024-12-19"/>
    <s v="07:27:04"/>
    <s v="Elijah Lopez"/>
    <s v="elijah.lopez65@outlook.com"/>
    <s v="+1-673-713-6212"/>
    <s v="Dallas"/>
    <s v="TX"/>
    <s v="United States"/>
    <s v="Yoga Mat Premium x1"/>
    <x v="3"/>
    <n v="1"/>
    <n v="34.99"/>
    <s v="WELCOME15"/>
    <n v="5.25"/>
    <n v="5.99"/>
    <n v="1.78"/>
    <n v="37.51"/>
    <x v="6"/>
    <x v="0"/>
    <x v="2"/>
    <s v="2024-12-22"/>
    <n v="0"/>
    <x v="1"/>
    <s v="Q4"/>
    <n v="29.740000000000002"/>
  </r>
  <r>
    <s v="#ORD-10686"/>
    <s v="2024-08-25"/>
    <s v="10:31:59"/>
    <s v="Sophia Anderson"/>
    <s v="sophia.anderson3@yahoo.com"/>
    <s v="+1-771-112-6618"/>
    <s v="San Diego"/>
    <s v="CA"/>
    <s v="United States"/>
    <s v="Sunscreen SPF 50 Face x1"/>
    <x v="0"/>
    <n v="1"/>
    <n v="18.989999999999998"/>
    <s v="SUMMER20"/>
    <n v="3.8"/>
    <n v="9.99"/>
    <n v="1.52"/>
    <n v="26.7"/>
    <x v="1"/>
    <x v="5"/>
    <x v="3"/>
    <m/>
    <n v="0"/>
    <x v="5"/>
    <s v="Q3"/>
    <n v="15.189999999999998"/>
  </r>
  <r>
    <s v="#ORD-10687"/>
    <s v="2024-11-27"/>
    <s v="19:10:29"/>
    <s v="Muhammad Lee"/>
    <s v="muhammad.lee57@gmail.com"/>
    <s v="+1-412-865-9676"/>
    <s v="Jacksonville"/>
    <s v="FL"/>
    <s v="United States"/>
    <s v="Running Shoes - Women's x1 | Coffee Maker Programmable x1 | Sunscreen SPF 50 Face x1"/>
    <x v="5"/>
    <n v="3"/>
    <n v="143.97"/>
    <s v="LOYALTY5"/>
    <n v="7.2"/>
    <n v="0"/>
    <n v="8.2100000000000009"/>
    <n v="144.97999999999999"/>
    <x v="1"/>
    <x v="0"/>
    <x v="1"/>
    <s v="2024-11-28"/>
    <n v="0"/>
    <x v="8"/>
    <s v="Q4"/>
    <n v="136.77000000000001"/>
  </r>
  <r>
    <s v="#ORD-10688"/>
    <s v="2024-09-18"/>
    <s v="22:48:30"/>
    <s v="Alexander Martin"/>
    <s v="alexander.martin97@gmail.com"/>
    <s v="+1-961-602-4845"/>
    <s v="San Jose"/>
    <s v="CA"/>
    <s v="United States"/>
    <s v="Mechanical Keyboard x1 | Scented Soy Candle Set x1"/>
    <x v="7"/>
    <n v="2"/>
    <n v="142.97999999999999"/>
    <s v="LOYALTY5"/>
    <n v="7.15"/>
    <n v="0"/>
    <n v="11.55"/>
    <n v="147.38"/>
    <x v="5"/>
    <x v="4"/>
    <x v="2"/>
    <s v="2024-09-23"/>
    <n v="0"/>
    <x v="11"/>
    <s v="Q3"/>
    <n v="135.82999999999998"/>
  </r>
  <r>
    <s v="#ORD-10689"/>
    <s v="2024-02-07"/>
    <s v="15:55:02"/>
    <s v="Elizabeth Scott"/>
    <s v="elizabeth.scott49@outlook.com"/>
    <s v="+1-763-518-6767"/>
    <s v="Phoenix"/>
    <s v="AZ"/>
    <s v="United States"/>
    <s v="Running Shoes - Women's x3"/>
    <x v="5"/>
    <n v="1"/>
    <n v="209.97"/>
    <s v="LOYALTY5"/>
    <n v="10.5"/>
    <n v="0"/>
    <n v="15.96"/>
    <n v="215.43"/>
    <x v="0"/>
    <x v="3"/>
    <x v="4"/>
    <m/>
    <n v="0"/>
    <x v="0"/>
    <s v="Q1"/>
    <n v="199.47"/>
  </r>
  <r>
    <s v="#ORD-10690"/>
    <s v="2024-10-26"/>
    <s v="05:34:38"/>
    <s v="Lucas Clark"/>
    <s v="lucas.clark77@gmail.com"/>
    <s v="+1-493-945-8363"/>
    <s v="Albuquerque"/>
    <s v="NM"/>
    <s v="United States"/>
    <s v="Smart LED Desk Lamp x1"/>
    <x v="7"/>
    <n v="1"/>
    <n v="39.99"/>
    <s v="SAVE10"/>
    <n v="4"/>
    <n v="9.99"/>
    <n v="2.52"/>
    <n v="48.5"/>
    <x v="4"/>
    <x v="5"/>
    <x v="3"/>
    <m/>
    <n v="0"/>
    <x v="7"/>
    <s v="Q4"/>
    <n v="35.99"/>
  </r>
  <r>
    <s v="#ORD-10691"/>
    <s v="2024-11-18"/>
    <s v="06:54:52"/>
    <s v="Mia Lopez"/>
    <s v="mia.lopez37@gmail.com"/>
    <s v="+1-393-751-1475"/>
    <s v="Fort Worth"/>
    <s v="TX"/>
    <s v="United States"/>
    <s v="Organic Green Tea 100ct x1"/>
    <x v="9"/>
    <n v="1"/>
    <n v="14.99"/>
    <s v="None"/>
    <n v="0"/>
    <n v="9.99"/>
    <n v="1.35"/>
    <n v="26.33"/>
    <x v="1"/>
    <x v="7"/>
    <x v="4"/>
    <m/>
    <n v="0"/>
    <x v="8"/>
    <s v="Q4"/>
    <n v="14.99"/>
  </r>
  <r>
    <s v="#ORD-10692"/>
    <s v="2024-08-20"/>
    <s v="20:22:49"/>
    <s v="Benjamin Anderson"/>
    <s v="benjamin.anderson79@outlook.com"/>
    <s v="+1-960-715-7378"/>
    <s v="Phoenix"/>
    <s v="AZ"/>
    <s v="United States"/>
    <s v="Multivitamin Daily Pack x1 | Wireless Noise-Cancelling Headphones x1"/>
    <x v="8"/>
    <n v="2"/>
    <n v="109.98"/>
    <s v="LOYALTY5"/>
    <n v="5.5"/>
    <n v="0"/>
    <n v="10.45"/>
    <n v="114.93"/>
    <x v="5"/>
    <x v="3"/>
    <x v="1"/>
    <s v="2024-08-21"/>
    <n v="0"/>
    <x v="5"/>
    <s v="Q3"/>
    <n v="104.48"/>
  </r>
  <r>
    <s v="#ORD-10693"/>
    <s v="2024-05-23"/>
    <s v="07:55:43"/>
    <s v="William King"/>
    <s v="william.king25@yahoo.com"/>
    <s v="+1-791-572-8523"/>
    <s v="Milwaukee"/>
    <s v="WI"/>
    <s v="United States"/>
    <s v="Casual Sneakers x1 | Running Shoes - Men's x2"/>
    <x v="5"/>
    <n v="2"/>
    <n v="209.97"/>
    <s v="None"/>
    <n v="0"/>
    <n v="0"/>
    <n v="16.8"/>
    <n v="226.77"/>
    <x v="0"/>
    <x v="3"/>
    <x v="2"/>
    <s v="2024-05-25"/>
    <n v="0"/>
    <x v="4"/>
    <s v="Q2"/>
    <n v="209.97"/>
  </r>
  <r>
    <s v="#ORD-10694"/>
    <s v="2024-07-13"/>
    <s v="06:20:28"/>
    <s v="Oliver Flores"/>
    <s v="oliver.flores31@outlook.com"/>
    <s v="+1-898-793-7657"/>
    <s v="Charlotte"/>
    <s v="NC"/>
    <s v="United States"/>
    <s v="High-Waist Leggings x2 | Scented Soy Candle Set x2"/>
    <x v="1"/>
    <n v="2"/>
    <n v="131.96"/>
    <s v="None"/>
    <n v="0"/>
    <n v="0"/>
    <n v="9.24"/>
    <n v="141.19999999999999"/>
    <x v="5"/>
    <x v="1"/>
    <x v="2"/>
    <s v="2024-07-14"/>
    <n v="0"/>
    <x v="2"/>
    <s v="Q3"/>
    <n v="131.96"/>
  </r>
  <r>
    <s v="#ORD-10695"/>
    <s v="2024-06-10"/>
    <s v="23:33:24"/>
    <s v="Owen Young"/>
    <s v="owen.young50@gmail.com"/>
    <s v="+1-942-887-1653"/>
    <s v="Milwaukee"/>
    <s v="WI"/>
    <s v="United States"/>
    <s v="Leather Wallet Slim x2 | Sunscreen SPF 50 Face x1 | Coffee Maker Programmable x3 | Smart LED Desk Lamp x2"/>
    <x v="2"/>
    <n v="4"/>
    <n v="323.92"/>
    <s v="SUMMER20"/>
    <n v="64.78"/>
    <n v="0"/>
    <n v="22.03"/>
    <n v="281.17"/>
    <x v="6"/>
    <x v="3"/>
    <x v="4"/>
    <m/>
    <n v="0"/>
    <x v="3"/>
    <s v="Q2"/>
    <n v="259.14"/>
  </r>
  <r>
    <s v="#ORD-10696"/>
    <s v="2024-11-01"/>
    <s v="19:19:09"/>
    <s v="Alexander Sanchez"/>
    <s v="alexander.sanchez66@yahoo.com"/>
    <s v="+1-448-914-8906"/>
    <s v="Boston"/>
    <s v="MA"/>
    <s v="United States"/>
    <s v="Mechanical Keyboard x2"/>
    <x v="7"/>
    <n v="1"/>
    <n v="239.98"/>
    <s v="LOYALTY5"/>
    <n v="12"/>
    <n v="0"/>
    <n v="13.68"/>
    <n v="241.66"/>
    <x v="1"/>
    <x v="3"/>
    <x v="1"/>
    <s v="2024-11-03"/>
    <n v="0"/>
    <x v="8"/>
    <s v="Q4"/>
    <n v="227.98"/>
  </r>
  <r>
    <s v="#ORD-10697"/>
    <s v="2024-12-15"/>
    <s v="05:06:27"/>
    <s v="Lucas Taylor"/>
    <s v="lucas.taylor43@yahoo.com"/>
    <s v="+1-236-879-3294"/>
    <s v="Houston"/>
    <s v="TX"/>
    <s v="United States"/>
    <s v="Classic Fit Polo Shirt x2 | Casual Sneakers x1"/>
    <x v="1"/>
    <n v="2"/>
    <n v="129.97"/>
    <s v="SUMMER20"/>
    <n v="25.99"/>
    <n v="0"/>
    <n v="8.32"/>
    <n v="112.3"/>
    <x v="6"/>
    <x v="4"/>
    <x v="2"/>
    <s v="2024-12-20"/>
    <n v="0"/>
    <x v="1"/>
    <s v="Q4"/>
    <n v="103.98"/>
  </r>
  <r>
    <s v="#ORD-10698"/>
    <s v="2024-05-24"/>
    <s v="00:34:58"/>
    <s v="James Wright"/>
    <s v="james.wright4@gmail.com"/>
    <s v="+1-961-924-3106"/>
    <s v="San Jose"/>
    <s v="CA"/>
    <s v="United States"/>
    <s v="Sunscreen SPF 50 Face x1 | Yoga Mat Premium x2"/>
    <x v="0"/>
    <n v="2"/>
    <n v="88.97"/>
    <s v="LOYALTY5"/>
    <n v="4.45"/>
    <n v="0"/>
    <n v="8.4499999999999993"/>
    <n v="92.97"/>
    <x v="0"/>
    <x v="4"/>
    <x v="2"/>
    <s v="2024-05-26"/>
    <n v="0"/>
    <x v="4"/>
    <s v="Q2"/>
    <n v="84.52"/>
  </r>
  <r>
    <s v="#ORD-10699"/>
    <s v="2024-03-29"/>
    <s v="12:21:00"/>
    <s v="James Flores"/>
    <s v="james.flores50@gmail.com"/>
    <s v="+1-688-733-3791"/>
    <s v="San Jose"/>
    <s v="CA"/>
    <s v="United States"/>
    <s v="Running Shoes - Women's x1"/>
    <x v="5"/>
    <n v="1"/>
    <n v="69.989999999999995"/>
    <s v="None"/>
    <n v="0"/>
    <n v="4.99"/>
    <n v="5.6"/>
    <n v="80.58"/>
    <x v="5"/>
    <x v="5"/>
    <x v="0"/>
    <s v="2024-04-02"/>
    <n v="80.58"/>
    <x v="9"/>
    <s v="Q1"/>
    <n v="69.989999999999995"/>
  </r>
  <r>
    <s v="#ORD-10700"/>
    <s v="2024-05-25"/>
    <s v="09:18:43"/>
    <s v="Emily Martinez"/>
    <s v="emily.martinez65@gmail.com"/>
    <s v="+1-430-416-4382"/>
    <s v="Denver"/>
    <s v="CO"/>
    <s v="United States"/>
    <s v="Bamboo Sunglasses x1"/>
    <x v="2"/>
    <n v="1"/>
    <n v="24.99"/>
    <s v="None"/>
    <n v="0"/>
    <n v="9.99"/>
    <n v="1.75"/>
    <n v="36.729999999999997"/>
    <x v="5"/>
    <x v="3"/>
    <x v="2"/>
    <s v="2024-05-28"/>
    <n v="0"/>
    <x v="4"/>
    <s v="Q2"/>
    <n v="24.99"/>
  </r>
  <r>
    <s v="#ORD-10701"/>
    <s v="2024-09-09"/>
    <s v="10:24:28"/>
    <s v="Amelia Martinez"/>
    <s v="amelia.martinez78@outlook.com"/>
    <s v="+1-959-307-6956"/>
    <s v="Dallas"/>
    <s v="TX"/>
    <s v="United States"/>
    <s v="Stainless Steel Cookware Set x1"/>
    <x v="6"/>
    <n v="1"/>
    <n v="129.99"/>
    <s v="None"/>
    <n v="0"/>
    <n v="0"/>
    <n v="13"/>
    <n v="142.99"/>
    <x v="4"/>
    <x v="6"/>
    <x v="0"/>
    <s v="2024-09-11"/>
    <n v="142.99"/>
    <x v="11"/>
    <s v="Q3"/>
    <n v="129.99"/>
  </r>
  <r>
    <s v="#ORD-10702"/>
    <s v="2024-04-15"/>
    <s v="10:19:01"/>
    <s v="Olivia Sanchez"/>
    <s v="olivia.sanchez13@outlook.com"/>
    <s v="+1-906-766-5015"/>
    <s v="Oklahoma City"/>
    <s v="OK"/>
    <s v="United States"/>
    <s v="Coffee Maker Programmable x2 | Canvas Backpack 25L x2"/>
    <x v="6"/>
    <n v="2"/>
    <n v="219.96"/>
    <s v="None"/>
    <n v="0"/>
    <n v="0"/>
    <n v="18.7"/>
    <n v="238.66"/>
    <x v="1"/>
    <x v="3"/>
    <x v="2"/>
    <s v="2024-04-17"/>
    <n v="0"/>
    <x v="10"/>
    <s v="Q2"/>
    <n v="219.96"/>
  </r>
  <r>
    <s v="#ORD-10703"/>
    <s v="2024-04-17"/>
    <s v="18:16:08"/>
    <s v="Amelia Walker"/>
    <s v="amelia.walker6@yahoo.com"/>
    <s v="+1-799-879-8819"/>
    <s v="Philadelphia"/>
    <s v="PA"/>
    <s v="United States"/>
    <s v="Running Shoes - Women's x2"/>
    <x v="5"/>
    <n v="1"/>
    <n v="139.97999999999999"/>
    <s v="None"/>
    <n v="0"/>
    <n v="0"/>
    <n v="9.8000000000000007"/>
    <n v="149.78"/>
    <x v="5"/>
    <x v="3"/>
    <x v="2"/>
    <s v="2024-04-19"/>
    <n v="0"/>
    <x v="10"/>
    <s v="Q2"/>
    <n v="139.97999999999999"/>
  </r>
  <r>
    <s v="#ORD-10704"/>
    <s v="2024-09-03"/>
    <s v="04:25:45"/>
    <s v="Sebastian Miller"/>
    <s v="sebastian.miller7@gmail.com"/>
    <s v="+1-698-407-1157"/>
    <s v="Seattle"/>
    <s v="WA"/>
    <s v="United States"/>
    <s v="Stainless Steel Cookware Set x1"/>
    <x v="6"/>
    <n v="1"/>
    <n v="129.99"/>
    <s v="None"/>
    <n v="0"/>
    <n v="0"/>
    <n v="11.05"/>
    <n v="141.04"/>
    <x v="0"/>
    <x v="5"/>
    <x v="2"/>
    <s v="2024-09-08"/>
    <n v="0"/>
    <x v="11"/>
    <s v="Q3"/>
    <n v="129.99"/>
  </r>
  <r>
    <s v="#ORD-10705"/>
    <s v="2024-09-06"/>
    <s v="13:43:15"/>
    <s v="Daniel Lewis"/>
    <s v="daniel.lewis15@yahoo.com"/>
    <s v="+1-846-280-6384"/>
    <s v="Milwaukee"/>
    <s v="WI"/>
    <s v="United States"/>
    <s v="High-Waist Leggings x1"/>
    <x v="1"/>
    <n v="1"/>
    <n v="42.99"/>
    <s v="SUMMER20"/>
    <n v="8.6"/>
    <n v="4.99"/>
    <n v="2.75"/>
    <n v="42.13"/>
    <x v="6"/>
    <x v="0"/>
    <x v="3"/>
    <m/>
    <n v="0"/>
    <x v="11"/>
    <s v="Q3"/>
    <n v="34.39"/>
  </r>
  <r>
    <s v="#ORD-10706"/>
    <s v="2024-12-02"/>
    <s v="19:27:29"/>
    <s v="Scarlett Young"/>
    <s v="scarlett.young37@yahoo.com"/>
    <s v="+1-206-426-9348"/>
    <s v="San Francisco"/>
    <s v="CA"/>
    <s v="United States"/>
    <s v="Resistance Band Set x1 | Hiking Boots x1"/>
    <x v="3"/>
    <n v="2"/>
    <n v="134.97999999999999"/>
    <s v="SUMMER20"/>
    <n v="27"/>
    <n v="0"/>
    <n v="6.48"/>
    <n v="114.46"/>
    <x v="7"/>
    <x v="1"/>
    <x v="3"/>
    <m/>
    <n v="0"/>
    <x v="1"/>
    <s v="Q4"/>
    <n v="107.97999999999999"/>
  </r>
  <r>
    <s v="#ORD-10707"/>
    <s v="2024-06-16"/>
    <s v="18:40:15"/>
    <s v="Ella Allen"/>
    <s v="ella.allen23@gmail.com"/>
    <s v="+1-514-613-6003"/>
    <s v="Philadelphia"/>
    <s v="PA"/>
    <s v="United States"/>
    <s v="Smart LED Desk Lamp x2 | Bamboo Sunglasses x1"/>
    <x v="7"/>
    <n v="2"/>
    <n v="104.97"/>
    <s v="FLASH25"/>
    <n v="26.24"/>
    <n v="0"/>
    <n v="5.51"/>
    <n v="84.24"/>
    <x v="0"/>
    <x v="3"/>
    <x v="2"/>
    <s v="2024-06-18"/>
    <n v="0"/>
    <x v="3"/>
    <s v="Q2"/>
    <n v="78.73"/>
  </r>
  <r>
    <s v="#ORD-10708"/>
    <s v="2024-03-22"/>
    <s v="16:03:46"/>
    <s v="Abigail Wright"/>
    <s v="abigail.wright14@outlook.com"/>
    <s v="+1-869-709-7830"/>
    <s v="Indianapolis"/>
    <s v="IN"/>
    <s v="United States"/>
    <s v="Mechanical Keyboard x1 | Resistance Band Set x2"/>
    <x v="7"/>
    <n v="2"/>
    <n v="169.97"/>
    <s v="None"/>
    <n v="0"/>
    <n v="0"/>
    <n v="11.9"/>
    <n v="181.87"/>
    <x v="1"/>
    <x v="3"/>
    <x v="0"/>
    <s v="2024-03-26"/>
    <n v="181.87"/>
    <x v="9"/>
    <s v="Q1"/>
    <n v="169.97"/>
  </r>
  <r>
    <s v="#ORD-10709"/>
    <s v="2024-11-28"/>
    <s v="12:42:44"/>
    <s v="Elijah Anderson"/>
    <s v="elijah.anderson34@gmail.com"/>
    <s v="+1-205-880-7620"/>
    <s v="Tucson"/>
    <s v="AZ"/>
    <s v="United States"/>
    <s v="Insulated Water Bottle 32oz x1 | Mechanical Keyboard x1 | Yoga Mat Premium x2"/>
    <x v="3"/>
    <n v="3"/>
    <n v="217.96"/>
    <s v="SUMMER20"/>
    <n v="43.59"/>
    <n v="0"/>
    <n v="13.95"/>
    <n v="188.32"/>
    <x v="5"/>
    <x v="3"/>
    <x v="4"/>
    <m/>
    <n v="0"/>
    <x v="8"/>
    <s v="Q4"/>
    <n v="174.37"/>
  </r>
  <r>
    <s v="#ORD-10710"/>
    <s v="2024-10-24"/>
    <s v="21:24:40"/>
    <s v="Noah Clark"/>
    <s v="noah.clark83@outlook.com"/>
    <s v="+1-529-537-7265"/>
    <s v="Jacksonville"/>
    <s v="FL"/>
    <s v="United States"/>
    <s v="Denim Jacket x2"/>
    <x v="1"/>
    <n v="1"/>
    <n v="129.97999999999999"/>
    <s v="None"/>
    <n v="0"/>
    <n v="0"/>
    <n v="13"/>
    <n v="142.97999999999999"/>
    <x v="1"/>
    <x v="3"/>
    <x v="1"/>
    <s v="2024-10-25"/>
    <n v="0"/>
    <x v="7"/>
    <s v="Q4"/>
    <n v="129.97999999999999"/>
  </r>
  <r>
    <s v="#ORD-10711"/>
    <s v="2024-03-24"/>
    <s v="11:45:26"/>
    <s v="Abigail Torres"/>
    <s v="abigail.torres95@gmail.com"/>
    <s v="+1-247-899-7390"/>
    <s v="Seattle"/>
    <s v="WA"/>
    <s v="United States"/>
    <s v="Organic Green Tea 100ct x1 | Canvas Backpack 25L x1"/>
    <x v="9"/>
    <n v="2"/>
    <n v="69.98"/>
    <s v="None"/>
    <n v="0"/>
    <n v="7.99"/>
    <n v="7"/>
    <n v="84.97"/>
    <x v="5"/>
    <x v="4"/>
    <x v="3"/>
    <m/>
    <n v="0"/>
    <x v="9"/>
    <s v="Q1"/>
    <n v="69.98"/>
  </r>
  <r>
    <s v="#ORD-10712"/>
    <s v="2024-01-22"/>
    <s v="19:01:32"/>
    <s v="Michael Thomas"/>
    <s v="michael.thomas78@yahoo.com"/>
    <s v="+1-355-994-3464"/>
    <s v="Dallas"/>
    <s v="TX"/>
    <s v="United States"/>
    <s v="Hiking Boots x1 | Coffee Maker Programmable x3"/>
    <x v="5"/>
    <n v="2"/>
    <n v="274.95999999999998"/>
    <s v="None"/>
    <n v="0"/>
    <n v="0"/>
    <n v="23.37"/>
    <n v="298.33"/>
    <x v="0"/>
    <x v="4"/>
    <x v="1"/>
    <s v="2024-01-26"/>
    <n v="0"/>
    <x v="6"/>
    <s v="Q1"/>
    <n v="274.95999999999998"/>
  </r>
  <r>
    <s v="#ORD-10713"/>
    <s v="2024-05-07"/>
    <s v="07:42:35"/>
    <s v="Daniel Martin"/>
    <s v="daniel.martin26@yahoo.com"/>
    <s v="+1-569-891-8304"/>
    <s v="Denver"/>
    <s v="CO"/>
    <s v="United States"/>
    <s v="Classic Fit Polo Shirt x1 | Anti-Aging Serum 1oz x1"/>
    <x v="1"/>
    <n v="2"/>
    <n v="84.98"/>
    <s v="SAVE10"/>
    <n v="8.5"/>
    <n v="0"/>
    <n v="7.65"/>
    <n v="84.13"/>
    <x v="0"/>
    <x v="6"/>
    <x v="2"/>
    <s v="2024-05-10"/>
    <n v="0"/>
    <x v="4"/>
    <s v="Q2"/>
    <n v="76.48"/>
  </r>
  <r>
    <s v="#ORD-10714"/>
    <s v="2024-05-20"/>
    <s v="15:59:02"/>
    <s v="Lucas Lopez"/>
    <s v="lucas.lopez60@gmail.com"/>
    <s v="+1-857-520-8001"/>
    <s v="Austin"/>
    <s v="TX"/>
    <s v="United States"/>
    <s v="Anti-Aging Serum 1oz x3"/>
    <x v="0"/>
    <n v="1"/>
    <n v="149.97"/>
    <s v="SAVE10"/>
    <n v="15"/>
    <n v="0"/>
    <n v="10.8"/>
    <n v="145.77000000000001"/>
    <x v="1"/>
    <x v="1"/>
    <x v="2"/>
    <s v="2024-05-21"/>
    <n v="0"/>
    <x v="4"/>
    <s v="Q2"/>
    <n v="134.97"/>
  </r>
  <r>
    <s v="#ORD-10715"/>
    <s v="2024-07-17"/>
    <s v="22:37:29"/>
    <s v="Henry Allen"/>
    <s v="henry.allen7@yahoo.com"/>
    <s v="+1-778-194-2840"/>
    <s v="Louisville"/>
    <s v="KY"/>
    <s v="United States"/>
    <s v="Linen Throw Blanket x1"/>
    <x v="4"/>
    <n v="1"/>
    <n v="39.99"/>
    <s v="None"/>
    <n v="0"/>
    <n v="7.99"/>
    <n v="3.6"/>
    <n v="51.58"/>
    <x v="5"/>
    <x v="0"/>
    <x v="2"/>
    <s v="2024-07-18"/>
    <n v="0"/>
    <x v="2"/>
    <s v="Q3"/>
    <n v="39.99"/>
  </r>
  <r>
    <s v="#ORD-10716"/>
    <s v="2024-12-24"/>
    <s v="06:17:38"/>
    <s v="Grace Hernandez"/>
    <s v="grace.hernandez66@yahoo.com"/>
    <s v="+1-274-286-6567"/>
    <s v="Louisville"/>
    <s v="KY"/>
    <s v="United States"/>
    <s v="Essential Oil Diffuser x2 | Running Shoes - Women's x2"/>
    <x v="4"/>
    <n v="2"/>
    <n v="205.96"/>
    <s v="WELCOME15"/>
    <n v="30.89"/>
    <n v="0"/>
    <n v="14.01"/>
    <n v="189.08"/>
    <x v="5"/>
    <x v="2"/>
    <x v="2"/>
    <s v="2024-12-27"/>
    <n v="0"/>
    <x v="1"/>
    <s v="Q4"/>
    <n v="175.07"/>
  </r>
  <r>
    <s v="#ORD-10717"/>
    <s v="2024-12-11"/>
    <s v="09:46:50"/>
    <s v="Sebastian Wright"/>
    <s v="sebastian.wright89@outlook.com"/>
    <s v="+1-428-698-6351"/>
    <s v="Memphis"/>
    <s v="TN"/>
    <s v="United States"/>
    <s v="Linen Throw Blanket x1"/>
    <x v="4"/>
    <n v="1"/>
    <n v="39.99"/>
    <s v="LOYALTY5"/>
    <n v="2"/>
    <n v="9.99"/>
    <n v="2.2799999999999998"/>
    <n v="50.26"/>
    <x v="0"/>
    <x v="3"/>
    <x v="2"/>
    <s v="2024-12-14"/>
    <n v="0"/>
    <x v="1"/>
    <s v="Q4"/>
    <n v="37.99"/>
  </r>
  <r>
    <s v="#ORD-10718"/>
    <s v="2024-11-15"/>
    <s v="01:09:56"/>
    <s v="Grace Walker"/>
    <s v="grace.walker86@gmail.com"/>
    <s v="+1-226-646-1646"/>
    <s v="Oklahoma City"/>
    <s v="OK"/>
    <s v="United States"/>
    <s v="Insulated Water Bottle 32oz x2 | Leather Wallet Slim x2"/>
    <x v="3"/>
    <n v="2"/>
    <n v="115.96"/>
    <s v="None"/>
    <n v="0"/>
    <n v="0"/>
    <n v="8.1199999999999992"/>
    <n v="124.08"/>
    <x v="6"/>
    <x v="3"/>
    <x v="2"/>
    <s v="2024-11-16"/>
    <n v="0"/>
    <x v="8"/>
    <s v="Q4"/>
    <n v="115.96"/>
  </r>
  <r>
    <s v="#ORD-10719"/>
    <s v="2024-05-02"/>
    <s v="11:08:48"/>
    <s v="Isabella Scott"/>
    <s v="isabella.scott9@gmail.com"/>
    <s v="+1-326-954-7145"/>
    <s v="Jacksonville"/>
    <s v="FL"/>
    <s v="United States"/>
    <s v="Anti-Aging Serum 1oz x1 | Running Shoes - Women's x1 | Yoga Mat Premium x3 | Running Shoes - Men's x1"/>
    <x v="0"/>
    <n v="4"/>
    <n v="299.94"/>
    <s v="SAVE10"/>
    <n v="29.99"/>
    <n v="0"/>
    <n v="16.2"/>
    <n v="286.14999999999998"/>
    <x v="0"/>
    <x v="2"/>
    <x v="3"/>
    <m/>
    <n v="0"/>
    <x v="4"/>
    <s v="Q2"/>
    <n v="269.95"/>
  </r>
  <r>
    <s v="#ORD-10720"/>
    <s v="2024-01-20"/>
    <s v="02:42:37"/>
    <s v="Liam Robinson"/>
    <s v="liam.robinson96@yahoo.com"/>
    <s v="+1-366-874-4434"/>
    <s v="Milwaukee"/>
    <s v="WI"/>
    <s v="United States"/>
    <s v="Protein Powder Chocolate 2lb x1"/>
    <x v="8"/>
    <n v="1"/>
    <n v="44.99"/>
    <s v="WELCOME15"/>
    <n v="6.75"/>
    <n v="4.99"/>
    <n v="2.29"/>
    <n v="45.52"/>
    <x v="7"/>
    <x v="5"/>
    <x v="0"/>
    <s v="2024-01-21"/>
    <n v="45.52"/>
    <x v="6"/>
    <s v="Q1"/>
    <n v="38.24"/>
  </r>
  <r>
    <s v="#ORD-10721"/>
    <s v="2024-05-03"/>
    <s v="01:31:54"/>
    <s v="Mason Allen"/>
    <s v="mason.allen78@gmail.com"/>
    <s v="+1-216-107-7226"/>
    <s v="Portland"/>
    <s v="OR"/>
    <s v="United States"/>
    <s v="Running Shoes - Women's x3"/>
    <x v="5"/>
    <n v="1"/>
    <n v="209.97"/>
    <s v="FLASH25"/>
    <n v="52.49"/>
    <n v="0"/>
    <n v="12.6"/>
    <n v="170.08"/>
    <x v="5"/>
    <x v="5"/>
    <x v="3"/>
    <m/>
    <n v="0"/>
    <x v="4"/>
    <s v="Q2"/>
    <n v="157.47999999999999"/>
  </r>
  <r>
    <s v="#ORD-10722"/>
    <s v="2024-04-30"/>
    <s v="09:14:20"/>
    <s v="Sofia Sanchez"/>
    <s v="sofia.sanchez13@gmail.com"/>
    <s v="+1-344-967-5079"/>
    <s v="Milwaukee"/>
    <s v="WI"/>
    <s v="United States"/>
    <s v="Multivitamin Daily Pack x1 | Canvas Backpack 25L x3 | Essential Oil Diffuser x1"/>
    <x v="8"/>
    <n v="3"/>
    <n v="217.95"/>
    <s v="WELCOME15"/>
    <n v="32.69"/>
    <n v="0"/>
    <n v="15.75"/>
    <n v="201.01"/>
    <x v="0"/>
    <x v="1"/>
    <x v="1"/>
    <s v="2024-05-01"/>
    <n v="0"/>
    <x v="10"/>
    <s v="Q2"/>
    <n v="185.26"/>
  </r>
  <r>
    <s v="#ORD-10723"/>
    <s v="2024-07-01"/>
    <s v="10:58:18"/>
    <s v="Logan Nguyen"/>
    <s v="logan.nguyen17@yahoo.com"/>
    <s v="+1-355-859-3975"/>
    <s v="New York"/>
    <s v="NY"/>
    <s v="United States"/>
    <s v="Portable Bluetooth Speaker x1 | Scented Soy Candle Set x2 | High-Waist Leggings x1"/>
    <x v="7"/>
    <n v="3"/>
    <n v="138.96"/>
    <s v="LOYALTY5"/>
    <n v="6.95"/>
    <n v="0"/>
    <n v="11.22"/>
    <n v="143.22999999999999"/>
    <x v="6"/>
    <x v="5"/>
    <x v="2"/>
    <s v="2024-07-06"/>
    <n v="0"/>
    <x v="2"/>
    <s v="Q3"/>
    <n v="132.01000000000002"/>
  </r>
  <r>
    <s v="#ORD-10724"/>
    <s v="2024-03-20"/>
    <s v="06:08:04"/>
    <s v="Alexander Davis"/>
    <s v="alexander.davis21@gmail.com"/>
    <s v="+1-235-852-3364"/>
    <s v="Louisville"/>
    <s v="KY"/>
    <s v="United States"/>
    <s v="Essential Oil Diffuser x1"/>
    <x v="4"/>
    <n v="1"/>
    <n v="32.99"/>
    <s v="SAVE10"/>
    <n v="3.3"/>
    <n v="7.99"/>
    <n v="1.78"/>
    <n v="39.46"/>
    <x v="6"/>
    <x v="3"/>
    <x v="3"/>
    <m/>
    <n v="0"/>
    <x v="9"/>
    <s v="Q1"/>
    <n v="29.69"/>
  </r>
  <r>
    <s v="#ORD-10725"/>
    <s v="2024-03-06"/>
    <s v="22:05:37"/>
    <s v="Sofia Williams"/>
    <s v="sofia.williams49@outlook.com"/>
    <s v="+1-675-525-9793"/>
    <s v="Seattle"/>
    <s v="WA"/>
    <s v="United States"/>
    <s v="Wireless Noise-Cancelling Headphones x1"/>
    <x v="7"/>
    <n v="1"/>
    <n v="89.99"/>
    <s v="None"/>
    <n v="0"/>
    <n v="0"/>
    <n v="5.4"/>
    <n v="95.39"/>
    <x v="5"/>
    <x v="3"/>
    <x v="3"/>
    <m/>
    <n v="0"/>
    <x v="9"/>
    <s v="Q1"/>
    <n v="89.99"/>
  </r>
  <r>
    <s v="#ORD-10726"/>
    <s v="2024-07-03"/>
    <s v="22:54:39"/>
    <s v="Avery Rodriguez"/>
    <s v="avery.rodriguez78@yahoo.com"/>
    <s v="+1-966-951-4215"/>
    <s v="Milwaukee"/>
    <s v="WI"/>
    <s v="United States"/>
    <s v="Leather Wallet Slim x1 | Hiking Boots x1"/>
    <x v="2"/>
    <n v="2"/>
    <n v="139.97999999999999"/>
    <s v="SAVE10"/>
    <n v="14"/>
    <n v="0"/>
    <n v="11.34"/>
    <n v="137.32"/>
    <x v="1"/>
    <x v="3"/>
    <x v="3"/>
    <m/>
    <n v="0"/>
    <x v="2"/>
    <s v="Q3"/>
    <n v="125.97999999999999"/>
  </r>
  <r>
    <s v="#ORD-10727"/>
    <s v="2024-09-13"/>
    <s v="00:16:54"/>
    <s v="Isabella Anderson"/>
    <s v="isabella.anderson17@yahoo.com"/>
    <s v="+1-536-827-8571"/>
    <s v="San Francisco"/>
    <s v="CA"/>
    <s v="United States"/>
    <s v="Smart LED Desk Lamp x2"/>
    <x v="7"/>
    <n v="1"/>
    <n v="79.98"/>
    <s v="SAVE10"/>
    <n v="8"/>
    <n v="0"/>
    <n v="6.48"/>
    <n v="78.459999999999994"/>
    <x v="0"/>
    <x v="3"/>
    <x v="2"/>
    <s v="2024-09-16"/>
    <n v="0"/>
    <x v="11"/>
    <s v="Q3"/>
    <n v="71.98"/>
  </r>
  <r>
    <s v="#ORD-10728"/>
    <s v="2024-12-15"/>
    <s v="08:14:49"/>
    <s v="Daniel Wright"/>
    <s v="daniel.wright74@yahoo.com"/>
    <s v="+1-386-114-3342"/>
    <s v="San Francisco"/>
    <s v="CA"/>
    <s v="United States"/>
    <s v="Multivitamin Daily Pack x1"/>
    <x v="8"/>
    <n v="1"/>
    <n v="19.989999999999998"/>
    <s v="None"/>
    <n v="0"/>
    <n v="4.99"/>
    <n v="2"/>
    <n v="26.98"/>
    <x v="2"/>
    <x v="3"/>
    <x v="2"/>
    <s v="2024-12-17"/>
    <n v="0"/>
    <x v="1"/>
    <s v="Q4"/>
    <n v="19.989999999999998"/>
  </r>
  <r>
    <s v="#ORD-10729"/>
    <s v="2024-08-10"/>
    <s v="04:14:05"/>
    <s v="Olivia Thomas"/>
    <s v="olivia.thomas51@gmail.com"/>
    <s v="+1-650-220-5576"/>
    <s v="Philadelphia"/>
    <s v="PA"/>
    <s v="United States"/>
    <s v="Canvas Backpack 25L x1 | Insulated Water Bottle 32oz x2"/>
    <x v="2"/>
    <n v="2"/>
    <n v="110.97"/>
    <s v="LOYALTY5"/>
    <n v="5.55"/>
    <n v="0"/>
    <n v="8.9600000000000009"/>
    <n v="114.38"/>
    <x v="5"/>
    <x v="3"/>
    <x v="2"/>
    <s v="2024-08-15"/>
    <n v="0"/>
    <x v="5"/>
    <s v="Q3"/>
    <n v="105.42"/>
  </r>
  <r>
    <s v="#ORD-10730"/>
    <s v="2024-11-09"/>
    <s v="09:40:40"/>
    <s v="Scarlett Perez"/>
    <s v="scarlett.perez24@gmail.com"/>
    <s v="+1-329-196-4721"/>
    <s v="Austin"/>
    <s v="TX"/>
    <s v="United States"/>
    <s v="Classic Fit Polo Shirt x1 | Coffee Maker Programmable x1 | Organic Green Tea 100ct x1"/>
    <x v="1"/>
    <n v="3"/>
    <n v="104.97"/>
    <s v="FLASH25"/>
    <n v="26.24"/>
    <n v="0"/>
    <n v="6.3"/>
    <n v="85.03"/>
    <x v="0"/>
    <x v="3"/>
    <x v="2"/>
    <s v="2024-11-14"/>
    <n v="0"/>
    <x v="8"/>
    <s v="Q4"/>
    <n v="78.73"/>
  </r>
  <r>
    <s v="#ORD-10731"/>
    <s v="2024-05-15"/>
    <s v="00:05:34"/>
    <s v="Sebastian Davis"/>
    <s v="sebastian.davis71@yahoo.com"/>
    <s v="+1-345-960-4634"/>
    <s v="Houston"/>
    <s v="TX"/>
    <s v="United States"/>
    <s v="Multivitamin Daily Pack x1"/>
    <x v="8"/>
    <n v="1"/>
    <n v="19.989999999999998"/>
    <s v="None"/>
    <n v="0"/>
    <n v="5.99"/>
    <n v="1.7"/>
    <n v="27.68"/>
    <x v="6"/>
    <x v="2"/>
    <x v="0"/>
    <s v="2024-05-17"/>
    <n v="27.68"/>
    <x v="4"/>
    <s v="Q2"/>
    <n v="19.989999999999998"/>
  </r>
  <r>
    <s v="#ORD-10732"/>
    <s v="2024-08-21"/>
    <s v="09:07:56"/>
    <s v="Liam Gonzalez"/>
    <s v="liam.gonzalez96@gmail.com"/>
    <s v="+1-302-796-3713"/>
    <s v="Portland"/>
    <s v="OR"/>
    <s v="United States"/>
    <s v="Linen Throw Blanket x1 | Canvas Backpack 25L x2 | Air Fryer 5.8Qt x1"/>
    <x v="4"/>
    <n v="3"/>
    <n v="229.96"/>
    <s v="None"/>
    <n v="0"/>
    <n v="0"/>
    <n v="23"/>
    <n v="252.96"/>
    <x v="2"/>
    <x v="5"/>
    <x v="1"/>
    <s v="2024-08-23"/>
    <n v="0"/>
    <x v="5"/>
    <s v="Q3"/>
    <n v="229.96"/>
  </r>
  <r>
    <s v="#ORD-10733"/>
    <s v="2024-08-24"/>
    <s v="18:29:41"/>
    <s v="Benjamin Anderson"/>
    <s v="benjamin.anderson97@outlook.com"/>
    <s v="+1-679-429-3230"/>
    <s v="Baltimore"/>
    <s v="MD"/>
    <s v="United States"/>
    <s v="Running Shoes - Women's x1"/>
    <x v="5"/>
    <n v="1"/>
    <n v="69.989999999999995"/>
    <s v="WELCOME15"/>
    <n v="10.5"/>
    <n v="7.99"/>
    <n v="5.0599999999999996"/>
    <n v="72.540000000000006"/>
    <x v="2"/>
    <x v="7"/>
    <x v="3"/>
    <m/>
    <n v="0"/>
    <x v="5"/>
    <s v="Q3"/>
    <n v="59.489999999999995"/>
  </r>
  <r>
    <s v="#ORD-10734"/>
    <s v="2024-03-22"/>
    <s v="01:44:08"/>
    <s v="Aiden Smith"/>
    <s v="aiden.smith33@outlook.com"/>
    <s v="+1-805-298-5072"/>
    <s v="Chicago"/>
    <s v="IL"/>
    <s v="United States"/>
    <s v="Scented Soy Candle Set x1 | USB-C Fast Charger 65W x1 | Portable Bluetooth Speaker x2 | Classic Fit Polo Shirt x2"/>
    <x v="4"/>
    <n v="4"/>
    <n v="222.94"/>
    <s v="None"/>
    <n v="0"/>
    <n v="0"/>
    <n v="18.95"/>
    <n v="241.89"/>
    <x v="6"/>
    <x v="0"/>
    <x v="4"/>
    <m/>
    <n v="0"/>
    <x v="9"/>
    <s v="Q1"/>
    <n v="222.94"/>
  </r>
  <r>
    <s v="#ORD-10735"/>
    <s v="2024-06-04"/>
    <s v="21:41:49"/>
    <s v="Emily Jones"/>
    <s v="emily.jones36@gmail.com"/>
    <s v="+1-852-220-9529"/>
    <s v="San Diego"/>
    <s v="CA"/>
    <s v="United States"/>
    <s v="Men's Grooming Kit x1"/>
    <x v="0"/>
    <n v="1"/>
    <n v="35.99"/>
    <s v="None"/>
    <n v="0"/>
    <n v="5.99"/>
    <n v="3.06"/>
    <n v="45.04"/>
    <x v="0"/>
    <x v="3"/>
    <x v="1"/>
    <s v="2024-06-05"/>
    <n v="0"/>
    <x v="3"/>
    <s v="Q2"/>
    <n v="35.99"/>
  </r>
  <r>
    <s v="#ORD-10736"/>
    <s v="2024-09-13"/>
    <s v="11:34:26"/>
    <s v="Aiden Wright"/>
    <s v="aiden.wright99@yahoo.com"/>
    <s v="+1-241-490-5185"/>
    <s v="Houston"/>
    <s v="TX"/>
    <s v="United States"/>
    <s v="Denim Jacket x1"/>
    <x v="1"/>
    <n v="1"/>
    <n v="64.989999999999995"/>
    <s v="LOYALTY5"/>
    <n v="3.25"/>
    <n v="9.99"/>
    <n v="4.32"/>
    <n v="76.05"/>
    <x v="0"/>
    <x v="7"/>
    <x v="1"/>
    <s v="2024-09-16"/>
    <n v="0"/>
    <x v="11"/>
    <s v="Q3"/>
    <n v="61.739999999999995"/>
  </r>
  <r>
    <s v="#ORD-10737"/>
    <s v="2024-10-02"/>
    <s v="15:26:56"/>
    <s v="Mason Walker"/>
    <s v="mason.walker75@gmail.com"/>
    <s v="+1-880-606-8085"/>
    <s v="Columbus"/>
    <s v="OH"/>
    <s v="United States"/>
    <s v="High-Waist Leggings x2 | Stainless Steel Cookware Set x1"/>
    <x v="1"/>
    <n v="2"/>
    <n v="215.97"/>
    <s v="None"/>
    <n v="0"/>
    <n v="0"/>
    <n v="12.96"/>
    <n v="228.93"/>
    <x v="3"/>
    <x v="0"/>
    <x v="1"/>
    <s v="2024-10-04"/>
    <n v="0"/>
    <x v="7"/>
    <s v="Q4"/>
    <n v="215.97"/>
  </r>
  <r>
    <s v="#ORD-10738"/>
    <s v="2024-10-08"/>
    <s v="04:39:25"/>
    <s v="Sofia Brown"/>
    <s v="sofia.brown14@yahoo.com"/>
    <s v="+1-448-699-9109"/>
    <s v="Oklahoma City"/>
    <s v="OK"/>
    <s v="United States"/>
    <s v="Leather Wallet Slim x1 | Hiking Boots x1 | Essential Oil Diffuser x2"/>
    <x v="2"/>
    <n v="3"/>
    <n v="205.96"/>
    <s v="SAVE10"/>
    <n v="20.6"/>
    <n v="0"/>
    <n v="11.12"/>
    <n v="196.48"/>
    <x v="0"/>
    <x v="4"/>
    <x v="3"/>
    <m/>
    <n v="0"/>
    <x v="7"/>
    <s v="Q4"/>
    <n v="185.36"/>
  </r>
  <r>
    <s v="#ORD-10739"/>
    <s v="2024-10-30"/>
    <s v="06:43:11"/>
    <s v="Amelia Hill"/>
    <s v="amelia.hill86@gmail.com"/>
    <s v="+1-297-220-4909"/>
    <s v="Columbus"/>
    <s v="OH"/>
    <s v="United States"/>
    <s v="Stainless Steel Cookware Set x2 | Coffee Maker Programmable x1 | Scented Soy Candle Set x1"/>
    <x v="6"/>
    <n v="3"/>
    <n v="337.96"/>
    <s v="WELCOME15"/>
    <n v="50.69"/>
    <n v="0"/>
    <n v="17.239999999999998"/>
    <n v="304.51"/>
    <x v="1"/>
    <x v="0"/>
    <x v="2"/>
    <s v="2024-11-04"/>
    <n v="0"/>
    <x v="7"/>
    <s v="Q4"/>
    <n v="287.27"/>
  </r>
  <r>
    <s v="#ORD-10740"/>
    <s v="2024-06-01"/>
    <s v="21:58:13"/>
    <s v="Alexander Hill"/>
    <s v="alexander.hill91@yahoo.com"/>
    <s v="+1-843-862-8074"/>
    <s v="El Paso"/>
    <s v="TX"/>
    <s v="United States"/>
    <s v="Portable Bluetooth Speaker x1 | Insulated Water Bottle 32oz x1"/>
    <x v="7"/>
    <n v="2"/>
    <n v="77.98"/>
    <s v="SUMMER20"/>
    <n v="15.6"/>
    <n v="0"/>
    <n v="5.61"/>
    <n v="67.989999999999995"/>
    <x v="4"/>
    <x v="3"/>
    <x v="4"/>
    <m/>
    <n v="0"/>
    <x v="3"/>
    <s v="Q2"/>
    <n v="62.38"/>
  </r>
  <r>
    <s v="#ORD-10741"/>
    <s v="2024-05-07"/>
    <s v="18:09:01"/>
    <s v="Liam Wilson"/>
    <s v="liam.wilson24@gmail.com"/>
    <s v="+1-483-556-1783"/>
    <s v="Denver"/>
    <s v="CO"/>
    <s v="United States"/>
    <s v="Bamboo Sunglasses x1"/>
    <x v="2"/>
    <n v="1"/>
    <n v="24.99"/>
    <s v="None"/>
    <n v="0"/>
    <n v="9.99"/>
    <n v="2"/>
    <n v="36.979999999999997"/>
    <x v="5"/>
    <x v="4"/>
    <x v="1"/>
    <s v="2024-05-09"/>
    <n v="0"/>
    <x v="4"/>
    <s v="Q2"/>
    <n v="24.99"/>
  </r>
  <r>
    <s v="#ORD-10742"/>
    <s v="2024-11-04"/>
    <s v="05:16:13"/>
    <s v="Abigail Walker"/>
    <s v="abigail.walker82@gmail.com"/>
    <s v="+1-711-977-2456"/>
    <s v="Boston"/>
    <s v="MA"/>
    <s v="United States"/>
    <s v="Coffee Maker Programmable x2"/>
    <x v="6"/>
    <n v="1"/>
    <n v="109.98"/>
    <s v="FLASH25"/>
    <n v="27.5"/>
    <n v="0"/>
    <n v="8.25"/>
    <n v="90.73"/>
    <x v="0"/>
    <x v="5"/>
    <x v="1"/>
    <s v="2024-11-06"/>
    <n v="0"/>
    <x v="8"/>
    <s v="Q4"/>
    <n v="82.48"/>
  </r>
  <r>
    <s v="#ORD-10743"/>
    <s v="2024-03-29"/>
    <s v="09:06:53"/>
    <s v="Muhammad Thompson"/>
    <s v="muhammad.thompson69@outlook.com"/>
    <s v="+1-407-371-8953"/>
    <s v="Nashville"/>
    <s v="TN"/>
    <s v="United States"/>
    <s v="Yoga Mat Premium x1"/>
    <x v="3"/>
    <n v="1"/>
    <n v="34.99"/>
    <s v="None"/>
    <n v="0"/>
    <n v="9.99"/>
    <n v="2.8"/>
    <n v="47.78"/>
    <x v="1"/>
    <x v="0"/>
    <x v="4"/>
    <m/>
    <n v="0"/>
    <x v="9"/>
    <s v="Q1"/>
    <n v="34.99"/>
  </r>
  <r>
    <s v="#ORD-10744"/>
    <s v="2024-03-06"/>
    <s v="10:56:11"/>
    <s v="Emily Perez"/>
    <s v="emily.perez57@outlook.com"/>
    <s v="+1-295-192-7629"/>
    <s v="Louisville"/>
    <s v="KY"/>
    <s v="United States"/>
    <s v="Smart LED Desk Lamp x1"/>
    <x v="7"/>
    <n v="1"/>
    <n v="39.99"/>
    <s v="SAVE10"/>
    <n v="4"/>
    <n v="7.99"/>
    <n v="3.24"/>
    <n v="47.22"/>
    <x v="5"/>
    <x v="3"/>
    <x v="2"/>
    <s v="2024-03-08"/>
    <n v="0"/>
    <x v="9"/>
    <s v="Q1"/>
    <n v="35.99"/>
  </r>
  <r>
    <s v="#ORD-10745"/>
    <s v="2024-12-23"/>
    <s v="18:44:59"/>
    <s v="Harper Martinez"/>
    <s v="harper.martinez44@yahoo.com"/>
    <s v="+1-241-351-9978"/>
    <s v="Boston"/>
    <s v="MA"/>
    <s v="United States"/>
    <s v="Canvas Backpack 25L x3"/>
    <x v="2"/>
    <n v="1"/>
    <n v="164.97"/>
    <s v="SAVE10"/>
    <n v="16.5"/>
    <n v="0"/>
    <n v="13.36"/>
    <n v="161.83000000000001"/>
    <x v="1"/>
    <x v="3"/>
    <x v="2"/>
    <s v="2024-12-27"/>
    <n v="0"/>
    <x v="1"/>
    <s v="Q4"/>
    <n v="148.47"/>
  </r>
  <r>
    <s v="#ORD-10746"/>
    <s v="2024-09-26"/>
    <s v="22:36:24"/>
    <s v="James Moore"/>
    <s v="james.moore64@gmail.com"/>
    <s v="+1-390-968-9496"/>
    <s v="New York"/>
    <s v="NY"/>
    <s v="United States"/>
    <s v="Casual Sneakers x1 | Leather Wallet Slim x1 | Organic Green Tea 100ct x1 | Essential Oil Diffuser x1 | High-Waist Leggings x1"/>
    <x v="5"/>
    <n v="5"/>
    <n v="180.95"/>
    <s v="SUMMER20"/>
    <n v="36.19"/>
    <n v="0"/>
    <n v="12.3"/>
    <n v="157.06"/>
    <x v="1"/>
    <x v="7"/>
    <x v="2"/>
    <s v="2024-09-30"/>
    <n v="0"/>
    <x v="11"/>
    <s v="Q3"/>
    <n v="144.76"/>
  </r>
  <r>
    <s v="#ORD-10747"/>
    <s v="2024-10-17"/>
    <s v="00:36:47"/>
    <s v="Daniel Sanchez"/>
    <s v="daniel.sanchez74@outlook.com"/>
    <s v="+1-753-465-2262"/>
    <s v="Oklahoma City"/>
    <s v="OK"/>
    <s v="United States"/>
    <s v="High-Waist Leggings x3"/>
    <x v="1"/>
    <n v="1"/>
    <n v="128.97"/>
    <s v="SAVE10"/>
    <n v="12.9"/>
    <n v="0"/>
    <n v="9.8699999999999992"/>
    <n v="125.94"/>
    <x v="5"/>
    <x v="2"/>
    <x v="2"/>
    <s v="2024-10-20"/>
    <n v="0"/>
    <x v="7"/>
    <s v="Q4"/>
    <n v="116.07"/>
  </r>
  <r>
    <s v="#ORD-10748"/>
    <s v="2024-07-28"/>
    <s v="01:05:26"/>
    <s v="Isabella Lee"/>
    <s v="isabella.lee90@gmail.com"/>
    <s v="+1-934-818-4669"/>
    <s v="Milwaukee"/>
    <s v="WI"/>
    <s v="United States"/>
    <s v="Smart LED Desk Lamp x2 | Bamboo Sunglasses x1"/>
    <x v="7"/>
    <n v="2"/>
    <n v="104.97"/>
    <s v="SUMMER20"/>
    <n v="20.99"/>
    <n v="0"/>
    <n v="7.56"/>
    <n v="91.54"/>
    <x v="0"/>
    <x v="6"/>
    <x v="2"/>
    <s v="2024-07-31"/>
    <n v="0"/>
    <x v="2"/>
    <s v="Q3"/>
    <n v="83.98"/>
  </r>
  <r>
    <s v="#ORD-10749"/>
    <s v="2024-06-19"/>
    <s v="01:15:11"/>
    <s v="Sebastian Moore"/>
    <s v="sebastian.moore7@gmail.com"/>
    <s v="+1-923-251-2044"/>
    <s v="Denver"/>
    <s v="CO"/>
    <s v="United States"/>
    <s v="Multivitamin Daily Pack x3 | USB-C Fast Charger 65W x1"/>
    <x v="8"/>
    <n v="2"/>
    <n v="89.96"/>
    <s v="FLASH25"/>
    <n v="22.49"/>
    <n v="0"/>
    <n v="5.73"/>
    <n v="73.2"/>
    <x v="1"/>
    <x v="3"/>
    <x v="1"/>
    <s v="2024-06-23"/>
    <n v="0"/>
    <x v="3"/>
    <s v="Q2"/>
    <n v="67.47"/>
  </r>
  <r>
    <s v="#ORD-10750"/>
    <s v="2024-10-09"/>
    <s v="15:13:10"/>
    <s v="Emily Jones"/>
    <s v="emily.jones36@outlook.com"/>
    <s v="+1-438-683-9322"/>
    <s v="Portland"/>
    <s v="OR"/>
    <s v="United States"/>
    <s v="Scented Soy Candle Set x1"/>
    <x v="4"/>
    <n v="1"/>
    <n v="22.99"/>
    <s v="None"/>
    <n v="0"/>
    <n v="9.99"/>
    <n v="1.61"/>
    <n v="34.590000000000003"/>
    <x v="1"/>
    <x v="3"/>
    <x v="2"/>
    <s v="2024-10-12"/>
    <n v="0"/>
    <x v="7"/>
    <s v="Q4"/>
    <n v="22.99"/>
  </r>
  <r>
    <s v="#ORD-10751"/>
    <s v="2024-12-01"/>
    <s v="01:15:51"/>
    <s v="Sofia Martinez"/>
    <s v="sofia.martinez70@outlook.com"/>
    <s v="+1-454-715-3938"/>
    <s v="Memphis"/>
    <s v="TN"/>
    <s v="United States"/>
    <s v="Scented Soy Candle Set x1"/>
    <x v="4"/>
    <n v="1"/>
    <n v="22.99"/>
    <s v="SAVE10"/>
    <n v="2.2999999999999998"/>
    <n v="4.99"/>
    <n v="1.24"/>
    <n v="26.92"/>
    <x v="1"/>
    <x v="5"/>
    <x v="2"/>
    <s v="2024-12-03"/>
    <n v="0"/>
    <x v="1"/>
    <s v="Q4"/>
    <n v="20.689999999999998"/>
  </r>
  <r>
    <s v="#ORD-10752"/>
    <s v="2024-02-06"/>
    <s v="13:38:53"/>
    <s v="Logan Johnson"/>
    <s v="logan.johnson64@yahoo.com"/>
    <s v="+1-458-611-2486"/>
    <s v="Oklahoma City"/>
    <s v="OK"/>
    <s v="United States"/>
    <s v="Linen Throw Blanket x2 | Sunscreen SPF 50 Face x1 | Anti-Aging Serum 1oz x1 | Protein Powder Chocolate 2lb x2"/>
    <x v="4"/>
    <n v="4"/>
    <n v="238.94"/>
    <s v="None"/>
    <n v="0"/>
    <n v="0"/>
    <n v="14.34"/>
    <n v="253.28"/>
    <x v="0"/>
    <x v="3"/>
    <x v="4"/>
    <m/>
    <n v="0"/>
    <x v="0"/>
    <s v="Q1"/>
    <n v="238.94"/>
  </r>
  <r>
    <s v="#ORD-10753"/>
    <s v="2024-09-08"/>
    <s v="08:34:36"/>
    <s v="Logan Taylor"/>
    <s v="logan.taylor26@gmail.com"/>
    <s v="+1-741-112-1076"/>
    <s v="Fort Worth"/>
    <s v="TX"/>
    <s v="United States"/>
    <s v="Resistance Band Set x2 | Organic Green Tea 100ct x1"/>
    <x v="3"/>
    <n v="2"/>
    <n v="64.97"/>
    <s v="None"/>
    <n v="0"/>
    <n v="4.99"/>
    <n v="5.85"/>
    <n v="75.81"/>
    <x v="0"/>
    <x v="3"/>
    <x v="2"/>
    <s v="2024-09-09"/>
    <n v="0"/>
    <x v="11"/>
    <s v="Q3"/>
    <n v="64.97"/>
  </r>
  <r>
    <s v="#ORD-10754"/>
    <s v="2024-05-25"/>
    <s v="13:43:29"/>
    <s v="Abigail Harris"/>
    <s v="abigail.harris4@outlook.com"/>
    <s v="+1-381-551-3908"/>
    <s v="San Jose"/>
    <s v="CA"/>
    <s v="United States"/>
    <s v="Running Shoes - Men's x1 | Running Shoes - Women's x1 | Essential Oil Diffuser x1"/>
    <x v="5"/>
    <n v="3"/>
    <n v="177.97"/>
    <s v="SAVE10"/>
    <n v="17.8"/>
    <n v="0"/>
    <n v="9.61"/>
    <n v="169.78"/>
    <x v="4"/>
    <x v="2"/>
    <x v="1"/>
    <s v="2024-05-30"/>
    <n v="0"/>
    <x v="4"/>
    <s v="Q2"/>
    <n v="160.16999999999999"/>
  </r>
  <r>
    <s v="#ORD-10755"/>
    <s v="2024-01-16"/>
    <s v="01:24:08"/>
    <s v="Scarlett Martinez"/>
    <s v="scarlett.martinez57@gmail.com"/>
    <s v="+1-545-565-9978"/>
    <s v="Baltimore"/>
    <s v="MD"/>
    <s v="United States"/>
    <s v="Leather Wallet Slim x1 | High-Waist Leggings x1 | Smart LED Desk Lamp x1 | Bamboo Sunglasses x1"/>
    <x v="2"/>
    <n v="4"/>
    <n v="137.96"/>
    <s v="FLASH25"/>
    <n v="34.49"/>
    <n v="0"/>
    <n v="7.24"/>
    <n v="110.71"/>
    <x v="2"/>
    <x v="5"/>
    <x v="2"/>
    <s v="2024-01-21"/>
    <n v="0"/>
    <x v="6"/>
    <s v="Q1"/>
    <n v="103.47"/>
  </r>
  <r>
    <s v="#ORD-10756"/>
    <s v="2024-05-22"/>
    <s v="00:30:38"/>
    <s v="Elizabeth Robinson"/>
    <s v="elizabeth.robinson86@yahoo.com"/>
    <s v="+1-875-824-2618"/>
    <s v="Houston"/>
    <s v="TX"/>
    <s v="United States"/>
    <s v="Denim Jacket x1"/>
    <x v="1"/>
    <n v="1"/>
    <n v="64.989999999999995"/>
    <s v="WELCOME15"/>
    <n v="9.75"/>
    <n v="4.99"/>
    <n v="4.42"/>
    <n v="64.650000000000006"/>
    <x v="0"/>
    <x v="7"/>
    <x v="3"/>
    <m/>
    <n v="0"/>
    <x v="4"/>
    <s v="Q2"/>
    <n v="55.239999999999995"/>
  </r>
  <r>
    <s v="#ORD-10757"/>
    <s v="2024-07-23"/>
    <s v="19:08:29"/>
    <s v="Owen Garcia"/>
    <s v="owen.garcia84@gmail.com"/>
    <s v="+1-841-536-7623"/>
    <s v="El Paso"/>
    <s v="TX"/>
    <s v="United States"/>
    <s v="Sunscreen SPF 50 Face x1 | Coffee Maker Programmable x2"/>
    <x v="0"/>
    <n v="2"/>
    <n v="128.97"/>
    <s v="None"/>
    <n v="0"/>
    <n v="0"/>
    <n v="10.32"/>
    <n v="139.29"/>
    <x v="0"/>
    <x v="5"/>
    <x v="2"/>
    <s v="2024-07-26"/>
    <n v="0"/>
    <x v="2"/>
    <s v="Q3"/>
    <n v="128.97"/>
  </r>
  <r>
    <s v="#ORD-10758"/>
    <s v="2024-02-10"/>
    <s v="12:19:08"/>
    <s v="Jack Harris"/>
    <s v="jack.harris63@gmail.com"/>
    <s v="+1-242-292-2461"/>
    <s v="Chicago"/>
    <s v="IL"/>
    <s v="United States"/>
    <s v="Stainless Steel Cookware Set x1"/>
    <x v="6"/>
    <n v="1"/>
    <n v="129.99"/>
    <s v="SAVE10"/>
    <n v="13"/>
    <n v="0"/>
    <n v="9.94"/>
    <n v="126.93"/>
    <x v="3"/>
    <x v="6"/>
    <x v="2"/>
    <s v="2024-02-15"/>
    <n v="0"/>
    <x v="0"/>
    <s v="Q1"/>
    <n v="116.99000000000001"/>
  </r>
  <r>
    <s v="#ORD-10759"/>
    <s v="2024-10-14"/>
    <s v="02:22:30"/>
    <s v="Aiden Hill"/>
    <s v="aiden.hill74@outlook.com"/>
    <s v="+1-956-620-9584"/>
    <s v="Portland"/>
    <s v="OR"/>
    <s v="United States"/>
    <s v="Wireless Noise-Cancelling Headphones x1"/>
    <x v="7"/>
    <n v="1"/>
    <n v="89.99"/>
    <s v="SAVE10"/>
    <n v="9"/>
    <n v="0"/>
    <n v="6.88"/>
    <n v="87.87"/>
    <x v="0"/>
    <x v="1"/>
    <x v="2"/>
    <s v="2024-10-18"/>
    <n v="0"/>
    <x v="7"/>
    <s v="Q4"/>
    <n v="80.989999999999995"/>
  </r>
  <r>
    <s v="#ORD-10760"/>
    <s v="2024-02-08"/>
    <s v="07:29:29"/>
    <s v="Logan King"/>
    <s v="logan.king88@outlook.com"/>
    <s v="+1-590-310-2905"/>
    <s v="Jacksonville"/>
    <s v="FL"/>
    <s v="United States"/>
    <s v="Running Shoes - Men's x1 | Leather Wallet Slim x1"/>
    <x v="5"/>
    <n v="2"/>
    <n v="104.98"/>
    <s v="None"/>
    <n v="0"/>
    <n v="0"/>
    <n v="8.92"/>
    <n v="113.9"/>
    <x v="0"/>
    <x v="0"/>
    <x v="2"/>
    <s v="2024-02-09"/>
    <n v="0"/>
    <x v="0"/>
    <s v="Q1"/>
    <n v="104.98"/>
  </r>
  <r>
    <s v="#ORD-10761"/>
    <s v="2024-05-08"/>
    <s v="10:49:11"/>
    <s v="Evelyn Smith"/>
    <s v="evelyn.smith31@outlook.com"/>
    <s v="+1-869-854-5466"/>
    <s v="Albuquerque"/>
    <s v="NM"/>
    <s v="United States"/>
    <s v="Protein Powder Chocolate 2lb x2 | Denim Jacket x1 | Casual Sneakers x1 | Insulated Water Bottle 32oz x1 | Bamboo Sunglasses x1"/>
    <x v="8"/>
    <n v="5"/>
    <n v="267.94"/>
    <s v="WELCOME15"/>
    <n v="40.19"/>
    <n v="0"/>
    <n v="22.78"/>
    <n v="250.53"/>
    <x v="1"/>
    <x v="2"/>
    <x v="2"/>
    <s v="2024-05-10"/>
    <n v="0"/>
    <x v="4"/>
    <s v="Q2"/>
    <n v="227.75"/>
  </r>
  <r>
    <s v="#ORD-10762"/>
    <s v="2024-11-23"/>
    <s v="05:55:13"/>
    <s v="Sofia Smith"/>
    <s v="sofia.smith53@gmail.com"/>
    <s v="+1-362-910-9004"/>
    <s v="Columbus"/>
    <s v="OH"/>
    <s v="United States"/>
    <s v="Denim Jacket x1 | Classic Fit Polo Shirt x1 | Stainless Steel Cookware Set x1 | Hiking Boots x1"/>
    <x v="1"/>
    <n v="4"/>
    <n v="339.96"/>
    <s v="SUMMER20"/>
    <n v="67.989999999999995"/>
    <n v="0"/>
    <n v="19.04"/>
    <n v="291.01"/>
    <x v="1"/>
    <x v="3"/>
    <x v="2"/>
    <s v="2024-11-24"/>
    <n v="0"/>
    <x v="8"/>
    <s v="Q4"/>
    <n v="271.96999999999997"/>
  </r>
  <r>
    <s v="#ORD-10763"/>
    <s v="2024-10-14"/>
    <s v="10:09:58"/>
    <s v="Ava Lopez"/>
    <s v="ava.lopez42@gmail.com"/>
    <s v="+1-979-222-7470"/>
    <s v="Seattle"/>
    <s v="WA"/>
    <s v="United States"/>
    <s v="Anti-Aging Serum 1oz x2"/>
    <x v="0"/>
    <n v="1"/>
    <n v="99.98"/>
    <s v="WELCOME15"/>
    <n v="15"/>
    <n v="0"/>
    <n v="6.8"/>
    <n v="91.78"/>
    <x v="5"/>
    <x v="3"/>
    <x v="2"/>
    <s v="2024-10-15"/>
    <n v="0"/>
    <x v="7"/>
    <s v="Q4"/>
    <n v="84.98"/>
  </r>
  <r>
    <s v="#ORD-10764"/>
    <s v="2024-07-20"/>
    <s v="06:12:44"/>
    <s v="Charlotte Garcia"/>
    <s v="charlotte.garcia64@gmail.com"/>
    <s v="+1-985-293-4447"/>
    <s v="Seattle"/>
    <s v="WA"/>
    <s v="United States"/>
    <s v="Stainless Steel Cookware Set x1 | Smart LED Desk Lamp x1 | Casual Sneakers x1 | Portable Bluetooth Speaker x1 | Denim Jacket x1"/>
    <x v="6"/>
    <n v="5"/>
    <n v="344.95"/>
    <s v="SAVE10"/>
    <n v="34.5"/>
    <n v="0"/>
    <n v="26.39"/>
    <n v="336.84"/>
    <x v="6"/>
    <x v="5"/>
    <x v="2"/>
    <s v="2024-07-25"/>
    <n v="0"/>
    <x v="2"/>
    <s v="Q3"/>
    <n v="310.45"/>
  </r>
  <r>
    <s v="#ORD-10765"/>
    <s v="2024-04-07"/>
    <s v="09:38:44"/>
    <s v="Abigail Williams"/>
    <s v="abigail.williams2@yahoo.com"/>
    <s v="+1-225-992-8217"/>
    <s v="Denver"/>
    <s v="CO"/>
    <s v="United States"/>
    <s v="Insulated Water Bottle 32oz x1 | Organic Green Tea 100ct x1 | Running Shoes - Women's x1 | Leather Wallet Slim x1"/>
    <x v="3"/>
    <n v="4"/>
    <n v="142.96"/>
    <s v="None"/>
    <n v="0"/>
    <n v="0"/>
    <n v="10.01"/>
    <n v="152.97"/>
    <x v="0"/>
    <x v="3"/>
    <x v="3"/>
    <m/>
    <n v="0"/>
    <x v="10"/>
    <s v="Q2"/>
    <n v="142.96"/>
  </r>
  <r>
    <s v="#ORD-10766"/>
    <s v="2024-03-03"/>
    <s v="13:32:31"/>
    <s v="Ava Thomas"/>
    <s v="ava.thomas68@gmail.com"/>
    <s v="+1-579-139-3350"/>
    <s v="Nashville"/>
    <s v="TN"/>
    <s v="United States"/>
    <s v="Resistance Band Set x1"/>
    <x v="3"/>
    <n v="1"/>
    <n v="24.99"/>
    <s v="None"/>
    <n v="0"/>
    <n v="9.99"/>
    <n v="2.25"/>
    <n v="37.229999999999997"/>
    <x v="5"/>
    <x v="0"/>
    <x v="2"/>
    <s v="2024-03-06"/>
    <n v="0"/>
    <x v="9"/>
    <s v="Q1"/>
    <n v="24.99"/>
  </r>
  <r>
    <s v="#ORD-10767"/>
    <s v="2024-01-23"/>
    <s v="16:29:27"/>
    <s v="Sophia Anderson"/>
    <s v="sophia.anderson49@gmail.com"/>
    <s v="+1-785-760-7325"/>
    <s v="New York"/>
    <s v="NY"/>
    <s v="United States"/>
    <s v="Classic Fit Polo Shirt x2 | Linen Throw Blanket x2 | Smart LED Desk Lamp x1"/>
    <x v="1"/>
    <n v="3"/>
    <n v="189.95"/>
    <s v="FLASH25"/>
    <n v="47.49"/>
    <n v="0"/>
    <n v="8.5500000000000007"/>
    <n v="151.01"/>
    <x v="0"/>
    <x v="6"/>
    <x v="3"/>
    <m/>
    <n v="0"/>
    <x v="6"/>
    <s v="Q1"/>
    <n v="142.45999999999998"/>
  </r>
  <r>
    <s v="#ORD-10768"/>
    <s v="2024-07-09"/>
    <s v="12:22:20"/>
    <s v="Evelyn Green"/>
    <s v="evelyn.green58@yahoo.com"/>
    <s v="+1-852-848-3856"/>
    <s v="Fort Worth"/>
    <s v="TX"/>
    <s v="United States"/>
    <s v="Insulated Water Bottle 32oz x1 | Essential Oil Diffuser x2"/>
    <x v="3"/>
    <n v="2"/>
    <n v="93.97"/>
    <s v="None"/>
    <n v="0"/>
    <n v="0"/>
    <n v="7.99"/>
    <n v="101.96"/>
    <x v="5"/>
    <x v="3"/>
    <x v="2"/>
    <s v="2024-07-12"/>
    <n v="0"/>
    <x v="2"/>
    <s v="Q3"/>
    <n v="93.97"/>
  </r>
  <r>
    <s v="#ORD-10769"/>
    <s v="2024-01-09"/>
    <s v="03:08:53"/>
    <s v="Elizabeth Taylor"/>
    <s v="elizabeth.taylor21@gmail.com"/>
    <s v="+1-328-960-6782"/>
    <s v="Albuquerque"/>
    <s v="NM"/>
    <s v="United States"/>
    <s v="Yoga Mat Premium x1"/>
    <x v="3"/>
    <n v="1"/>
    <n v="34.99"/>
    <s v="SUMMER20"/>
    <n v="7"/>
    <n v="9.99"/>
    <n v="2.8"/>
    <n v="40.78"/>
    <x v="4"/>
    <x v="2"/>
    <x v="4"/>
    <m/>
    <n v="0"/>
    <x v="6"/>
    <s v="Q1"/>
    <n v="27.990000000000002"/>
  </r>
  <r>
    <s v="#ORD-10770"/>
    <s v="2024-06-24"/>
    <s v="15:51:05"/>
    <s v="Lucas Sanchez"/>
    <s v="lucas.sanchez54@gmail.com"/>
    <s v="+1-422-829-4128"/>
    <s v="Columbus"/>
    <s v="OH"/>
    <s v="United States"/>
    <s v="Protein Powder Chocolate 2lb x1"/>
    <x v="8"/>
    <n v="1"/>
    <n v="44.99"/>
    <s v="SAVE10"/>
    <n v="4.5"/>
    <n v="7.99"/>
    <n v="4.05"/>
    <n v="52.53"/>
    <x v="5"/>
    <x v="4"/>
    <x v="2"/>
    <s v="2024-06-26"/>
    <n v="0"/>
    <x v="3"/>
    <s v="Q2"/>
    <n v="40.49"/>
  </r>
  <r>
    <s v="#ORD-10771"/>
    <s v="2024-12-15"/>
    <s v="15:54:38"/>
    <s v="Chloe Gonzalez"/>
    <s v="chloe.gonzalez94@outlook.com"/>
    <s v="+1-507-952-7752"/>
    <s v="Milwaukee"/>
    <s v="WI"/>
    <s v="United States"/>
    <s v="Canvas Backpack 25L x2 | Classic Fit Polo Shirt x1"/>
    <x v="2"/>
    <n v="2"/>
    <n v="144.97"/>
    <s v="SAVE10"/>
    <n v="14.5"/>
    <n v="0"/>
    <n v="9.1300000000000008"/>
    <n v="139.6"/>
    <x v="5"/>
    <x v="5"/>
    <x v="0"/>
    <s v="2024-12-19"/>
    <n v="139.6"/>
    <x v="1"/>
    <s v="Q4"/>
    <n v="130.47"/>
  </r>
  <r>
    <s v="#ORD-10772"/>
    <s v="2024-05-29"/>
    <s v="05:50:49"/>
    <s v="Noah Gonzalez"/>
    <s v="noah.gonzalez44@yahoo.com"/>
    <s v="+1-621-424-8677"/>
    <s v="San Antonio"/>
    <s v="TX"/>
    <s v="United States"/>
    <s v="Multivitamin Daily Pack x1 | Running Shoes - Men's x1 | Organic Green Tea 100ct x1 | Wireless Noise-Cancelling Headphones x1"/>
    <x v="8"/>
    <n v="4"/>
    <n v="199.96"/>
    <s v="LOYALTY5"/>
    <n v="10"/>
    <n v="0"/>
    <n v="13.3"/>
    <n v="203.26"/>
    <x v="1"/>
    <x v="0"/>
    <x v="2"/>
    <s v="2024-05-31"/>
    <n v="0"/>
    <x v="4"/>
    <s v="Q2"/>
    <n v="189.96"/>
  </r>
  <r>
    <s v="#ORD-10773"/>
    <s v="2024-12-28"/>
    <s v="08:22:43"/>
    <s v="Oliver Rodriguez"/>
    <s v="oliver.rodriguez63@gmail.com"/>
    <s v="+1-292-420-6844"/>
    <s v="Memphis"/>
    <s v="TN"/>
    <s v="United States"/>
    <s v="Air Fryer 5.8Qt x2 | Men's Grooming Kit x1 | Essential Oil Diffuser x2"/>
    <x v="6"/>
    <n v="3"/>
    <n v="261.95"/>
    <s v="None"/>
    <n v="0"/>
    <n v="0"/>
    <n v="15.72"/>
    <n v="277.67"/>
    <x v="0"/>
    <x v="2"/>
    <x v="2"/>
    <s v="2024-12-31"/>
    <n v="0"/>
    <x v="1"/>
    <s v="Q4"/>
    <n v="261.95"/>
  </r>
  <r>
    <s v="#ORD-10774"/>
    <s v="2024-12-19"/>
    <s v="02:46:59"/>
    <s v="Charlotte Martinez"/>
    <s v="charlotte.martinez40@yahoo.com"/>
    <s v="+1-355-267-7802"/>
    <s v="San Antonio"/>
    <s v="TX"/>
    <s v="United States"/>
    <s v="Leather Wallet Slim x2"/>
    <x v="2"/>
    <n v="1"/>
    <n v="59.98"/>
    <s v="SUMMER20"/>
    <n v="12"/>
    <n v="7.99"/>
    <n v="4.8"/>
    <n v="60.77"/>
    <x v="0"/>
    <x v="3"/>
    <x v="0"/>
    <s v="2024-12-21"/>
    <n v="60.77"/>
    <x v="1"/>
    <s v="Q4"/>
    <n v="47.98"/>
  </r>
  <r>
    <s v="#ORD-10775"/>
    <s v="2024-08-06"/>
    <s v="03:05:18"/>
    <s v="Mason Scott"/>
    <s v="mason.scott80@gmail.com"/>
    <s v="+1-299-873-1645"/>
    <s v="Tucson"/>
    <s v="AZ"/>
    <s v="United States"/>
    <s v="Stainless Steel Cookware Set x3 | Sunscreen SPF 50 Face x1"/>
    <x v="6"/>
    <n v="2"/>
    <n v="408.96"/>
    <s v="None"/>
    <n v="0"/>
    <n v="0"/>
    <n v="24.54"/>
    <n v="433.5"/>
    <x v="1"/>
    <x v="3"/>
    <x v="3"/>
    <m/>
    <n v="0"/>
    <x v="5"/>
    <s v="Q3"/>
    <n v="408.96"/>
  </r>
  <r>
    <s v="#ORD-10776"/>
    <s v="2024-10-24"/>
    <s v="22:14:43"/>
    <s v="Isabella Harris"/>
    <s v="isabella.harris49@gmail.com"/>
    <s v="+1-887-680-6633"/>
    <s v="Indianapolis"/>
    <s v="IN"/>
    <s v="United States"/>
    <s v="Sunscreen SPF 50 Face x3"/>
    <x v="0"/>
    <n v="1"/>
    <n v="56.97"/>
    <s v="SAVE10"/>
    <n v="5.7"/>
    <n v="9.99"/>
    <n v="4.6100000000000003"/>
    <n v="65.87"/>
    <x v="1"/>
    <x v="5"/>
    <x v="2"/>
    <s v="2024-10-28"/>
    <n v="0"/>
    <x v="7"/>
    <s v="Q4"/>
    <n v="51.269999999999996"/>
  </r>
  <r>
    <s v="#ORD-10777"/>
    <s v="2024-02-22"/>
    <s v="09:45:49"/>
    <s v="Muhammad Garcia"/>
    <s v="muhammad.garcia48@gmail.com"/>
    <s v="+1-817-918-9105"/>
    <s v="Albuquerque"/>
    <s v="NM"/>
    <s v="United States"/>
    <s v="Anti-Aging Serum 1oz x2 | Protein Powder Chocolate 2lb x1"/>
    <x v="0"/>
    <n v="2"/>
    <n v="144.97"/>
    <s v="None"/>
    <n v="0"/>
    <n v="0"/>
    <n v="14.5"/>
    <n v="159.47"/>
    <x v="0"/>
    <x v="4"/>
    <x v="2"/>
    <s v="2024-02-25"/>
    <n v="0"/>
    <x v="0"/>
    <s v="Q1"/>
    <n v="144.97"/>
  </r>
  <r>
    <s v="#ORD-10778"/>
    <s v="2024-03-06"/>
    <s v="15:45:17"/>
    <s v="Liam Green"/>
    <s v="liam.green76@gmail.com"/>
    <s v="+1-253-764-4912"/>
    <s v="Albuquerque"/>
    <s v="NM"/>
    <s v="United States"/>
    <s v="Hiking Boots x1"/>
    <x v="5"/>
    <n v="1"/>
    <n v="109.99"/>
    <s v="SAVE10"/>
    <n v="11"/>
    <n v="0"/>
    <n v="8.91"/>
    <n v="107.9"/>
    <x v="2"/>
    <x v="3"/>
    <x v="1"/>
    <s v="2024-03-08"/>
    <n v="0"/>
    <x v="9"/>
    <s v="Q1"/>
    <n v="98.99"/>
  </r>
  <r>
    <s v="#ORD-10779"/>
    <s v="2024-04-15"/>
    <s v="23:01:15"/>
    <s v="Aiden Taylor"/>
    <s v="aiden.taylor56@gmail.com"/>
    <s v="+1-404-581-7226"/>
    <s v="Charlotte"/>
    <s v="NC"/>
    <s v="United States"/>
    <s v="Classic Fit Polo Shirt x1 | Anti-Aging Serum 1oz x1 | Organic Green Tea 100ct x1"/>
    <x v="1"/>
    <n v="3"/>
    <n v="99.97"/>
    <s v="LOYALTY5"/>
    <n v="5"/>
    <n v="0"/>
    <n v="5.7"/>
    <n v="100.67"/>
    <x v="6"/>
    <x v="3"/>
    <x v="4"/>
    <m/>
    <n v="0"/>
    <x v="10"/>
    <s v="Q2"/>
    <n v="94.97"/>
  </r>
  <r>
    <s v="#ORD-10780"/>
    <s v="2024-05-25"/>
    <s v="16:34:35"/>
    <s v="Elizabeth Williams"/>
    <s v="elizabeth.williams87@gmail.com"/>
    <s v="+1-397-600-5614"/>
    <s v="Boston"/>
    <s v="MA"/>
    <s v="United States"/>
    <s v="High-Waist Leggings x1"/>
    <x v="1"/>
    <n v="1"/>
    <n v="42.99"/>
    <s v="WELCOME15"/>
    <n v="6.45"/>
    <n v="9.99"/>
    <n v="3.65"/>
    <n v="50.18"/>
    <x v="0"/>
    <x v="1"/>
    <x v="2"/>
    <s v="2024-05-30"/>
    <n v="0"/>
    <x v="4"/>
    <s v="Q2"/>
    <n v="36.54"/>
  </r>
  <r>
    <s v="#ORD-10781"/>
    <s v="2024-09-15"/>
    <s v="17:38:40"/>
    <s v="Elijah Garcia"/>
    <s v="elijah.garcia58@yahoo.com"/>
    <s v="+1-277-109-1220"/>
    <s v="Tucson"/>
    <s v="AZ"/>
    <s v="United States"/>
    <s v="Canvas Backpack 25L x1 | Air Fryer 5.8Qt x1 | Leather Wallet Slim x2 | Smart LED Desk Lamp x1"/>
    <x v="2"/>
    <n v="4"/>
    <n v="234.95"/>
    <s v="None"/>
    <n v="0"/>
    <n v="0"/>
    <n v="18.8"/>
    <n v="253.75"/>
    <x v="0"/>
    <x v="0"/>
    <x v="2"/>
    <s v="2024-09-16"/>
    <n v="0"/>
    <x v="11"/>
    <s v="Q3"/>
    <n v="234.95"/>
  </r>
  <r>
    <s v="#ORD-10782"/>
    <s v="2024-06-27"/>
    <s v="22:37:20"/>
    <s v="Muhammad Green"/>
    <s v="muhammad.green20@outlook.com"/>
    <s v="+1-935-193-1062"/>
    <s v="Chicago"/>
    <s v="IL"/>
    <s v="United States"/>
    <s v="Resistance Band Set x1 | High-Waist Leggings x1"/>
    <x v="3"/>
    <n v="2"/>
    <n v="67.98"/>
    <s v="None"/>
    <n v="0"/>
    <n v="5.99"/>
    <n v="4.76"/>
    <n v="78.73"/>
    <x v="2"/>
    <x v="1"/>
    <x v="2"/>
    <s v="2024-06-28"/>
    <n v="0"/>
    <x v="3"/>
    <s v="Q2"/>
    <n v="67.98"/>
  </r>
  <r>
    <s v="#ORD-10783"/>
    <s v="2024-08-30"/>
    <s v="21:37:57"/>
    <s v="Jack Anderson"/>
    <s v="jack.anderson7@yahoo.com"/>
    <s v="+1-389-619-1103"/>
    <s v="San Antonio"/>
    <s v="TX"/>
    <s v="United States"/>
    <s v="Stainless Steel Cookware Set x1 | Denim Jacket x3"/>
    <x v="6"/>
    <n v="2"/>
    <n v="324.95999999999998"/>
    <s v="LOYALTY5"/>
    <n v="16.25"/>
    <n v="0"/>
    <n v="30.87"/>
    <n v="339.58"/>
    <x v="0"/>
    <x v="3"/>
    <x v="2"/>
    <s v="2024-09-03"/>
    <n v="0"/>
    <x v="5"/>
    <s v="Q3"/>
    <n v="308.70999999999998"/>
  </r>
  <r>
    <s v="#ORD-10784"/>
    <s v="2024-07-29"/>
    <s v="11:47:29"/>
    <s v="Ethan Lopez"/>
    <s v="ethan.lopez34@gmail.com"/>
    <s v="+1-604-750-5861"/>
    <s v="San Antonio"/>
    <s v="TX"/>
    <s v="United States"/>
    <s v="Running Shoes - Women's x1 | Sunscreen SPF 50 Face x2"/>
    <x v="5"/>
    <n v="2"/>
    <n v="107.97"/>
    <s v="None"/>
    <n v="0"/>
    <n v="0"/>
    <n v="7.56"/>
    <n v="115.53"/>
    <x v="4"/>
    <x v="4"/>
    <x v="2"/>
    <s v="2024-07-31"/>
    <n v="0"/>
    <x v="2"/>
    <s v="Q3"/>
    <n v="107.97"/>
  </r>
  <r>
    <s v="#ORD-10785"/>
    <s v="2024-06-14"/>
    <s v="15:29:07"/>
    <s v="Victoria Clark"/>
    <s v="victoria.clark82@gmail.com"/>
    <s v="+1-266-163-2028"/>
    <s v="San Francisco"/>
    <s v="CA"/>
    <s v="United States"/>
    <s v="Insulated Water Bottle 32oz x2"/>
    <x v="3"/>
    <n v="1"/>
    <n v="55.98"/>
    <s v="FLASH25"/>
    <n v="13.99"/>
    <n v="4.99"/>
    <n v="4.2"/>
    <n v="51.18"/>
    <x v="4"/>
    <x v="4"/>
    <x v="2"/>
    <s v="2024-06-16"/>
    <n v="0"/>
    <x v="3"/>
    <s v="Q2"/>
    <n v="41.989999999999995"/>
  </r>
  <r>
    <s v="#ORD-10786"/>
    <s v="2024-10-20"/>
    <s v="11:10:10"/>
    <s v="Michael Thompson"/>
    <s v="michael.thompson94@gmail.com"/>
    <s v="+1-894-167-5299"/>
    <s v="Albuquerque"/>
    <s v="NM"/>
    <s v="United States"/>
    <s v="USB-C Fast Charger 65W x2 | Anti-Aging Serum 1oz x1 | Classic Fit Polo Shirt x3"/>
    <x v="7"/>
    <n v="3"/>
    <n v="214.94"/>
    <s v="None"/>
    <n v="0"/>
    <n v="0"/>
    <n v="17.2"/>
    <n v="232.14"/>
    <x v="1"/>
    <x v="2"/>
    <x v="1"/>
    <s v="2024-10-25"/>
    <n v="0"/>
    <x v="7"/>
    <s v="Q4"/>
    <n v="214.94"/>
  </r>
  <r>
    <s v="#ORD-10787"/>
    <s v="2024-04-26"/>
    <s v="14:30:23"/>
    <s v="Abigail Robinson"/>
    <s v="abigail.robinson96@yahoo.com"/>
    <s v="+1-674-989-8608"/>
    <s v="Jacksonville"/>
    <s v="FL"/>
    <s v="United States"/>
    <s v="Resistance Band Set x1 | Coffee Maker Programmable x1 | Men's Grooming Kit x1"/>
    <x v="3"/>
    <n v="3"/>
    <n v="115.97"/>
    <s v="SAVE10"/>
    <n v="11.6"/>
    <n v="0"/>
    <n v="8.8699999999999992"/>
    <n v="113.24"/>
    <x v="5"/>
    <x v="5"/>
    <x v="4"/>
    <m/>
    <n v="0"/>
    <x v="10"/>
    <s v="Q2"/>
    <n v="104.37"/>
  </r>
  <r>
    <s v="#ORD-10788"/>
    <s v="2024-01-10"/>
    <s v="12:10:06"/>
    <s v="Avery Martinez"/>
    <s v="avery.martinez95@yahoo.com"/>
    <s v="+1-807-288-4555"/>
    <s v="Phoenix"/>
    <s v="AZ"/>
    <s v="United States"/>
    <s v="High-Waist Leggings x3 | Resistance Band Set x1 | Protein Powder Chocolate 2lb x1"/>
    <x v="1"/>
    <n v="3"/>
    <n v="198.95"/>
    <s v="None"/>
    <n v="0"/>
    <n v="0"/>
    <n v="16.91"/>
    <n v="215.86"/>
    <x v="6"/>
    <x v="0"/>
    <x v="2"/>
    <s v="2024-01-12"/>
    <n v="0"/>
    <x v="6"/>
    <s v="Q1"/>
    <n v="198.95"/>
  </r>
  <r>
    <s v="#ORD-10789"/>
    <s v="2024-05-11"/>
    <s v="00:00:20"/>
    <s v="Sophia Johnson"/>
    <s v="sophia.johnson61@gmail.com"/>
    <s v="+1-643-545-3618"/>
    <s v="Fort Worth"/>
    <s v="TX"/>
    <s v="United States"/>
    <s v="Stainless Steel Cookware Set x1"/>
    <x v="6"/>
    <n v="1"/>
    <n v="129.99"/>
    <s v="SAVE10"/>
    <n v="13"/>
    <n v="0"/>
    <n v="10.53"/>
    <n v="127.52"/>
    <x v="0"/>
    <x v="3"/>
    <x v="3"/>
    <m/>
    <n v="0"/>
    <x v="4"/>
    <s v="Q2"/>
    <n v="116.99000000000001"/>
  </r>
  <r>
    <s v="#ORD-10790"/>
    <s v="2024-05-05"/>
    <s v="13:12:40"/>
    <s v="Michael Brown"/>
    <s v="michael.brown14@gmail.com"/>
    <s v="+1-845-418-8028"/>
    <s v="Jacksonville"/>
    <s v="FL"/>
    <s v="United States"/>
    <s v="Scented Soy Candle Set x1 | Yoga Mat Premium x1"/>
    <x v="4"/>
    <n v="2"/>
    <n v="57.98"/>
    <s v="SUMMER20"/>
    <n v="11.6"/>
    <n v="5.99"/>
    <n v="3.94"/>
    <n v="56.31"/>
    <x v="5"/>
    <x v="1"/>
    <x v="2"/>
    <s v="2024-05-08"/>
    <n v="0"/>
    <x v="4"/>
    <s v="Q2"/>
    <n v="46.379999999999995"/>
  </r>
  <r>
    <s v="#ORD-10791"/>
    <s v="2024-05-24"/>
    <s v="23:55:04"/>
    <s v="Benjamin Davis"/>
    <s v="benjamin.davis17@yahoo.com"/>
    <s v="+1-849-587-5596"/>
    <s v="Nashville"/>
    <s v="TN"/>
    <s v="United States"/>
    <s v="Canvas Backpack 25L x1 | Mechanical Keyboard x1 | Insulated Water Bottle 32oz x1"/>
    <x v="2"/>
    <n v="3"/>
    <n v="202.97"/>
    <s v="SAVE10"/>
    <n v="20.3"/>
    <n v="0"/>
    <n v="15.53"/>
    <n v="198.2"/>
    <x v="0"/>
    <x v="1"/>
    <x v="2"/>
    <s v="2024-05-27"/>
    <n v="0"/>
    <x v="4"/>
    <s v="Q2"/>
    <n v="182.67"/>
  </r>
  <r>
    <s v="#ORD-10792"/>
    <s v="2024-05-04"/>
    <s v="23:41:55"/>
    <s v="William Perez"/>
    <s v="william.perez43@outlook.com"/>
    <s v="+1-297-493-3430"/>
    <s v="Denver"/>
    <s v="CO"/>
    <s v="United States"/>
    <s v="Linen Throw Blanket x2 | Bamboo Sunglasses x1 | Casual Sneakers x2"/>
    <x v="4"/>
    <n v="3"/>
    <n v="224.95"/>
    <s v="None"/>
    <n v="0"/>
    <n v="0"/>
    <n v="19.12"/>
    <n v="244.07"/>
    <x v="1"/>
    <x v="2"/>
    <x v="1"/>
    <s v="2024-05-09"/>
    <n v="0"/>
    <x v="4"/>
    <s v="Q2"/>
    <n v="224.95"/>
  </r>
  <r>
    <s v="#ORD-10793"/>
    <s v="2024-08-22"/>
    <s v="00:38:13"/>
    <s v="Benjamin Lee"/>
    <s v="benjamin.lee68@gmail.com"/>
    <s v="+1-564-944-8906"/>
    <s v="Chicago"/>
    <s v="IL"/>
    <s v="United States"/>
    <s v="Men's Grooming Kit x1 | Hiking Boots x1 | USB-C Fast Charger 65W x2 | Organic Green Tea 100ct x2"/>
    <x v="0"/>
    <n v="4"/>
    <n v="235.94"/>
    <s v="SAVE10"/>
    <n v="23.59"/>
    <n v="0"/>
    <n v="12.74"/>
    <n v="225.09"/>
    <x v="5"/>
    <x v="3"/>
    <x v="2"/>
    <s v="2024-08-25"/>
    <n v="0"/>
    <x v="5"/>
    <s v="Q3"/>
    <n v="212.35"/>
  </r>
  <r>
    <s v="#ORD-10794"/>
    <s v="2024-05-02"/>
    <s v="00:15:38"/>
    <s v="William Martinez"/>
    <s v="william.martinez35@yahoo.com"/>
    <s v="+1-716-389-5066"/>
    <s v="Louisville"/>
    <s v="KY"/>
    <s v="United States"/>
    <s v="Coffee Maker Programmable x2 | Running Shoes - Women's x1"/>
    <x v="6"/>
    <n v="2"/>
    <n v="179.97"/>
    <s v="LOYALTY5"/>
    <n v="9"/>
    <n v="0"/>
    <n v="15.39"/>
    <n v="186.36"/>
    <x v="0"/>
    <x v="4"/>
    <x v="2"/>
    <s v="2024-05-07"/>
    <n v="0"/>
    <x v="4"/>
    <s v="Q2"/>
    <n v="170.97"/>
  </r>
  <r>
    <s v="#ORD-10795"/>
    <s v="2024-03-20"/>
    <s v="07:39:18"/>
    <s v="Elizabeth Lewis"/>
    <s v="elizabeth.lewis2@gmail.com"/>
    <s v="+1-840-491-3571"/>
    <s v="Boston"/>
    <s v="MA"/>
    <s v="United States"/>
    <s v="Wireless Noise-Cancelling Headphones x1"/>
    <x v="7"/>
    <n v="1"/>
    <n v="89.99"/>
    <s v="WELCOME15"/>
    <n v="13.5"/>
    <n v="0"/>
    <n v="4.59"/>
    <n v="81.08"/>
    <x v="5"/>
    <x v="6"/>
    <x v="2"/>
    <s v="2024-03-24"/>
    <n v="0"/>
    <x v="9"/>
    <s v="Q1"/>
    <n v="76.489999999999995"/>
  </r>
  <r>
    <s v="#ORD-10796"/>
    <s v="2024-04-16"/>
    <s v="05:41:23"/>
    <s v="Victoria Robinson"/>
    <s v="victoria.robinson41@gmail.com"/>
    <s v="+1-765-588-7042"/>
    <s v="Memphis"/>
    <s v="TN"/>
    <s v="United States"/>
    <s v="Running Shoes - Women's x1 | Sunscreen SPF 50 Face x1"/>
    <x v="5"/>
    <n v="2"/>
    <n v="88.98"/>
    <s v="LOYALTY5"/>
    <n v="4.45"/>
    <n v="0"/>
    <n v="5.92"/>
    <n v="90.45"/>
    <x v="0"/>
    <x v="3"/>
    <x v="2"/>
    <s v="2024-04-19"/>
    <n v="0"/>
    <x v="10"/>
    <s v="Q2"/>
    <n v="84.53"/>
  </r>
  <r>
    <s v="#ORD-10797"/>
    <s v="2024-01-10"/>
    <s v="21:21:12"/>
    <s v="James Lee"/>
    <s v="james.lee93@gmail.com"/>
    <s v="+1-940-834-3160"/>
    <s v="Baltimore"/>
    <s v="MD"/>
    <s v="United States"/>
    <s v="Essential Oil Diffuser x1 | Resistance Band Set x1"/>
    <x v="4"/>
    <n v="2"/>
    <n v="57.98"/>
    <s v="None"/>
    <n v="0"/>
    <n v="7.99"/>
    <n v="4.6399999999999997"/>
    <n v="70.61"/>
    <x v="1"/>
    <x v="0"/>
    <x v="0"/>
    <s v="2024-01-11"/>
    <n v="70.61"/>
    <x v="6"/>
    <s v="Q1"/>
    <n v="57.98"/>
  </r>
  <r>
    <s v="#ORD-10798"/>
    <s v="2024-02-09"/>
    <s v="17:04:08"/>
    <s v="Michael Jones"/>
    <s v="michael.jones9@gmail.com"/>
    <s v="+1-610-658-2018"/>
    <s v="Tucson"/>
    <s v="AZ"/>
    <s v="United States"/>
    <s v="Sunscreen SPF 50 Face x1 | Casual Sneakers x1"/>
    <x v="0"/>
    <n v="2"/>
    <n v="78.98"/>
    <s v="SAVE10"/>
    <n v="7.9"/>
    <n v="0"/>
    <n v="5.69"/>
    <n v="76.77"/>
    <x v="0"/>
    <x v="3"/>
    <x v="2"/>
    <s v="2024-02-13"/>
    <n v="0"/>
    <x v="0"/>
    <s v="Q1"/>
    <n v="71.08"/>
  </r>
  <r>
    <s v="#ORD-10799"/>
    <s v="2024-02-04"/>
    <s v="17:57:19"/>
    <s v="Owen Clark"/>
    <s v="owen.clark51@outlook.com"/>
    <s v="+1-243-143-4588"/>
    <s v="Oklahoma City"/>
    <s v="OK"/>
    <s v="United States"/>
    <s v="Organic Green Tea 100ct x2 | Running Shoes - Men's x2 | Smart LED Desk Lamp x1"/>
    <x v="9"/>
    <n v="3"/>
    <n v="219.95"/>
    <s v="None"/>
    <n v="0"/>
    <n v="0"/>
    <n v="22"/>
    <n v="241.95"/>
    <x v="1"/>
    <x v="3"/>
    <x v="2"/>
    <s v="2024-02-08"/>
    <n v="0"/>
    <x v="0"/>
    <s v="Q1"/>
    <n v="219.95"/>
  </r>
  <r>
    <s v="#ORD-10800"/>
    <s v="2024-10-20"/>
    <s v="14:05:11"/>
    <s v="Amelia Martinez"/>
    <s v="amelia.martinez18@yahoo.com"/>
    <s v="+1-404-703-1589"/>
    <s v="Milwaukee"/>
    <s v="WI"/>
    <s v="United States"/>
    <s v="Protein Powder Chocolate 2lb x1 | Wireless Noise-Cancelling Headphones x1"/>
    <x v="8"/>
    <n v="2"/>
    <n v="134.97999999999999"/>
    <s v="None"/>
    <n v="0"/>
    <n v="0"/>
    <n v="13.5"/>
    <n v="148.47999999999999"/>
    <x v="1"/>
    <x v="5"/>
    <x v="2"/>
    <s v="2024-10-21"/>
    <n v="0"/>
    <x v="7"/>
    <s v="Q4"/>
    <n v="134.97999999999999"/>
  </r>
  <r>
    <s v="#ORD-10801"/>
    <s v="2024-09-29"/>
    <s v="13:28:32"/>
    <s v="Lucas Anderson"/>
    <s v="lucas.anderson63@gmail.com"/>
    <s v="+1-769-483-9370"/>
    <s v="Denver"/>
    <s v="CO"/>
    <s v="United States"/>
    <s v="Leather Wallet Slim x1"/>
    <x v="2"/>
    <n v="1"/>
    <n v="29.99"/>
    <s v="None"/>
    <n v="0"/>
    <n v="9.99"/>
    <n v="2.1"/>
    <n v="42.08"/>
    <x v="0"/>
    <x v="3"/>
    <x v="2"/>
    <s v="2024-10-02"/>
    <n v="0"/>
    <x v="11"/>
    <s v="Q3"/>
    <n v="29.99"/>
  </r>
  <r>
    <s v="#ORD-10802"/>
    <s v="2024-03-17"/>
    <s v="00:43:52"/>
    <s v="Elizabeth Hernandez"/>
    <s v="elizabeth.hernandez26@yahoo.com"/>
    <s v="+1-409-289-2846"/>
    <s v="Baltimore"/>
    <s v="MD"/>
    <s v="United States"/>
    <s v="Hiking Boots x1"/>
    <x v="5"/>
    <n v="1"/>
    <n v="109.99"/>
    <s v="SAVE10"/>
    <n v="11"/>
    <n v="0"/>
    <n v="8.41"/>
    <n v="107.4"/>
    <x v="0"/>
    <x v="0"/>
    <x v="0"/>
    <s v="2024-03-21"/>
    <n v="107.4"/>
    <x v="9"/>
    <s v="Q1"/>
    <n v="98.99"/>
  </r>
  <r>
    <s v="#ORD-10803"/>
    <s v="2024-03-18"/>
    <s v="17:27:52"/>
    <s v="Olivia Harris"/>
    <s v="olivia.harris14@outlook.com"/>
    <s v="+1-458-322-9373"/>
    <s v="Louisville"/>
    <s v="KY"/>
    <s v="United States"/>
    <s v="Men's Grooming Kit x1 | Yoga Mat Premium x1 | Denim Jacket x1"/>
    <x v="0"/>
    <n v="3"/>
    <n v="135.97"/>
    <s v="SAVE10"/>
    <n v="13.6"/>
    <n v="0"/>
    <n v="9.7899999999999991"/>
    <n v="132.16"/>
    <x v="5"/>
    <x v="0"/>
    <x v="2"/>
    <s v="2024-03-23"/>
    <n v="0"/>
    <x v="9"/>
    <s v="Q1"/>
    <n v="122.37"/>
  </r>
  <r>
    <s v="#ORD-10804"/>
    <s v="2024-03-21"/>
    <s v="03:20:47"/>
    <s v="Liam Martin"/>
    <s v="liam.martin28@outlook.com"/>
    <s v="+1-774-711-5675"/>
    <s v="New York"/>
    <s v="NY"/>
    <s v="United States"/>
    <s v="Men's Grooming Kit x2 | Protein Powder Chocolate 2lb x1"/>
    <x v="0"/>
    <n v="2"/>
    <n v="116.97"/>
    <s v="WELCOME15"/>
    <n v="17.55"/>
    <n v="0"/>
    <n v="8.9499999999999993"/>
    <n v="108.37"/>
    <x v="6"/>
    <x v="1"/>
    <x v="3"/>
    <m/>
    <n v="0"/>
    <x v="9"/>
    <s v="Q1"/>
    <n v="99.42"/>
  </r>
  <r>
    <s v="#ORD-10805"/>
    <s v="2024-08-28"/>
    <s v="12:04:39"/>
    <s v="Oliver Jones"/>
    <s v="oliver.jones14@outlook.com"/>
    <s v="+1-254-476-4527"/>
    <s v="Nashville"/>
    <s v="TN"/>
    <s v="United States"/>
    <s v="Wireless Noise-Cancelling Headphones x3"/>
    <x v="7"/>
    <n v="1"/>
    <n v="269.97000000000003"/>
    <s v="None"/>
    <n v="0"/>
    <n v="0"/>
    <n v="21.6"/>
    <n v="291.57"/>
    <x v="5"/>
    <x v="4"/>
    <x v="2"/>
    <s v="2024-08-29"/>
    <n v="0"/>
    <x v="5"/>
    <s v="Q3"/>
    <n v="269.97000000000003"/>
  </r>
  <r>
    <s v="#ORD-10806"/>
    <s v="2024-06-11"/>
    <s v="03:15:40"/>
    <s v="Charlotte Lewis"/>
    <s v="charlotte.lewis48@gmail.com"/>
    <s v="+1-851-862-1497"/>
    <s v="Portland"/>
    <s v="OR"/>
    <s v="United States"/>
    <s v="Yoga Mat Premium x1 | Classic Fit Polo Shirt x1"/>
    <x v="3"/>
    <n v="2"/>
    <n v="69.98"/>
    <s v="None"/>
    <n v="0"/>
    <n v="7.99"/>
    <n v="5.95"/>
    <n v="83.92"/>
    <x v="2"/>
    <x v="2"/>
    <x v="2"/>
    <s v="2024-06-12"/>
    <n v="0"/>
    <x v="3"/>
    <s v="Q2"/>
    <n v="69.98"/>
  </r>
  <r>
    <s v="#ORD-10807"/>
    <s v="2024-04-01"/>
    <s v="04:31:15"/>
    <s v="Ella Lopez"/>
    <s v="ella.lopez15@gmail.com"/>
    <s v="+1-894-486-1489"/>
    <s v="New York"/>
    <s v="NY"/>
    <s v="United States"/>
    <s v="Leather Wallet Slim x1 | Linen Throw Blanket x1"/>
    <x v="2"/>
    <n v="2"/>
    <n v="69.98"/>
    <s v="None"/>
    <n v="0"/>
    <n v="9.99"/>
    <n v="4.2"/>
    <n v="84.17"/>
    <x v="6"/>
    <x v="3"/>
    <x v="2"/>
    <s v="2024-04-05"/>
    <n v="0"/>
    <x v="10"/>
    <s v="Q2"/>
    <n v="69.98"/>
  </r>
  <r>
    <s v="#ORD-10808"/>
    <s v="2024-01-06"/>
    <s v="03:40:35"/>
    <s v="Olivia Allen"/>
    <s v="olivia.allen60@gmail.com"/>
    <s v="+1-887-378-4081"/>
    <s v="Columbus"/>
    <s v="OH"/>
    <s v="United States"/>
    <s v="Portable Bluetooth Speaker x1 | Anti-Aging Serum 1oz x2"/>
    <x v="7"/>
    <n v="2"/>
    <n v="149.97"/>
    <s v="SAVE10"/>
    <n v="15"/>
    <n v="0"/>
    <n v="13.5"/>
    <n v="148.47"/>
    <x v="0"/>
    <x v="5"/>
    <x v="2"/>
    <s v="2024-01-07"/>
    <n v="0"/>
    <x v="6"/>
    <s v="Q1"/>
    <n v="134.97"/>
  </r>
  <r>
    <s v="#ORD-10809"/>
    <s v="2024-08-06"/>
    <s v="17:30:57"/>
    <s v="Oliver Robinson"/>
    <s v="oliver.robinson1@yahoo.com"/>
    <s v="+1-683-657-3685"/>
    <s v="Louisville"/>
    <s v="KY"/>
    <s v="United States"/>
    <s v="Multivitamin Daily Pack x1 | Coffee Maker Programmable x1 | Sunscreen SPF 50 Face x2"/>
    <x v="8"/>
    <n v="3"/>
    <n v="112.96"/>
    <s v="None"/>
    <n v="0"/>
    <n v="0"/>
    <n v="9.0399999999999991"/>
    <n v="122"/>
    <x v="5"/>
    <x v="0"/>
    <x v="3"/>
    <m/>
    <n v="0"/>
    <x v="5"/>
    <s v="Q3"/>
    <n v="112.96"/>
  </r>
  <r>
    <s v="#ORD-10810"/>
    <s v="2024-09-05"/>
    <s v="06:50:24"/>
    <s v="Alexander White"/>
    <s v="alexander.white71@yahoo.com"/>
    <s v="+1-891-655-7681"/>
    <s v="Portland"/>
    <s v="OR"/>
    <s v="United States"/>
    <s v="Running Shoes - Men's x1"/>
    <x v="5"/>
    <n v="1"/>
    <n v="74.989999999999995"/>
    <s v="SAVE10"/>
    <n v="7.5"/>
    <n v="9.99"/>
    <n v="5.4"/>
    <n v="82.88"/>
    <x v="6"/>
    <x v="3"/>
    <x v="3"/>
    <m/>
    <n v="0"/>
    <x v="11"/>
    <s v="Q3"/>
    <n v="67.489999999999995"/>
  </r>
  <r>
    <s v="#ORD-10811"/>
    <s v="2024-02-23"/>
    <s v="10:54:42"/>
    <s v="Alexander Lewis"/>
    <s v="alexander.lewis78@gmail.com"/>
    <s v="+1-549-653-3612"/>
    <s v="Chicago"/>
    <s v="IL"/>
    <s v="United States"/>
    <s v="Insulated Water Bottle 32oz x1"/>
    <x v="3"/>
    <n v="1"/>
    <n v="27.99"/>
    <s v="SUMMER20"/>
    <n v="5.6"/>
    <n v="5.99"/>
    <n v="1.34"/>
    <n v="29.72"/>
    <x v="0"/>
    <x v="2"/>
    <x v="2"/>
    <s v="2024-02-28"/>
    <n v="0"/>
    <x v="0"/>
    <s v="Q1"/>
    <n v="22.39"/>
  </r>
  <r>
    <s v="#ORD-10812"/>
    <s v="2024-11-15"/>
    <s v="19:02:54"/>
    <s v="Chloe Rodriguez"/>
    <s v="chloe.rodriguez27@yahoo.com"/>
    <s v="+1-880-268-4715"/>
    <s v="Baltimore"/>
    <s v="MD"/>
    <s v="United States"/>
    <s v="Smart LED Desk Lamp x3"/>
    <x v="7"/>
    <n v="1"/>
    <n v="119.97"/>
    <s v="FLASH25"/>
    <n v="29.99"/>
    <n v="0"/>
    <n v="5.4"/>
    <n v="95.38"/>
    <x v="5"/>
    <x v="0"/>
    <x v="2"/>
    <s v="2024-11-20"/>
    <n v="0"/>
    <x v="8"/>
    <s v="Q4"/>
    <n v="89.98"/>
  </r>
  <r>
    <s v="#ORD-10813"/>
    <s v="2024-07-31"/>
    <s v="23:55:51"/>
    <s v="Muhammad Allen"/>
    <s v="muhammad.allen42@outlook.com"/>
    <s v="+1-716-919-2766"/>
    <s v="Houston"/>
    <s v="TX"/>
    <s v="United States"/>
    <s v="Air Fryer 5.8Qt x1 | Anti-Aging Serum 1oz x1 | Denim Jacket x1 | Protein Powder Chocolate 2lb x2"/>
    <x v="6"/>
    <n v="4"/>
    <n v="284.95"/>
    <s v="None"/>
    <n v="0"/>
    <n v="0"/>
    <n v="19.95"/>
    <n v="304.89999999999998"/>
    <x v="1"/>
    <x v="5"/>
    <x v="2"/>
    <s v="2024-08-01"/>
    <n v="0"/>
    <x v="2"/>
    <s v="Q3"/>
    <n v="284.95"/>
  </r>
  <r>
    <s v="#ORD-10814"/>
    <s v="2024-10-20"/>
    <s v="12:34:18"/>
    <s v="Michael Martinez"/>
    <s v="michael.martinez10@yahoo.com"/>
    <s v="+1-994-796-2168"/>
    <s v="Tucson"/>
    <s v="AZ"/>
    <s v="United States"/>
    <s v="Denim Jacket x1"/>
    <x v="1"/>
    <n v="1"/>
    <n v="64.989999999999995"/>
    <s v="None"/>
    <n v="0"/>
    <n v="5.99"/>
    <n v="3.9"/>
    <n v="74.88"/>
    <x v="0"/>
    <x v="3"/>
    <x v="2"/>
    <s v="2024-10-22"/>
    <n v="0"/>
    <x v="7"/>
    <s v="Q4"/>
    <n v="64.989999999999995"/>
  </r>
  <r>
    <s v="#ORD-10815"/>
    <s v="2024-05-18"/>
    <s v="20:16:28"/>
    <s v="Ava Taylor"/>
    <s v="ava.taylor16@gmail.com"/>
    <s v="+1-850-729-1686"/>
    <s v="Charlotte"/>
    <s v="NC"/>
    <s v="United States"/>
    <s v="Wireless Noise-Cancelling Headphones x1 | Sunscreen SPF 50 Face x1"/>
    <x v="7"/>
    <n v="2"/>
    <n v="108.98"/>
    <s v="SAVE10"/>
    <n v="10.9"/>
    <n v="0"/>
    <n v="6.87"/>
    <n v="104.95"/>
    <x v="0"/>
    <x v="0"/>
    <x v="3"/>
    <m/>
    <n v="0"/>
    <x v="4"/>
    <s v="Q2"/>
    <n v="98.08"/>
  </r>
  <r>
    <s v="#ORD-10816"/>
    <s v="2024-04-09"/>
    <s v="08:03:45"/>
    <s v="Michael Williams"/>
    <s v="michael.williams41@gmail.com"/>
    <s v="+1-227-489-1633"/>
    <s v="Indianapolis"/>
    <s v="IN"/>
    <s v="United States"/>
    <s v="Canvas Backpack 25L x1 | High-Waist Leggings x1"/>
    <x v="2"/>
    <n v="2"/>
    <n v="97.98"/>
    <s v="None"/>
    <n v="0"/>
    <n v="0"/>
    <n v="8.33"/>
    <n v="106.31"/>
    <x v="1"/>
    <x v="0"/>
    <x v="1"/>
    <s v="2024-04-13"/>
    <n v="0"/>
    <x v="10"/>
    <s v="Q2"/>
    <n v="97.98"/>
  </r>
  <r>
    <s v="#ORD-10817"/>
    <s v="2024-10-08"/>
    <s v="06:45:58"/>
    <s v="Michael Garcia"/>
    <s v="michael.garcia33@yahoo.com"/>
    <s v="+1-421-728-7727"/>
    <s v="Indianapolis"/>
    <s v="IN"/>
    <s v="United States"/>
    <s v="Essential Oil Diffuser x1 | Bamboo Sunglasses x2 | Smart LED Desk Lamp x1"/>
    <x v="4"/>
    <n v="3"/>
    <n v="122.96"/>
    <s v="SUMMER20"/>
    <n v="24.59"/>
    <n v="0"/>
    <n v="5.9"/>
    <n v="104.27"/>
    <x v="0"/>
    <x v="0"/>
    <x v="3"/>
    <m/>
    <n v="0"/>
    <x v="7"/>
    <s v="Q4"/>
    <n v="98.36999999999999"/>
  </r>
  <r>
    <s v="#ORD-10818"/>
    <s v="2024-01-11"/>
    <s v="23:10:34"/>
    <s v="Sophia Smith"/>
    <s v="sophia.smith17@outlook.com"/>
    <s v="+1-378-562-5806"/>
    <s v="El Paso"/>
    <s v="TX"/>
    <s v="United States"/>
    <s v="Organic Green Tea 100ct x1 | USB-C Fast Charger 65W x1 | Air Fryer 5.8Qt x1 | Running Shoes - Men's x3"/>
    <x v="9"/>
    <n v="4"/>
    <n v="349.94"/>
    <s v="None"/>
    <n v="0"/>
    <n v="0"/>
    <n v="28"/>
    <n v="377.94"/>
    <x v="1"/>
    <x v="4"/>
    <x v="3"/>
    <m/>
    <n v="0"/>
    <x v="6"/>
    <s v="Q1"/>
    <n v="349.94"/>
  </r>
  <r>
    <s v="#ORD-10819"/>
    <s v="2024-02-12"/>
    <s v="14:14:27"/>
    <s v="Mia Williams"/>
    <s v="mia.williams77@gmail.com"/>
    <s v="+1-244-409-3992"/>
    <s v="San Jose"/>
    <s v="CA"/>
    <s v="United States"/>
    <s v="Denim Jacket x1 | USB-C Fast Charger 65W x1"/>
    <x v="1"/>
    <n v="2"/>
    <n v="94.98"/>
    <s v="None"/>
    <n v="0"/>
    <n v="0"/>
    <n v="8.07"/>
    <n v="103.05"/>
    <x v="6"/>
    <x v="6"/>
    <x v="2"/>
    <s v="2024-02-16"/>
    <n v="0"/>
    <x v="0"/>
    <s v="Q1"/>
    <n v="94.98"/>
  </r>
  <r>
    <s v="#ORD-10820"/>
    <s v="2024-10-04"/>
    <s v="05:21:31"/>
    <s v="Amelia Perez"/>
    <s v="amelia.perez88@yahoo.com"/>
    <s v="+1-708-475-8044"/>
    <s v="Milwaukee"/>
    <s v="WI"/>
    <s v="United States"/>
    <s v="Sunscreen SPF 50 Face x3"/>
    <x v="0"/>
    <n v="1"/>
    <n v="56.97"/>
    <s v="None"/>
    <n v="0"/>
    <n v="4.99"/>
    <n v="3.99"/>
    <n v="65.95"/>
    <x v="0"/>
    <x v="4"/>
    <x v="2"/>
    <s v="2024-10-08"/>
    <n v="0"/>
    <x v="7"/>
    <s v="Q4"/>
    <n v="56.97"/>
  </r>
  <r>
    <s v="#ORD-10821"/>
    <s v="2024-07-30"/>
    <s v="01:38:38"/>
    <s v="Liam Wright"/>
    <s v="liam.wright89@gmail.com"/>
    <s v="+1-880-466-8776"/>
    <s v="Albuquerque"/>
    <s v="NM"/>
    <s v="United States"/>
    <s v="Stainless Steel Cookware Set x1"/>
    <x v="6"/>
    <n v="1"/>
    <n v="129.99"/>
    <s v="WELCOME15"/>
    <n v="19.5"/>
    <n v="0"/>
    <n v="9.94"/>
    <n v="120.43"/>
    <x v="1"/>
    <x v="3"/>
    <x v="2"/>
    <s v="2024-08-02"/>
    <n v="0"/>
    <x v="2"/>
    <s v="Q3"/>
    <n v="110.49000000000001"/>
  </r>
  <r>
    <s v="#ORD-10822"/>
    <s v="2024-02-16"/>
    <s v="23:54:11"/>
    <s v="Henry King"/>
    <s v="henry.king32@outlook.com"/>
    <s v="+1-268-908-4039"/>
    <s v="Tucson"/>
    <s v="AZ"/>
    <s v="United States"/>
    <s v="USB-C Fast Charger 65W x1"/>
    <x v="7"/>
    <n v="1"/>
    <n v="29.99"/>
    <s v="None"/>
    <n v="0"/>
    <n v="9.99"/>
    <n v="3"/>
    <n v="42.98"/>
    <x v="3"/>
    <x v="3"/>
    <x v="2"/>
    <s v="2024-02-20"/>
    <n v="0"/>
    <x v="0"/>
    <s v="Q1"/>
    <n v="29.99"/>
  </r>
  <r>
    <s v="#ORD-10823"/>
    <s v="2024-03-19"/>
    <s v="14:56:43"/>
    <s v="Daniel Clark"/>
    <s v="daniel.clark72@gmail.com"/>
    <s v="+1-737-781-5356"/>
    <s v="Houston"/>
    <s v="TX"/>
    <s v="United States"/>
    <s v="Mechanical Keyboard x2"/>
    <x v="7"/>
    <n v="1"/>
    <n v="239.98"/>
    <s v="WELCOME15"/>
    <n v="36"/>
    <n v="0"/>
    <n v="12.24"/>
    <n v="216.22"/>
    <x v="5"/>
    <x v="5"/>
    <x v="2"/>
    <s v="2024-03-20"/>
    <n v="0"/>
    <x v="9"/>
    <s v="Q1"/>
    <n v="203.98"/>
  </r>
  <r>
    <s v="#ORD-10824"/>
    <s v="2024-12-23"/>
    <s v="13:50:27"/>
    <s v="Daniel Wright"/>
    <s v="daniel.wright39@yahoo.com"/>
    <s v="+1-597-666-9870"/>
    <s v="New York"/>
    <s v="NY"/>
    <s v="United States"/>
    <s v="Stainless Steel Cookware Set x2"/>
    <x v="6"/>
    <n v="1"/>
    <n v="259.98"/>
    <s v="None"/>
    <n v="0"/>
    <n v="0"/>
    <n v="26"/>
    <n v="285.98"/>
    <x v="5"/>
    <x v="5"/>
    <x v="2"/>
    <s v="2024-12-25"/>
    <n v="0"/>
    <x v="1"/>
    <s v="Q4"/>
    <n v="259.98"/>
  </r>
  <r>
    <s v="#ORD-10825"/>
    <s v="2024-10-22"/>
    <s v="08:32:30"/>
    <s v="Ava Martinez"/>
    <s v="ava.martinez17@yahoo.com"/>
    <s v="+1-840-470-4692"/>
    <s v="El Paso"/>
    <s v="TX"/>
    <s v="United States"/>
    <s v="Air Fryer 5.8Qt x3"/>
    <x v="6"/>
    <n v="1"/>
    <n v="239.97"/>
    <s v="None"/>
    <n v="0"/>
    <n v="0"/>
    <n v="21.6"/>
    <n v="261.57"/>
    <x v="0"/>
    <x v="0"/>
    <x v="4"/>
    <m/>
    <n v="0"/>
    <x v="7"/>
    <s v="Q4"/>
    <n v="239.97"/>
  </r>
  <r>
    <s v="#ORD-10826"/>
    <s v="2024-12-04"/>
    <s v="03:13:14"/>
    <s v="Harper Clark"/>
    <s v="harper.clark97@gmail.com"/>
    <s v="+1-829-909-9348"/>
    <s v="Los Angeles"/>
    <s v="CA"/>
    <s v="United States"/>
    <s v="Protein Powder Chocolate 2lb x1"/>
    <x v="8"/>
    <n v="1"/>
    <n v="44.99"/>
    <s v="SAVE10"/>
    <n v="4.5"/>
    <n v="9.99"/>
    <n v="3.44"/>
    <n v="53.92"/>
    <x v="1"/>
    <x v="2"/>
    <x v="2"/>
    <s v="2024-12-08"/>
    <n v="0"/>
    <x v="1"/>
    <s v="Q4"/>
    <n v="40.49"/>
  </r>
  <r>
    <s v="#ORD-10827"/>
    <s v="2024-01-30"/>
    <s v="03:34:01"/>
    <s v="Sofia Hernandez"/>
    <s v="sofia.hernandez77@yahoo.com"/>
    <s v="+1-484-502-5601"/>
    <s v="San Diego"/>
    <s v="CA"/>
    <s v="United States"/>
    <s v="Wireless Noise-Cancelling Headphones x1"/>
    <x v="7"/>
    <n v="1"/>
    <n v="89.99"/>
    <s v="FLASH25"/>
    <n v="22.5"/>
    <n v="0"/>
    <n v="4.05"/>
    <n v="71.540000000000006"/>
    <x v="1"/>
    <x v="6"/>
    <x v="2"/>
    <s v="2024-02-02"/>
    <n v="0"/>
    <x v="6"/>
    <s v="Q1"/>
    <n v="67.489999999999995"/>
  </r>
  <r>
    <s v="#ORD-10828"/>
    <s v="2024-11-28"/>
    <s v="04:42:33"/>
    <s v="Sebastian Perez"/>
    <s v="sebastian.perez69@outlook.com"/>
    <s v="+1-545-193-9022"/>
    <s v="San Jose"/>
    <s v="CA"/>
    <s v="United States"/>
    <s v="Air Fryer 5.8Qt x2 | Stainless Steel Cookware Set x1 | Protein Powder Chocolate 2lb x1 | Classic Fit Polo Shirt x3"/>
    <x v="6"/>
    <n v="4"/>
    <n v="439.93"/>
    <s v="LOYALTY5"/>
    <n v="22"/>
    <n v="0"/>
    <n v="37.61"/>
    <n v="455.54"/>
    <x v="1"/>
    <x v="0"/>
    <x v="3"/>
    <m/>
    <n v="0"/>
    <x v="8"/>
    <s v="Q4"/>
    <n v="417.93"/>
  </r>
  <r>
    <s v="#ORD-10829"/>
    <s v="2024-04-14"/>
    <s v="03:54:48"/>
    <s v="Muhammad Scott"/>
    <s v="muhammad.scott79@yahoo.com"/>
    <s v="+1-892-521-5563"/>
    <s v="San Francisco"/>
    <s v="CA"/>
    <s v="United States"/>
    <s v="Canvas Backpack 25L x1 | Yoga Mat Premium x3 | Scented Soy Candle Set x1 | Air Fryer 5.8Qt x1"/>
    <x v="2"/>
    <n v="4"/>
    <n v="262.94"/>
    <s v="None"/>
    <n v="0"/>
    <n v="0"/>
    <n v="21.04"/>
    <n v="283.98"/>
    <x v="7"/>
    <x v="3"/>
    <x v="1"/>
    <s v="2024-04-19"/>
    <n v="0"/>
    <x v="10"/>
    <s v="Q2"/>
    <n v="262.94"/>
  </r>
  <r>
    <s v="#ORD-10830"/>
    <s v="2024-12-11"/>
    <s v="20:31:52"/>
    <s v="Harper Flores"/>
    <s v="harper.flores86@outlook.com"/>
    <s v="+1-320-841-5775"/>
    <s v="Columbus"/>
    <s v="OH"/>
    <s v="United States"/>
    <s v="High-Waist Leggings x1 | Classic Fit Polo Shirt x1 | Sunscreen SPF 50 Face x1"/>
    <x v="1"/>
    <n v="3"/>
    <n v="96.97"/>
    <s v="FLASH25"/>
    <n v="24.24"/>
    <n v="0"/>
    <n v="6.55"/>
    <n v="79.28"/>
    <x v="0"/>
    <x v="6"/>
    <x v="0"/>
    <s v="2024-12-13"/>
    <n v="79.28"/>
    <x v="1"/>
    <s v="Q4"/>
    <n v="72.73"/>
  </r>
  <r>
    <s v="#ORD-10831"/>
    <s v="2024-09-08"/>
    <s v="10:55:34"/>
    <s v="Oliver Wilson"/>
    <s v="oliver.wilson82@yahoo.com"/>
    <s v="+1-585-932-7440"/>
    <s v="Nashville"/>
    <s v="TN"/>
    <s v="United States"/>
    <s v="Insulated Water Bottle 32oz x1 | Casual Sneakers x1 | Protein Powder Chocolate 2lb x1"/>
    <x v="3"/>
    <n v="3"/>
    <n v="132.97"/>
    <s v="FLASH25"/>
    <n v="33.24"/>
    <n v="0"/>
    <n v="7.98"/>
    <n v="107.71"/>
    <x v="0"/>
    <x v="0"/>
    <x v="2"/>
    <s v="2024-09-09"/>
    <n v="0"/>
    <x v="11"/>
    <s v="Q3"/>
    <n v="99.72999999999999"/>
  </r>
  <r>
    <s v="#ORD-10832"/>
    <s v="2024-08-01"/>
    <s v="20:22:32"/>
    <s v="Emma Jones"/>
    <s v="emma.jones33@yahoo.com"/>
    <s v="+1-647-496-6130"/>
    <s v="San Antonio"/>
    <s v="TX"/>
    <s v="United States"/>
    <s v="Hiking Boots x1 | Air Fryer 5.8Qt x1"/>
    <x v="5"/>
    <n v="2"/>
    <n v="189.98"/>
    <s v="None"/>
    <n v="0"/>
    <n v="0"/>
    <n v="16.149999999999999"/>
    <n v="206.13"/>
    <x v="1"/>
    <x v="5"/>
    <x v="2"/>
    <s v="2024-08-05"/>
    <n v="0"/>
    <x v="5"/>
    <s v="Q3"/>
    <n v="189.98"/>
  </r>
  <r>
    <s v="#ORD-10833"/>
    <s v="2024-11-07"/>
    <s v="04:39:19"/>
    <s v="Mason Rodriguez"/>
    <s v="mason.rodriguez16@gmail.com"/>
    <s v="+1-545-739-5541"/>
    <s v="Philadelphia"/>
    <s v="PA"/>
    <s v="United States"/>
    <s v="Portable Bluetooth Speaker x1 | Canvas Backpack 25L x1 | USB-C Fast Charger 65W x2 | Hiking Boots x3 | Smart LED Desk Lamp x1"/>
    <x v="7"/>
    <n v="5"/>
    <n v="534.91999999999996"/>
    <s v="None"/>
    <n v="0"/>
    <n v="0"/>
    <n v="32.1"/>
    <n v="567.02"/>
    <x v="4"/>
    <x v="0"/>
    <x v="2"/>
    <s v="2024-11-08"/>
    <n v="0"/>
    <x v="8"/>
    <s v="Q4"/>
    <n v="534.91999999999996"/>
  </r>
  <r>
    <s v="#ORD-10834"/>
    <s v="2024-08-22"/>
    <s v="10:31:51"/>
    <s v="Evelyn Lewis"/>
    <s v="evelyn.lewis30@gmail.com"/>
    <s v="+1-592-308-9875"/>
    <s v="San Diego"/>
    <s v="CA"/>
    <s v="United States"/>
    <s v="Hiking Boots x1 | Bamboo Sunglasses x2"/>
    <x v="5"/>
    <n v="2"/>
    <n v="159.97"/>
    <s v="None"/>
    <n v="0"/>
    <n v="0"/>
    <n v="9.6"/>
    <n v="169.57"/>
    <x v="1"/>
    <x v="3"/>
    <x v="2"/>
    <s v="2024-08-24"/>
    <n v="0"/>
    <x v="5"/>
    <s v="Q3"/>
    <n v="159.97"/>
  </r>
  <r>
    <s v="#ORD-10835"/>
    <s v="2024-04-14"/>
    <s v="18:03:28"/>
    <s v="Benjamin Johnson"/>
    <s v="benjamin.johnson12@outlook.com"/>
    <s v="+1-793-981-7335"/>
    <s v="Philadelphia"/>
    <s v="PA"/>
    <s v="United States"/>
    <s v="Smart LED Desk Lamp x1 | Casual Sneakers x1 | Canvas Backpack 25L x1"/>
    <x v="7"/>
    <n v="3"/>
    <n v="154.97"/>
    <s v="None"/>
    <n v="0"/>
    <n v="0"/>
    <n v="10.85"/>
    <n v="165.82"/>
    <x v="0"/>
    <x v="3"/>
    <x v="2"/>
    <s v="2024-04-18"/>
    <n v="0"/>
    <x v="10"/>
    <s v="Q2"/>
    <n v="154.97"/>
  </r>
  <r>
    <s v="#ORD-10836"/>
    <s v="2024-06-21"/>
    <s v="11:37:12"/>
    <s v="Avery Wilson"/>
    <s v="avery.wilson13@yahoo.com"/>
    <s v="+1-647-908-9584"/>
    <s v="San Diego"/>
    <s v="CA"/>
    <s v="United States"/>
    <s v="Men's Grooming Kit x2"/>
    <x v="0"/>
    <n v="1"/>
    <n v="71.98"/>
    <s v="LOYALTY5"/>
    <n v="3.6"/>
    <n v="9.99"/>
    <n v="4.0999999999999996"/>
    <n v="82.47"/>
    <x v="5"/>
    <x v="3"/>
    <x v="3"/>
    <m/>
    <n v="0"/>
    <x v="3"/>
    <s v="Q2"/>
    <n v="68.38000000000001"/>
  </r>
  <r>
    <s v="#ORD-10837"/>
    <s v="2024-06-20"/>
    <s v="17:30:16"/>
    <s v="Muhammad Lee"/>
    <s v="muhammad.lee64@yahoo.com"/>
    <s v="+1-614-380-5075"/>
    <s v="New York"/>
    <s v="NY"/>
    <s v="United States"/>
    <s v="Insulated Water Bottle 32oz x2 | Mechanical Keyboard x1"/>
    <x v="3"/>
    <n v="2"/>
    <n v="175.97"/>
    <s v="WELCOME15"/>
    <n v="26.4"/>
    <n v="0"/>
    <n v="10.47"/>
    <n v="160.04"/>
    <x v="6"/>
    <x v="3"/>
    <x v="1"/>
    <s v="2024-06-23"/>
    <n v="0"/>
    <x v="3"/>
    <s v="Q2"/>
    <n v="149.57"/>
  </r>
  <r>
    <s v="#ORD-10838"/>
    <s v="2024-09-23"/>
    <s v="14:34:14"/>
    <s v="Evelyn Anderson"/>
    <s v="evelyn.anderson77@outlook.com"/>
    <s v="+1-291-547-5176"/>
    <s v="Fort Worth"/>
    <s v="TX"/>
    <s v="United States"/>
    <s v="Casual Sneakers x1 | Essential Oil Diffuser x2 | Sunscreen SPF 50 Face x1 | USB-C Fast Charger 65W x1"/>
    <x v="5"/>
    <n v="4"/>
    <n v="174.95"/>
    <s v="WELCOME15"/>
    <n v="26.24"/>
    <n v="0"/>
    <n v="8.92"/>
    <n v="157.63"/>
    <x v="5"/>
    <x v="4"/>
    <x v="4"/>
    <m/>
    <n v="0"/>
    <x v="11"/>
    <s v="Q3"/>
    <n v="148.70999999999998"/>
  </r>
  <r>
    <s v="#ORD-10839"/>
    <s v="2024-03-02"/>
    <s v="09:34:55"/>
    <s v="Emily Anderson"/>
    <s v="emily.anderson47@yahoo.com"/>
    <s v="+1-924-262-2513"/>
    <s v="Dallas"/>
    <s v="TX"/>
    <s v="United States"/>
    <s v="Canvas Backpack 25L x1"/>
    <x v="2"/>
    <n v="1"/>
    <n v="54.99"/>
    <s v="FLASH25"/>
    <n v="13.75"/>
    <n v="5.99"/>
    <n v="2.4700000000000002"/>
    <n v="49.7"/>
    <x v="7"/>
    <x v="3"/>
    <x v="2"/>
    <s v="2024-03-03"/>
    <n v="0"/>
    <x v="9"/>
    <s v="Q1"/>
    <n v="41.24"/>
  </r>
  <r>
    <s v="#ORD-10840"/>
    <s v="2024-12-27"/>
    <s v="22:57:49"/>
    <s v="Benjamin Torres"/>
    <s v="benjamin.torres33@gmail.com"/>
    <s v="+1-519-270-9528"/>
    <s v="Los Angeles"/>
    <s v="CA"/>
    <s v="United States"/>
    <s v="Mechanical Keyboard x1"/>
    <x v="7"/>
    <n v="1"/>
    <n v="119.99"/>
    <s v="WELCOME15"/>
    <n v="18"/>
    <n v="0"/>
    <n v="8.16"/>
    <n v="110.15"/>
    <x v="4"/>
    <x v="3"/>
    <x v="4"/>
    <m/>
    <n v="0"/>
    <x v="1"/>
    <s v="Q4"/>
    <n v="101.99"/>
  </r>
  <r>
    <s v="#ORD-10841"/>
    <s v="2024-10-31"/>
    <s v="03:01:40"/>
    <s v="Ava Anderson"/>
    <s v="ava.anderson12@outlook.com"/>
    <s v="+1-991-203-5408"/>
    <s v="Milwaukee"/>
    <s v="WI"/>
    <s v="United States"/>
    <s v="Canvas Backpack 25L x1 | Men's Grooming Kit x1 | Running Shoes - Men's x1"/>
    <x v="2"/>
    <n v="3"/>
    <n v="165.97"/>
    <s v="None"/>
    <n v="0"/>
    <n v="0"/>
    <n v="11.62"/>
    <n v="177.59"/>
    <x v="0"/>
    <x v="1"/>
    <x v="2"/>
    <s v="2024-11-01"/>
    <n v="0"/>
    <x v="7"/>
    <s v="Q4"/>
    <n v="165.97"/>
  </r>
  <r>
    <s v="#ORD-10842"/>
    <s v="2024-03-10"/>
    <s v="11:41:32"/>
    <s v="Logan Scott"/>
    <s v="logan.scott60@yahoo.com"/>
    <s v="+1-716-158-7452"/>
    <s v="Houston"/>
    <s v="TX"/>
    <s v="United States"/>
    <s v="Bamboo Sunglasses x1"/>
    <x v="2"/>
    <n v="1"/>
    <n v="24.99"/>
    <s v="None"/>
    <n v="0"/>
    <n v="7.99"/>
    <n v="1.75"/>
    <n v="34.729999999999997"/>
    <x v="6"/>
    <x v="5"/>
    <x v="2"/>
    <s v="2024-03-15"/>
    <n v="0"/>
    <x v="9"/>
    <s v="Q1"/>
    <n v="24.99"/>
  </r>
  <r>
    <s v="#ORD-10843"/>
    <s v="2024-02-21"/>
    <s v="09:02:28"/>
    <s v="Isabella Hernandez"/>
    <s v="isabella.hernandez61@gmail.com"/>
    <s v="+1-365-755-1692"/>
    <s v="Los Angeles"/>
    <s v="CA"/>
    <s v="United States"/>
    <s v="Scented Soy Candle Set x2"/>
    <x v="4"/>
    <n v="1"/>
    <n v="45.98"/>
    <s v="LOYALTY5"/>
    <n v="2.2999999999999998"/>
    <n v="7.99"/>
    <n v="3.71"/>
    <n v="55.38"/>
    <x v="0"/>
    <x v="3"/>
    <x v="2"/>
    <s v="2024-02-23"/>
    <n v="0"/>
    <x v="0"/>
    <s v="Q1"/>
    <n v="43.68"/>
  </r>
  <r>
    <s v="#ORD-10844"/>
    <s v="2024-07-24"/>
    <s v="09:38:25"/>
    <s v="Ava Harris"/>
    <s v="ava.harris1@gmail.com"/>
    <s v="+1-969-357-9576"/>
    <s v="Phoenix"/>
    <s v="AZ"/>
    <s v="United States"/>
    <s v="Anti-Aging Serum 1oz x1 | Classic Fit Polo Shirt x2 | Protein Powder Chocolate 2lb x2"/>
    <x v="0"/>
    <n v="3"/>
    <n v="209.95"/>
    <s v="SUMMER20"/>
    <n v="41.99"/>
    <n v="0"/>
    <n v="16.8"/>
    <n v="184.76"/>
    <x v="2"/>
    <x v="3"/>
    <x v="4"/>
    <m/>
    <n v="0"/>
    <x v="2"/>
    <s v="Q3"/>
    <n v="167.95999999999998"/>
  </r>
  <r>
    <s v="#ORD-10845"/>
    <s v="2024-01-15"/>
    <s v="03:25:40"/>
    <s v="Sofia Hernandez"/>
    <s v="sofia.hernandez64@gmail.com"/>
    <s v="+1-224-422-8982"/>
    <s v="San Francisco"/>
    <s v="CA"/>
    <s v="United States"/>
    <s v="Scented Soy Candle Set x3"/>
    <x v="4"/>
    <n v="1"/>
    <n v="68.97"/>
    <s v="SAVE10"/>
    <n v="6.9"/>
    <n v="4.99"/>
    <n v="5.59"/>
    <n v="72.650000000000006"/>
    <x v="2"/>
    <x v="3"/>
    <x v="2"/>
    <s v="2024-01-18"/>
    <n v="0"/>
    <x v="6"/>
    <s v="Q1"/>
    <n v="62.07"/>
  </r>
  <r>
    <s v="#ORD-10846"/>
    <s v="2024-06-23"/>
    <s v="17:44:55"/>
    <s v="Charlotte Johnson"/>
    <s v="charlotte.johnson56@outlook.com"/>
    <s v="+1-608-577-8621"/>
    <s v="San Antonio"/>
    <s v="TX"/>
    <s v="United States"/>
    <s v="High-Waist Leggings x1 | Classic Fit Polo Shirt x2 | Men's Grooming Kit x1"/>
    <x v="1"/>
    <n v="3"/>
    <n v="148.96"/>
    <s v="None"/>
    <n v="0"/>
    <n v="0"/>
    <n v="8.94"/>
    <n v="157.9"/>
    <x v="2"/>
    <x v="2"/>
    <x v="2"/>
    <s v="2024-06-27"/>
    <n v="0"/>
    <x v="3"/>
    <s v="Q2"/>
    <n v="148.96"/>
  </r>
  <r>
    <s v="#ORD-10847"/>
    <s v="2024-01-20"/>
    <s v="22:34:54"/>
    <s v="Alexander Wilson"/>
    <s v="alexander.wilson17@gmail.com"/>
    <s v="+1-869-993-8100"/>
    <s v="Charlotte"/>
    <s v="NC"/>
    <s v="United States"/>
    <s v="Mechanical Keyboard x2"/>
    <x v="7"/>
    <n v="1"/>
    <n v="239.98"/>
    <s v="None"/>
    <n v="0"/>
    <n v="0"/>
    <n v="19.2"/>
    <n v="259.18"/>
    <x v="5"/>
    <x v="3"/>
    <x v="4"/>
    <m/>
    <n v="0"/>
    <x v="6"/>
    <s v="Q1"/>
    <n v="239.98"/>
  </r>
  <r>
    <s v="#ORD-10848"/>
    <s v="2024-01-16"/>
    <s v="17:42:53"/>
    <s v="Ava Flores"/>
    <s v="ava.flores46@outlook.com"/>
    <s v="+1-721-323-9537"/>
    <s v="San Jose"/>
    <s v="CA"/>
    <s v="United States"/>
    <s v="Canvas Backpack 25L x1 | Stainless Steel Cookware Set x1 | USB-C Fast Charger 65W x1 | Insulated Water Bottle 32oz x1"/>
    <x v="2"/>
    <n v="4"/>
    <n v="242.96"/>
    <s v="None"/>
    <n v="0"/>
    <n v="0"/>
    <n v="17.010000000000002"/>
    <n v="259.97000000000003"/>
    <x v="6"/>
    <x v="0"/>
    <x v="2"/>
    <s v="2024-01-17"/>
    <n v="0"/>
    <x v="6"/>
    <s v="Q1"/>
    <n v="242.96"/>
  </r>
  <r>
    <s v="#ORD-10849"/>
    <s v="2024-08-26"/>
    <s v="00:53:05"/>
    <s v="Alexander Johnson"/>
    <s v="alexander.johnson52@gmail.com"/>
    <s v="+1-882-898-9978"/>
    <s v="Charlotte"/>
    <s v="NC"/>
    <s v="United States"/>
    <s v="Scented Soy Candle Set x1 | Resistance Band Set x1"/>
    <x v="4"/>
    <n v="2"/>
    <n v="47.98"/>
    <s v="FLASH25"/>
    <n v="11.99"/>
    <n v="4.99"/>
    <n v="3.06"/>
    <n v="44.04"/>
    <x v="6"/>
    <x v="5"/>
    <x v="0"/>
    <s v="2024-08-27"/>
    <n v="44.04"/>
    <x v="5"/>
    <s v="Q3"/>
    <n v="35.989999999999995"/>
  </r>
  <r>
    <s v="#ORD-10850"/>
    <s v="2024-09-13"/>
    <s v="13:23:23"/>
    <s v="Chloe King"/>
    <s v="chloe.king20@yahoo.com"/>
    <s v="+1-510-112-3178"/>
    <s v="Chicago"/>
    <s v="IL"/>
    <s v="United States"/>
    <s v="Men's Grooming Kit x1 | Essential Oil Diffuser x1"/>
    <x v="0"/>
    <n v="2"/>
    <n v="68.98"/>
    <s v="None"/>
    <n v="0"/>
    <n v="4.99"/>
    <n v="6.21"/>
    <n v="80.180000000000007"/>
    <x v="5"/>
    <x v="3"/>
    <x v="2"/>
    <s v="2024-09-14"/>
    <n v="0"/>
    <x v="11"/>
    <s v="Q3"/>
    <n v="68.98"/>
  </r>
  <r>
    <s v="#ORD-10851"/>
    <s v="2024-11-16"/>
    <s v="18:09:07"/>
    <s v="Charlotte Clark"/>
    <s v="charlotte.clark25@gmail.com"/>
    <s v="+1-369-788-9085"/>
    <s v="Denver"/>
    <s v="CO"/>
    <s v="United States"/>
    <s v="Multivitamin Daily Pack x3 | Coffee Maker Programmable x1 | Linen Throw Blanket x3 | Hiking Boots x1"/>
    <x v="8"/>
    <n v="4"/>
    <n v="344.92"/>
    <s v="None"/>
    <n v="0"/>
    <n v="0"/>
    <n v="27.59"/>
    <n v="372.51"/>
    <x v="1"/>
    <x v="6"/>
    <x v="2"/>
    <s v="2024-11-20"/>
    <n v="0"/>
    <x v="8"/>
    <s v="Q4"/>
    <n v="344.92"/>
  </r>
  <r>
    <s v="#ORD-10852"/>
    <s v="2024-10-09"/>
    <s v="16:43:25"/>
    <s v="Mason Garcia"/>
    <s v="mason.garcia59@yahoo.com"/>
    <s v="+1-808-896-5018"/>
    <s v="El Paso"/>
    <s v="TX"/>
    <s v="United States"/>
    <s v="Canvas Backpack 25L x1 | Stainless Steel Cookware Set x2 | Hiking Boots x2 | Linen Throw Blanket x1 | Coffee Maker Programmable x1"/>
    <x v="2"/>
    <n v="5"/>
    <n v="629.92999999999995"/>
    <s v="None"/>
    <n v="0"/>
    <n v="0"/>
    <n v="62.99"/>
    <n v="692.92"/>
    <x v="1"/>
    <x v="4"/>
    <x v="0"/>
    <s v="2024-10-12"/>
    <n v="692.92"/>
    <x v="7"/>
    <s v="Q4"/>
    <n v="629.92999999999995"/>
  </r>
  <r>
    <s v="#ORD-10853"/>
    <s v="2024-12-31"/>
    <s v="00:52:34"/>
    <s v="Amelia Johnson"/>
    <s v="amelia.johnson62@gmail.com"/>
    <s v="+1-428-964-4587"/>
    <s v="Columbus"/>
    <s v="OH"/>
    <s v="United States"/>
    <s v="Stainless Steel Cookware Set x3 | Men's Grooming Kit x1"/>
    <x v="6"/>
    <n v="2"/>
    <n v="425.96"/>
    <s v="LOYALTY5"/>
    <n v="21.3"/>
    <n v="0"/>
    <n v="32.369999999999997"/>
    <n v="437.03"/>
    <x v="6"/>
    <x v="3"/>
    <x v="2"/>
    <s v="2025-01-05"/>
    <n v="0"/>
    <x v="1"/>
    <s v="Q4"/>
    <n v="404.65999999999997"/>
  </r>
  <r>
    <s v="#ORD-10854"/>
    <s v="2024-07-15"/>
    <s v="10:48:16"/>
    <s v="Oliver Walker"/>
    <s v="oliver.walker20@outlook.com"/>
    <s v="+1-878-167-6143"/>
    <s v="Albuquerque"/>
    <s v="NM"/>
    <s v="United States"/>
    <s v="Men's Grooming Kit x1"/>
    <x v="0"/>
    <n v="1"/>
    <n v="35.99"/>
    <s v="LOYALTY5"/>
    <n v="1.8"/>
    <n v="7.99"/>
    <n v="2.74"/>
    <n v="44.92"/>
    <x v="0"/>
    <x v="3"/>
    <x v="3"/>
    <m/>
    <n v="0"/>
    <x v="2"/>
    <s v="Q3"/>
    <n v="34.190000000000005"/>
  </r>
  <r>
    <s v="#ORD-10855"/>
    <s v="2024-07-02"/>
    <s v="18:18:09"/>
    <s v="Noah Lewis"/>
    <s v="noah.lewis56@gmail.com"/>
    <s v="+1-363-712-6359"/>
    <s v="Fort Worth"/>
    <s v="TX"/>
    <s v="United States"/>
    <s v="Resistance Band Set x1 | Insulated Water Bottle 32oz x3 | Smart LED Desk Lamp x3 | Yoga Mat Premium x1 | Casual Sneakers x1"/>
    <x v="3"/>
    <n v="5"/>
    <n v="323.91000000000003"/>
    <s v="WELCOME15"/>
    <n v="48.59"/>
    <n v="0"/>
    <n v="19.27"/>
    <n v="294.58999999999997"/>
    <x v="0"/>
    <x v="0"/>
    <x v="2"/>
    <s v="2024-07-05"/>
    <n v="0"/>
    <x v="2"/>
    <s v="Q3"/>
    <n v="275.32000000000005"/>
  </r>
  <r>
    <s v="#ORD-10856"/>
    <s v="2024-02-01"/>
    <s v="23:11:13"/>
    <s v="Daniel Harris"/>
    <s v="daniel.harris11@gmail.com"/>
    <s v="+1-575-795-6853"/>
    <s v="Milwaukee"/>
    <s v="WI"/>
    <s v="United States"/>
    <s v="Wireless Noise-Cancelling Headphones x1 | Mechanical Keyboard x2 | Coffee Maker Programmable x3"/>
    <x v="7"/>
    <n v="3"/>
    <n v="494.94"/>
    <s v="None"/>
    <n v="0"/>
    <n v="0"/>
    <n v="29.7"/>
    <n v="524.64"/>
    <x v="0"/>
    <x v="3"/>
    <x v="2"/>
    <s v="2024-02-04"/>
    <n v="0"/>
    <x v="0"/>
    <s v="Q1"/>
    <n v="494.94"/>
  </r>
  <r>
    <s v="#ORD-10857"/>
    <s v="2024-01-16"/>
    <s v="02:58:04"/>
    <s v="Chloe Garcia"/>
    <s v="chloe.garcia22@yahoo.com"/>
    <s v="+1-491-241-2064"/>
    <s v="Los Angeles"/>
    <s v="CA"/>
    <s v="United States"/>
    <s v="USB-C Fast Charger 65W x3 | Portable Bluetooth Speaker x2 | Scented Soy Candle Set x2 | Wireless Noise-Cancelling Headphones x2 | Denim Jacket x1"/>
    <x v="7"/>
    <n v="5"/>
    <n v="480.9"/>
    <s v="SAVE10"/>
    <n v="48.09"/>
    <n v="0"/>
    <n v="38.950000000000003"/>
    <n v="471.76"/>
    <x v="0"/>
    <x v="6"/>
    <x v="2"/>
    <s v="2024-01-21"/>
    <n v="0"/>
    <x v="6"/>
    <s v="Q1"/>
    <n v="432.80999999999995"/>
  </r>
  <r>
    <s v="#ORD-10858"/>
    <s v="2024-10-28"/>
    <s v="09:32:41"/>
    <s v="Sebastian Flores"/>
    <s v="sebastian.flores34@gmail.com"/>
    <s v="+1-663-467-9337"/>
    <s v="Milwaukee"/>
    <s v="WI"/>
    <s v="United States"/>
    <s v="Smart LED Desk Lamp x1 | Stainless Steel Cookware Set x1"/>
    <x v="7"/>
    <n v="2"/>
    <n v="169.98"/>
    <s v="None"/>
    <n v="0"/>
    <n v="0"/>
    <n v="14.45"/>
    <n v="184.43"/>
    <x v="4"/>
    <x v="0"/>
    <x v="3"/>
    <m/>
    <n v="0"/>
    <x v="7"/>
    <s v="Q4"/>
    <n v="169.98"/>
  </r>
  <r>
    <s v="#ORD-10859"/>
    <s v="2024-12-27"/>
    <s v="08:51:41"/>
    <s v="Aiden Jackson"/>
    <s v="aiden.jackson91@yahoo.com"/>
    <s v="+1-260-701-2928"/>
    <s v="Oklahoma City"/>
    <s v="OK"/>
    <s v="United States"/>
    <s v="Canvas Backpack 25L x1"/>
    <x v="2"/>
    <n v="1"/>
    <n v="54.99"/>
    <s v="SAVE10"/>
    <n v="5.5"/>
    <n v="5.99"/>
    <n v="3.46"/>
    <n v="58.94"/>
    <x v="5"/>
    <x v="4"/>
    <x v="2"/>
    <s v="2024-12-28"/>
    <n v="0"/>
    <x v="1"/>
    <s v="Q4"/>
    <n v="49.49"/>
  </r>
  <r>
    <s v="#ORD-10860"/>
    <s v="2024-01-29"/>
    <s v="12:31:49"/>
    <s v="James Miller"/>
    <s v="james.miller17@gmail.com"/>
    <s v="+1-509-826-4436"/>
    <s v="Charlotte"/>
    <s v="NC"/>
    <s v="United States"/>
    <s v="Resistance Band Set x1"/>
    <x v="3"/>
    <n v="1"/>
    <n v="24.99"/>
    <s v="LOYALTY5"/>
    <n v="1.25"/>
    <n v="5.99"/>
    <n v="2.37"/>
    <n v="32.1"/>
    <x v="5"/>
    <x v="5"/>
    <x v="0"/>
    <s v="2024-02-03"/>
    <n v="32.1"/>
    <x v="6"/>
    <s v="Q1"/>
    <n v="23.74"/>
  </r>
  <r>
    <s v="#ORD-10861"/>
    <s v="2024-05-14"/>
    <s v="00:25:52"/>
    <s v="Ella Williams"/>
    <s v="ella.williams21@gmail.com"/>
    <s v="+1-926-983-6301"/>
    <s v="Jacksonville"/>
    <s v="FL"/>
    <s v="United States"/>
    <s v="Portable Bluetooth Speaker x2"/>
    <x v="7"/>
    <n v="1"/>
    <n v="99.98"/>
    <s v="SAVE10"/>
    <n v="10"/>
    <n v="0"/>
    <n v="7.65"/>
    <n v="97.63"/>
    <x v="0"/>
    <x v="5"/>
    <x v="4"/>
    <m/>
    <n v="0"/>
    <x v="4"/>
    <s v="Q2"/>
    <n v="89.98"/>
  </r>
  <r>
    <s v="#ORD-10862"/>
    <s v="2024-09-12"/>
    <s v="16:46:39"/>
    <s v="Avery Rodriguez"/>
    <s v="avery.rodriguez42@outlook.com"/>
    <s v="+1-542-251-1688"/>
    <s v="Baltimore"/>
    <s v="MD"/>
    <s v="United States"/>
    <s v="Bamboo Sunglasses x2"/>
    <x v="2"/>
    <n v="1"/>
    <n v="49.98"/>
    <s v="None"/>
    <n v="0"/>
    <n v="4.99"/>
    <n v="3.5"/>
    <n v="58.47"/>
    <x v="7"/>
    <x v="5"/>
    <x v="3"/>
    <m/>
    <n v="0"/>
    <x v="11"/>
    <s v="Q3"/>
    <n v="49.98"/>
  </r>
  <r>
    <s v="#ORD-10863"/>
    <s v="2024-04-17"/>
    <s v="21:51:51"/>
    <s v="Isabella Thomas"/>
    <s v="isabella.thomas78@gmail.com"/>
    <s v="+1-416-251-6447"/>
    <s v="San Francisco"/>
    <s v="CA"/>
    <s v="United States"/>
    <s v="Men's Grooming Kit x2 | Running Shoes - Men's x1 | Multivitamin Daily Pack x2 | Portable Bluetooth Speaker x2"/>
    <x v="0"/>
    <n v="4"/>
    <n v="286.93"/>
    <s v="SAVE10"/>
    <n v="28.69"/>
    <n v="0"/>
    <n v="20.66"/>
    <n v="278.89999999999998"/>
    <x v="0"/>
    <x v="5"/>
    <x v="0"/>
    <s v="2024-04-19"/>
    <n v="278.89999999999998"/>
    <x v="10"/>
    <s v="Q2"/>
    <n v="258.24"/>
  </r>
  <r>
    <s v="#ORD-10864"/>
    <s v="2024-08-25"/>
    <s v="20:34:34"/>
    <s v="Scarlett Moore"/>
    <s v="scarlett.moore51@outlook.com"/>
    <s v="+1-803-742-2028"/>
    <s v="San Francisco"/>
    <s v="CA"/>
    <s v="United States"/>
    <s v="Running Shoes - Women's x2 | Multivitamin Daily Pack x1 | Classic Fit Polo Shirt x2 | Men's Grooming Kit x1"/>
    <x v="5"/>
    <n v="4"/>
    <n v="265.94"/>
    <s v="FLASH25"/>
    <n v="66.48"/>
    <n v="0"/>
    <n v="16.95"/>
    <n v="216.41"/>
    <x v="0"/>
    <x v="3"/>
    <x v="4"/>
    <m/>
    <n v="0"/>
    <x v="5"/>
    <s v="Q3"/>
    <n v="199.45999999999998"/>
  </r>
  <r>
    <s v="#ORD-10865"/>
    <s v="2024-03-30"/>
    <s v="16:33:56"/>
    <s v="Ella Clark"/>
    <s v="ella.clark60@outlook.com"/>
    <s v="+1-427-941-8360"/>
    <s v="Tucson"/>
    <s v="AZ"/>
    <s v="United States"/>
    <s v="Denim Jacket x1 | Linen Throw Blanket x2 | Casual Sneakers x2 | Organic Green Tea 100ct x2"/>
    <x v="1"/>
    <n v="4"/>
    <n v="294.93"/>
    <s v="LOYALTY5"/>
    <n v="14.75"/>
    <n v="0"/>
    <n v="22.41"/>
    <n v="302.58999999999997"/>
    <x v="5"/>
    <x v="3"/>
    <x v="2"/>
    <s v="2024-03-31"/>
    <n v="0"/>
    <x v="9"/>
    <s v="Q1"/>
    <n v="280.18"/>
  </r>
  <r>
    <s v="#ORD-10866"/>
    <s v="2024-01-30"/>
    <s v="13:21:23"/>
    <s v="Oliver Sanchez"/>
    <s v="oliver.sanchez56@gmail.com"/>
    <s v="+1-877-665-5711"/>
    <s v="New York"/>
    <s v="NY"/>
    <s v="United States"/>
    <s v="Hiking Boots x2 | Coffee Maker Programmable x3 | Denim Jacket x1"/>
    <x v="5"/>
    <n v="3"/>
    <n v="449.94"/>
    <s v="SAVE10"/>
    <n v="44.99"/>
    <n v="0"/>
    <n v="36.450000000000003"/>
    <n v="441.4"/>
    <x v="1"/>
    <x v="5"/>
    <x v="2"/>
    <s v="2024-02-04"/>
    <n v="0"/>
    <x v="6"/>
    <s v="Q1"/>
    <n v="404.95"/>
  </r>
  <r>
    <s v="#ORD-10867"/>
    <s v="2024-07-30"/>
    <s v="16:21:27"/>
    <s v="Mason Thomas"/>
    <s v="mason.thomas50@yahoo.com"/>
    <s v="+1-873-399-5212"/>
    <s v="Tucson"/>
    <s v="AZ"/>
    <s v="United States"/>
    <s v="Wireless Noise-Cancelling Headphones x1 | Anti-Aging Serum 1oz x1"/>
    <x v="7"/>
    <n v="2"/>
    <n v="139.97999999999999"/>
    <s v="None"/>
    <n v="0"/>
    <n v="0"/>
    <n v="11.9"/>
    <n v="151.88"/>
    <x v="0"/>
    <x v="3"/>
    <x v="2"/>
    <s v="2024-08-01"/>
    <n v="0"/>
    <x v="2"/>
    <s v="Q3"/>
    <n v="139.97999999999999"/>
  </r>
  <r>
    <s v="#ORD-10868"/>
    <s v="2024-03-04"/>
    <s v="15:43:36"/>
    <s v="Sofia Hernandez"/>
    <s v="sofia.hernandez55@gmail.com"/>
    <s v="+1-324-973-1054"/>
    <s v="Albuquerque"/>
    <s v="NM"/>
    <s v="United States"/>
    <s v="Classic Fit Polo Shirt x3"/>
    <x v="1"/>
    <n v="1"/>
    <n v="104.97"/>
    <s v="SAVE10"/>
    <n v="10.5"/>
    <n v="0"/>
    <n v="8.5"/>
    <n v="102.97"/>
    <x v="1"/>
    <x v="0"/>
    <x v="2"/>
    <s v="2024-03-06"/>
    <n v="0"/>
    <x v="9"/>
    <s v="Q1"/>
    <n v="94.47"/>
  </r>
  <r>
    <s v="#ORD-10869"/>
    <s v="2024-03-10"/>
    <s v="12:07:32"/>
    <s v="Oliver Jones"/>
    <s v="oliver.jones99@outlook.com"/>
    <s v="+1-564-907-2507"/>
    <s v="Memphis"/>
    <s v="TN"/>
    <s v="United States"/>
    <s v="Organic Green Tea 100ct x1"/>
    <x v="9"/>
    <n v="1"/>
    <n v="14.99"/>
    <s v="FLASH25"/>
    <n v="3.75"/>
    <n v="9.99"/>
    <n v="1.01"/>
    <n v="22.24"/>
    <x v="0"/>
    <x v="0"/>
    <x v="2"/>
    <s v="2024-03-11"/>
    <n v="0"/>
    <x v="9"/>
    <s v="Q1"/>
    <n v="11.24"/>
  </r>
  <r>
    <s v="#ORD-10870"/>
    <s v="2024-01-08"/>
    <s v="01:53:34"/>
    <s v="Emily Lopez"/>
    <s v="emily.lopez25@yahoo.com"/>
    <s v="+1-548-973-7377"/>
    <s v="Fort Worth"/>
    <s v="TX"/>
    <s v="United States"/>
    <s v="Scented Soy Candle Set x3 | High-Waist Leggings x1 | Classic Fit Polo Shirt x1 | USB-C Fast Charger 65W x1"/>
    <x v="4"/>
    <n v="4"/>
    <n v="176.94"/>
    <s v="FLASH25"/>
    <n v="44.24"/>
    <n v="0"/>
    <n v="9.2899999999999991"/>
    <n v="141.99"/>
    <x v="5"/>
    <x v="1"/>
    <x v="1"/>
    <s v="2024-01-09"/>
    <n v="0"/>
    <x v="6"/>
    <s v="Q1"/>
    <n v="132.69999999999999"/>
  </r>
  <r>
    <s v="#ORD-10871"/>
    <s v="2024-03-06"/>
    <s v="01:25:39"/>
    <s v="Jack Miller"/>
    <s v="jack.miller66@yahoo.com"/>
    <s v="+1-770-889-8501"/>
    <s v="Louisville"/>
    <s v="KY"/>
    <s v="United States"/>
    <s v="Essential Oil Diffuser x1"/>
    <x v="4"/>
    <n v="1"/>
    <n v="32.99"/>
    <s v="LOYALTY5"/>
    <n v="1.65"/>
    <n v="4.99"/>
    <n v="3.13"/>
    <n v="39.46"/>
    <x v="0"/>
    <x v="0"/>
    <x v="3"/>
    <m/>
    <n v="0"/>
    <x v="9"/>
    <s v="Q1"/>
    <n v="31.340000000000003"/>
  </r>
  <r>
    <s v="#ORD-10872"/>
    <s v="2024-01-17"/>
    <s v="07:08:19"/>
    <s v="Elizabeth Lee"/>
    <s v="elizabeth.lee48@gmail.com"/>
    <s v="+1-967-957-1121"/>
    <s v="Oklahoma City"/>
    <s v="OK"/>
    <s v="United States"/>
    <s v="Running Shoes - Women's x1"/>
    <x v="5"/>
    <n v="1"/>
    <n v="69.989999999999995"/>
    <s v="SAVE10"/>
    <n v="7"/>
    <n v="4.99"/>
    <n v="6.3"/>
    <n v="74.28"/>
    <x v="2"/>
    <x v="0"/>
    <x v="4"/>
    <m/>
    <n v="0"/>
    <x v="6"/>
    <s v="Q1"/>
    <n v="62.989999999999995"/>
  </r>
  <r>
    <s v="#ORD-10873"/>
    <s v="2024-08-06"/>
    <s v="00:44:30"/>
    <s v="Abigail Walker"/>
    <s v="abigail.walker18@outlook.com"/>
    <s v="+1-519-649-7973"/>
    <s v="Chicago"/>
    <s v="IL"/>
    <s v="United States"/>
    <s v="Linen Throw Blanket x1 | Mechanical Keyboard x3 | Stainless Steel Cookware Set x2"/>
    <x v="4"/>
    <n v="3"/>
    <n v="659.94"/>
    <s v="SAVE10"/>
    <n v="65.989999999999995"/>
    <n v="0"/>
    <n v="35.64"/>
    <n v="629.59"/>
    <x v="1"/>
    <x v="3"/>
    <x v="1"/>
    <s v="2024-08-08"/>
    <n v="0"/>
    <x v="5"/>
    <s v="Q3"/>
    <n v="593.95000000000005"/>
  </r>
  <r>
    <s v="#ORD-10874"/>
    <s v="2024-04-26"/>
    <s v="14:06:52"/>
    <s v="Evelyn Williams"/>
    <s v="evelyn.williams14@gmail.com"/>
    <s v="+1-572-176-9163"/>
    <s v="Milwaukee"/>
    <s v="WI"/>
    <s v="United States"/>
    <s v="Mechanical Keyboard x1 | Sunscreen SPF 50 Face x1"/>
    <x v="7"/>
    <n v="2"/>
    <n v="138.97999999999999"/>
    <s v="None"/>
    <n v="0"/>
    <n v="0"/>
    <n v="11.12"/>
    <n v="150.1"/>
    <x v="0"/>
    <x v="5"/>
    <x v="2"/>
    <s v="2024-05-01"/>
    <n v="0"/>
    <x v="10"/>
    <s v="Q2"/>
    <n v="138.97999999999999"/>
  </r>
  <r>
    <s v="#ORD-10875"/>
    <s v="2024-04-20"/>
    <s v="17:50:21"/>
    <s v="Aiden Martin"/>
    <s v="aiden.martin3@gmail.com"/>
    <s v="+1-326-287-4478"/>
    <s v="Columbus"/>
    <s v="OH"/>
    <s v="United States"/>
    <s v="Sunscreen SPF 50 Face x1"/>
    <x v="0"/>
    <n v="1"/>
    <n v="18.989999999999998"/>
    <s v="None"/>
    <n v="0"/>
    <n v="4.99"/>
    <n v="1.52"/>
    <n v="25.5"/>
    <x v="0"/>
    <x v="7"/>
    <x v="1"/>
    <s v="2024-04-23"/>
    <n v="0"/>
    <x v="10"/>
    <s v="Q2"/>
    <n v="18.989999999999998"/>
  </r>
  <r>
    <s v="#ORD-10876"/>
    <s v="2024-11-22"/>
    <s v="19:02:33"/>
    <s v="Daniel Garcia"/>
    <s v="daniel.garcia7@gmail.com"/>
    <s v="+1-613-870-1667"/>
    <s v="San Diego"/>
    <s v="CA"/>
    <s v="United States"/>
    <s v="Classic Fit Polo Shirt x2 | Coffee Maker Programmable x2 | Bamboo Sunglasses x1"/>
    <x v="1"/>
    <n v="3"/>
    <n v="204.95"/>
    <s v="LOYALTY5"/>
    <n v="10.25"/>
    <n v="0"/>
    <n v="19.47"/>
    <n v="214.17"/>
    <x v="5"/>
    <x v="2"/>
    <x v="2"/>
    <s v="2024-11-23"/>
    <n v="0"/>
    <x v="8"/>
    <s v="Q4"/>
    <n v="194.7"/>
  </r>
  <r>
    <s v="#ORD-10877"/>
    <s v="2024-10-14"/>
    <s v="19:29:59"/>
    <s v="Aiden Clark"/>
    <s v="aiden.clark85@gmail.com"/>
    <s v="+1-754-209-5330"/>
    <s v="Chicago"/>
    <s v="IL"/>
    <s v="United States"/>
    <s v="USB-C Fast Charger 65W x1"/>
    <x v="7"/>
    <n v="1"/>
    <n v="29.99"/>
    <s v="LOYALTY5"/>
    <n v="1.5"/>
    <n v="4.99"/>
    <n v="1.71"/>
    <n v="35.19"/>
    <x v="4"/>
    <x v="3"/>
    <x v="1"/>
    <s v="2024-10-18"/>
    <n v="0"/>
    <x v="7"/>
    <s v="Q4"/>
    <n v="28.49"/>
  </r>
  <r>
    <s v="#ORD-10878"/>
    <s v="2024-03-06"/>
    <s v="09:24:48"/>
    <s v="Mia Hill"/>
    <s v="mia.hill32@gmail.com"/>
    <s v="+1-444-517-1086"/>
    <s v="Seattle"/>
    <s v="WA"/>
    <s v="United States"/>
    <s v="Bamboo Sunglasses x1"/>
    <x v="2"/>
    <n v="1"/>
    <n v="24.99"/>
    <s v="None"/>
    <n v="0"/>
    <n v="4.99"/>
    <n v="2.12"/>
    <n v="32.1"/>
    <x v="0"/>
    <x v="4"/>
    <x v="2"/>
    <s v="2024-03-11"/>
    <n v="0"/>
    <x v="9"/>
    <s v="Q1"/>
    <n v="24.99"/>
  </r>
  <r>
    <s v="#ORD-10879"/>
    <s v="2024-07-31"/>
    <s v="15:39:51"/>
    <s v="Owen Moore"/>
    <s v="owen.moore94@yahoo.com"/>
    <s v="+1-792-394-5413"/>
    <s v="Denver"/>
    <s v="CO"/>
    <s v="United States"/>
    <s v="Multivitamin Daily Pack x1"/>
    <x v="8"/>
    <n v="1"/>
    <n v="19.989999999999998"/>
    <s v="WELCOME15"/>
    <n v="3"/>
    <n v="5.99"/>
    <n v="1.53"/>
    <n v="24.51"/>
    <x v="0"/>
    <x v="3"/>
    <x v="4"/>
    <m/>
    <n v="0"/>
    <x v="2"/>
    <s v="Q3"/>
    <n v="16.989999999999998"/>
  </r>
  <r>
    <s v="#ORD-10880"/>
    <s v="2024-08-23"/>
    <s v="01:23:38"/>
    <s v="Oliver Green"/>
    <s v="oliver.green16@yahoo.com"/>
    <s v="+1-335-828-1658"/>
    <s v="Milwaukee"/>
    <s v="WI"/>
    <s v="United States"/>
    <s v="Smart LED Desk Lamp x1 | Protein Powder Chocolate 2lb x2"/>
    <x v="7"/>
    <n v="2"/>
    <n v="129.97"/>
    <s v="None"/>
    <n v="0"/>
    <n v="0"/>
    <n v="11.7"/>
    <n v="141.66999999999999"/>
    <x v="0"/>
    <x v="0"/>
    <x v="2"/>
    <s v="2024-08-25"/>
    <n v="0"/>
    <x v="5"/>
    <s v="Q3"/>
    <n v="129.97"/>
  </r>
  <r>
    <s v="#ORD-10881"/>
    <s v="2024-02-21"/>
    <s v="15:17:46"/>
    <s v="Amelia Thomas"/>
    <s v="amelia.thomas6@outlook.com"/>
    <s v="+1-532-520-7205"/>
    <s v="Portland"/>
    <s v="OR"/>
    <s v="United States"/>
    <s v="Hiking Boots x1 | Smart LED Desk Lamp x1 | Linen Throw Blanket x1 | Wireless Noise-Cancelling Headphones x1 | Essential Oil Diffuser x1"/>
    <x v="5"/>
    <n v="5"/>
    <n v="312.95"/>
    <s v="SUMMER20"/>
    <n v="62.59"/>
    <n v="0"/>
    <n v="17.53"/>
    <n v="267.89"/>
    <x v="0"/>
    <x v="0"/>
    <x v="2"/>
    <s v="2024-02-24"/>
    <n v="0"/>
    <x v="0"/>
    <s v="Q1"/>
    <n v="250.35999999999999"/>
  </r>
  <r>
    <s v="#ORD-10882"/>
    <s v="2024-09-03"/>
    <s v="15:06:34"/>
    <s v="Owen Moore"/>
    <s v="owen.moore85@gmail.com"/>
    <s v="+1-643-574-3598"/>
    <s v="Charlotte"/>
    <s v="NC"/>
    <s v="United States"/>
    <s v="Protein Powder Chocolate 2lb x1"/>
    <x v="8"/>
    <n v="1"/>
    <n v="44.99"/>
    <s v="None"/>
    <n v="0"/>
    <n v="9.99"/>
    <n v="3.82"/>
    <n v="58.8"/>
    <x v="2"/>
    <x v="5"/>
    <x v="2"/>
    <s v="2024-09-04"/>
    <n v="0"/>
    <x v="11"/>
    <s v="Q3"/>
    <n v="44.99"/>
  </r>
  <r>
    <s v="#ORD-10883"/>
    <s v="2024-02-12"/>
    <s v="21:09:22"/>
    <s v="Noah Brown"/>
    <s v="noah.brown59@yahoo.com"/>
    <s v="+1-405-804-5515"/>
    <s v="Portland"/>
    <s v="OR"/>
    <s v="United States"/>
    <s v="Mechanical Keyboard x1 | Yoga Mat Premium x1 | Hiking Boots x2 | Running Shoes - Men's x1"/>
    <x v="7"/>
    <n v="4"/>
    <n v="449.95"/>
    <s v="LOYALTY5"/>
    <n v="22.5"/>
    <n v="0"/>
    <n v="36.33"/>
    <n v="463.78"/>
    <x v="0"/>
    <x v="0"/>
    <x v="3"/>
    <m/>
    <n v="0"/>
    <x v="0"/>
    <s v="Q1"/>
    <n v="427.45"/>
  </r>
  <r>
    <s v="#ORD-10884"/>
    <s v="2024-06-19"/>
    <s v="03:39:39"/>
    <s v="Ella Harris"/>
    <s v="ella.harris21@gmail.com"/>
    <s v="+1-478-982-9462"/>
    <s v="Dallas"/>
    <s v="TX"/>
    <s v="United States"/>
    <s v="Wireless Noise-Cancelling Headphones x1 | Classic Fit Polo Shirt x1 | Casual Sneakers x3 | Essential Oil Diffuser x1"/>
    <x v="7"/>
    <n v="4"/>
    <n v="337.94"/>
    <s v="None"/>
    <n v="0"/>
    <n v="0"/>
    <n v="20.28"/>
    <n v="358.22"/>
    <x v="0"/>
    <x v="3"/>
    <x v="2"/>
    <s v="2024-06-20"/>
    <n v="0"/>
    <x v="3"/>
    <s v="Q2"/>
    <n v="337.94"/>
  </r>
  <r>
    <s v="#ORD-10885"/>
    <s v="2024-04-03"/>
    <s v="16:23:13"/>
    <s v="Aiden Sanchez"/>
    <s v="aiden.sanchez9@outlook.com"/>
    <s v="+1-220-435-7876"/>
    <s v="New York"/>
    <s v="NY"/>
    <s v="United States"/>
    <s v="Hiking Boots x3 | High-Waist Leggings x3 | Casual Sneakers x2 | Classic Fit Polo Shirt x1"/>
    <x v="5"/>
    <n v="4"/>
    <n v="613.91"/>
    <s v="FLASH25"/>
    <n v="153.47999999999999"/>
    <n v="0"/>
    <n v="32.229999999999997"/>
    <n v="492.66"/>
    <x v="1"/>
    <x v="7"/>
    <x v="2"/>
    <s v="2024-04-05"/>
    <n v="0"/>
    <x v="10"/>
    <s v="Q2"/>
    <n v="460.42999999999995"/>
  </r>
  <r>
    <s v="#ORD-10886"/>
    <s v="2024-02-12"/>
    <s v="02:58:42"/>
    <s v="Chloe Perez"/>
    <s v="chloe.perez62@gmail.com"/>
    <s v="+1-589-583-4215"/>
    <s v="New York"/>
    <s v="NY"/>
    <s v="United States"/>
    <s v="Men's Grooming Kit x1 | Classic Fit Polo Shirt x2 | Multivitamin Daily Pack x1"/>
    <x v="0"/>
    <n v="3"/>
    <n v="125.96"/>
    <s v="WELCOME15"/>
    <n v="18.89"/>
    <n v="0"/>
    <n v="10.71"/>
    <n v="117.78"/>
    <x v="4"/>
    <x v="0"/>
    <x v="1"/>
    <s v="2024-02-13"/>
    <n v="0"/>
    <x v="0"/>
    <s v="Q1"/>
    <n v="107.07"/>
  </r>
  <r>
    <s v="#ORD-10887"/>
    <s v="2024-10-21"/>
    <s v="17:42:28"/>
    <s v="Oliver Lee"/>
    <s v="oliver.lee44@gmail.com"/>
    <s v="+1-620-987-1718"/>
    <s v="Los Angeles"/>
    <s v="CA"/>
    <s v="United States"/>
    <s v="Resistance Band Set x1"/>
    <x v="3"/>
    <n v="1"/>
    <n v="24.99"/>
    <s v="WELCOME15"/>
    <n v="3.75"/>
    <n v="4.99"/>
    <n v="2.12"/>
    <n v="28.35"/>
    <x v="0"/>
    <x v="0"/>
    <x v="2"/>
    <s v="2024-10-23"/>
    <n v="0"/>
    <x v="7"/>
    <s v="Q4"/>
    <n v="21.24"/>
  </r>
  <r>
    <s v="#ORD-10888"/>
    <s v="2024-09-21"/>
    <s v="11:00:51"/>
    <s v="Lucas Walker"/>
    <s v="lucas.walker69@yahoo.com"/>
    <s v="+1-414-195-6583"/>
    <s v="Columbus"/>
    <s v="OH"/>
    <s v="United States"/>
    <s v="Coffee Maker Programmable x2 | Organic Green Tea 100ct x1 | Sunscreen SPF 50 Face x1 | Mechanical Keyboard x1 | Casual Sneakers x2"/>
    <x v="6"/>
    <n v="5"/>
    <n v="383.93"/>
    <s v="WELCOME15"/>
    <n v="57.59"/>
    <n v="0"/>
    <n v="19.579999999999998"/>
    <n v="345.92"/>
    <x v="3"/>
    <x v="0"/>
    <x v="3"/>
    <m/>
    <n v="0"/>
    <x v="11"/>
    <s v="Q3"/>
    <n v="326.34000000000003"/>
  </r>
  <r>
    <s v="#ORD-10889"/>
    <s v="2024-07-27"/>
    <s v="12:11:15"/>
    <s v="Oliver Green"/>
    <s v="oliver.green12@outlook.com"/>
    <s v="+1-538-202-2453"/>
    <s v="Houston"/>
    <s v="TX"/>
    <s v="United States"/>
    <s v="Classic Fit Polo Shirt x1 | Casual Sneakers x1 | Portable Bluetooth Speaker x1"/>
    <x v="1"/>
    <n v="3"/>
    <n v="144.97"/>
    <s v="None"/>
    <n v="0"/>
    <n v="0"/>
    <n v="12.32"/>
    <n v="157.29"/>
    <x v="6"/>
    <x v="3"/>
    <x v="4"/>
    <m/>
    <n v="0"/>
    <x v="2"/>
    <s v="Q3"/>
    <n v="144.97"/>
  </r>
  <r>
    <s v="#ORD-10890"/>
    <s v="2024-06-14"/>
    <s v="20:54:49"/>
    <s v="Scarlett Hill"/>
    <s v="scarlett.hill74@gmail.com"/>
    <s v="+1-397-276-3571"/>
    <s v="San Diego"/>
    <s v="CA"/>
    <s v="United States"/>
    <s v="Bamboo Sunglasses x2 | Insulated Water Bottle 32oz x1"/>
    <x v="2"/>
    <n v="2"/>
    <n v="77.97"/>
    <s v="None"/>
    <n v="0"/>
    <n v="0"/>
    <n v="4.68"/>
    <n v="82.65"/>
    <x v="6"/>
    <x v="7"/>
    <x v="2"/>
    <s v="2024-06-17"/>
    <n v="0"/>
    <x v="3"/>
    <s v="Q2"/>
    <n v="77.97"/>
  </r>
  <r>
    <s v="#ORD-10891"/>
    <s v="2024-03-22"/>
    <s v="04:40:56"/>
    <s v="Amelia Williams"/>
    <s v="amelia.williams23@gmail.com"/>
    <s v="+1-842-874-5908"/>
    <s v="Portland"/>
    <s v="OR"/>
    <s v="United States"/>
    <s v="Yoga Mat Premium x1"/>
    <x v="3"/>
    <n v="1"/>
    <n v="34.99"/>
    <s v="SUMMER20"/>
    <n v="7"/>
    <n v="5.99"/>
    <n v="2.52"/>
    <n v="36.5"/>
    <x v="0"/>
    <x v="3"/>
    <x v="2"/>
    <s v="2024-03-25"/>
    <n v="0"/>
    <x v="9"/>
    <s v="Q1"/>
    <n v="27.990000000000002"/>
  </r>
  <r>
    <s v="#ORD-10892"/>
    <s v="2024-05-26"/>
    <s v="20:01:05"/>
    <s v="Jack Martinez"/>
    <s v="jack.martinez9@yahoo.com"/>
    <s v="+1-625-211-8120"/>
    <s v="Boston"/>
    <s v="MA"/>
    <s v="United States"/>
    <s v="Insulated Water Bottle 32oz x1"/>
    <x v="3"/>
    <n v="1"/>
    <n v="27.99"/>
    <s v="None"/>
    <n v="0"/>
    <n v="9.99"/>
    <n v="1.68"/>
    <n v="39.659999999999997"/>
    <x v="0"/>
    <x v="3"/>
    <x v="2"/>
    <s v="2024-05-28"/>
    <n v="0"/>
    <x v="4"/>
    <s v="Q2"/>
    <n v="27.99"/>
  </r>
  <r>
    <s v="#ORD-10893"/>
    <s v="2024-09-19"/>
    <s v="23:25:06"/>
    <s v="Amelia Hernandez"/>
    <s v="amelia.hernandez92@outlook.com"/>
    <s v="+1-420-559-7961"/>
    <s v="Dallas"/>
    <s v="TX"/>
    <s v="United States"/>
    <s v="Leather Wallet Slim x1 | Bamboo Sunglasses x3"/>
    <x v="2"/>
    <n v="2"/>
    <n v="104.96"/>
    <s v="LOYALTY5"/>
    <n v="5.25"/>
    <n v="0"/>
    <n v="7.98"/>
    <n v="107.69"/>
    <x v="4"/>
    <x v="3"/>
    <x v="0"/>
    <s v="2024-09-24"/>
    <n v="107.69"/>
    <x v="11"/>
    <s v="Q3"/>
    <n v="99.71"/>
  </r>
  <r>
    <s v="#ORD-10894"/>
    <s v="2024-04-11"/>
    <s v="01:30:25"/>
    <s v="Logan Green"/>
    <s v="logan.green57@gmail.com"/>
    <s v="+1-293-995-2889"/>
    <s v="Baltimore"/>
    <s v="MD"/>
    <s v="United States"/>
    <s v="Bamboo Sunglasses x2 | Men's Grooming Kit x2"/>
    <x v="2"/>
    <n v="2"/>
    <n v="121.96"/>
    <s v="None"/>
    <n v="0"/>
    <n v="0"/>
    <n v="10.37"/>
    <n v="132.33000000000001"/>
    <x v="0"/>
    <x v="6"/>
    <x v="3"/>
    <m/>
    <n v="0"/>
    <x v="10"/>
    <s v="Q2"/>
    <n v="121.96"/>
  </r>
  <r>
    <s v="#ORD-10895"/>
    <s v="2024-02-13"/>
    <s v="22:46:23"/>
    <s v="Isabella Brown"/>
    <s v="isabella.brown95@outlook.com"/>
    <s v="+1-446-151-9329"/>
    <s v="San Diego"/>
    <s v="CA"/>
    <s v="United States"/>
    <s v="Protein Powder Chocolate 2lb x1 | Bamboo Sunglasses x2"/>
    <x v="8"/>
    <n v="2"/>
    <n v="94.97"/>
    <s v="None"/>
    <n v="0"/>
    <n v="0"/>
    <n v="5.7"/>
    <n v="100.67"/>
    <x v="5"/>
    <x v="5"/>
    <x v="2"/>
    <s v="2024-02-15"/>
    <n v="0"/>
    <x v="0"/>
    <s v="Q1"/>
    <n v="94.97"/>
  </r>
  <r>
    <s v="#ORD-10896"/>
    <s v="2024-08-02"/>
    <s v="11:35:51"/>
    <s v="Victoria Scott"/>
    <s v="victoria.scott10@gmail.com"/>
    <s v="+1-637-602-4363"/>
    <s v="Albuquerque"/>
    <s v="NM"/>
    <s v="United States"/>
    <s v="Air Fryer 5.8Qt x1"/>
    <x v="6"/>
    <n v="1"/>
    <n v="79.989999999999995"/>
    <s v="SAVE10"/>
    <n v="8"/>
    <n v="0"/>
    <n v="5.76"/>
    <n v="77.75"/>
    <x v="0"/>
    <x v="3"/>
    <x v="2"/>
    <s v="2024-08-03"/>
    <n v="0"/>
    <x v="5"/>
    <s v="Q3"/>
    <n v="71.989999999999995"/>
  </r>
  <r>
    <s v="#ORD-10897"/>
    <s v="2024-02-27"/>
    <s v="09:48:10"/>
    <s v="Isabella Anderson"/>
    <s v="isabella.anderson82@gmail.com"/>
    <s v="+1-233-883-1188"/>
    <s v="Boston"/>
    <s v="MA"/>
    <s v="United States"/>
    <s v="USB-C Fast Charger 65W x2 | Multivitamin Daily Pack x1"/>
    <x v="7"/>
    <n v="2"/>
    <n v="79.97"/>
    <s v="SAVE10"/>
    <n v="8"/>
    <n v="0"/>
    <n v="6.12"/>
    <n v="78.09"/>
    <x v="0"/>
    <x v="3"/>
    <x v="1"/>
    <s v="2024-02-28"/>
    <n v="0"/>
    <x v="0"/>
    <s v="Q1"/>
    <n v="71.97"/>
  </r>
  <r>
    <s v="#ORD-10898"/>
    <s v="2024-05-05"/>
    <s v="05:53:10"/>
    <s v="Liam Johnson"/>
    <s v="liam.johnson93@gmail.com"/>
    <s v="+1-751-763-7087"/>
    <s v="Milwaukee"/>
    <s v="WI"/>
    <s v="United States"/>
    <s v="Men's Grooming Kit x2"/>
    <x v="0"/>
    <n v="1"/>
    <n v="71.98"/>
    <s v="LOYALTY5"/>
    <n v="3.6"/>
    <n v="4.99"/>
    <n v="4.0999999999999996"/>
    <n v="77.47"/>
    <x v="1"/>
    <x v="5"/>
    <x v="2"/>
    <s v="2024-05-09"/>
    <n v="0"/>
    <x v="4"/>
    <s v="Q2"/>
    <n v="68.38000000000001"/>
  </r>
  <r>
    <s v="#ORD-10899"/>
    <s v="2024-05-17"/>
    <s v="05:20:16"/>
    <s v="Noah Flores"/>
    <s v="noah.flores93@gmail.com"/>
    <s v="+1-884-690-9847"/>
    <s v="New York"/>
    <s v="NY"/>
    <s v="United States"/>
    <s v="Anti-Aging Serum 1oz x1"/>
    <x v="0"/>
    <n v="1"/>
    <n v="49.99"/>
    <s v="FLASH25"/>
    <n v="12.5"/>
    <n v="7.99"/>
    <n v="3"/>
    <n v="48.48"/>
    <x v="0"/>
    <x v="3"/>
    <x v="2"/>
    <s v="2024-05-22"/>
    <n v="0"/>
    <x v="4"/>
    <s v="Q2"/>
    <n v="37.49"/>
  </r>
  <r>
    <s v="#ORD-10900"/>
    <s v="2024-03-09"/>
    <s v="05:52:31"/>
    <s v="Ella Jackson"/>
    <s v="ella.jackson67@yahoo.com"/>
    <s v="+1-877-367-5024"/>
    <s v="Indianapolis"/>
    <s v="IN"/>
    <s v="United States"/>
    <s v="Yoga Mat Premium x2 | Air Fryer 5.8Qt x1 | Scented Soy Candle Set x1"/>
    <x v="3"/>
    <n v="3"/>
    <n v="172.96"/>
    <s v="FLASH25"/>
    <n v="43.24"/>
    <n v="0"/>
    <n v="11.03"/>
    <n v="140.75"/>
    <x v="5"/>
    <x v="3"/>
    <x v="2"/>
    <s v="2024-03-10"/>
    <n v="0"/>
    <x v="9"/>
    <s v="Q1"/>
    <n v="129.72"/>
  </r>
  <r>
    <s v="#ORD-10901"/>
    <s v="2024-10-08"/>
    <s v="03:13:47"/>
    <s v="Elizabeth Thompson"/>
    <s v="elizabeth.thompson44@gmail.com"/>
    <s v="+1-578-777-1802"/>
    <s v="Oklahoma City"/>
    <s v="OK"/>
    <s v="United States"/>
    <s v="Air Fryer 5.8Qt x1 | Mechanical Keyboard x1"/>
    <x v="6"/>
    <n v="2"/>
    <n v="199.98"/>
    <s v="None"/>
    <n v="0"/>
    <n v="0"/>
    <n v="17"/>
    <n v="216.98"/>
    <x v="0"/>
    <x v="3"/>
    <x v="2"/>
    <s v="2024-10-11"/>
    <n v="0"/>
    <x v="7"/>
    <s v="Q4"/>
    <n v="199.98"/>
  </r>
  <r>
    <s v="#ORD-10902"/>
    <s v="2024-01-17"/>
    <s v="06:17:09"/>
    <s v="Alexander Martin"/>
    <s v="alexander.martin22@yahoo.com"/>
    <s v="+1-832-463-1278"/>
    <s v="Baltimore"/>
    <s v="MD"/>
    <s v="United States"/>
    <s v="Portable Bluetooth Speaker x1 | Essential Oil Diffuser x1"/>
    <x v="7"/>
    <n v="2"/>
    <n v="82.98"/>
    <s v="None"/>
    <n v="0"/>
    <n v="0"/>
    <n v="7.05"/>
    <n v="90.03"/>
    <x v="1"/>
    <x v="0"/>
    <x v="3"/>
    <m/>
    <n v="0"/>
    <x v="6"/>
    <s v="Q1"/>
    <n v="82.98"/>
  </r>
  <r>
    <s v="#ORD-10903"/>
    <s v="2024-04-14"/>
    <s v="00:10:35"/>
    <s v="Benjamin Wright"/>
    <s v="benjamin.wright17@gmail.com"/>
    <s v="+1-760-585-9166"/>
    <s v="Philadelphia"/>
    <s v="PA"/>
    <s v="United States"/>
    <s v="Bamboo Sunglasses x1 | Smart LED Desk Lamp x2 | Canvas Backpack 25L x1"/>
    <x v="2"/>
    <n v="3"/>
    <n v="159.96"/>
    <s v="FLASH25"/>
    <n v="39.99"/>
    <n v="0"/>
    <n v="10.8"/>
    <n v="130.77000000000001"/>
    <x v="6"/>
    <x v="3"/>
    <x v="2"/>
    <s v="2024-04-16"/>
    <n v="0"/>
    <x v="10"/>
    <s v="Q2"/>
    <n v="119.97"/>
  </r>
  <r>
    <s v="#ORD-10904"/>
    <s v="2024-09-08"/>
    <s v="13:23:53"/>
    <s v="Oliver Wright"/>
    <s v="oliver.wright49@yahoo.com"/>
    <s v="+1-734-685-6038"/>
    <s v="San Antonio"/>
    <s v="TX"/>
    <s v="United States"/>
    <s v="Hiking Boots x1"/>
    <x v="5"/>
    <n v="1"/>
    <n v="109.99"/>
    <s v="None"/>
    <n v="0"/>
    <n v="0"/>
    <n v="7.7"/>
    <n v="117.69"/>
    <x v="1"/>
    <x v="0"/>
    <x v="2"/>
    <s v="2024-09-10"/>
    <n v="0"/>
    <x v="11"/>
    <s v="Q3"/>
    <n v="109.99"/>
  </r>
  <r>
    <s v="#ORD-10905"/>
    <s v="2024-06-12"/>
    <s v="00:49:00"/>
    <s v="Sofia Martin"/>
    <s v="sofia.martin3@gmail.com"/>
    <s v="+1-498-746-7387"/>
    <s v="Philadelphia"/>
    <s v="PA"/>
    <s v="United States"/>
    <s v="Mechanical Keyboard x2 | Insulated Water Bottle 32oz x1 | Men's Grooming Kit x1"/>
    <x v="7"/>
    <n v="3"/>
    <n v="303.95999999999998"/>
    <s v="SAVE10"/>
    <n v="30.4"/>
    <n v="0"/>
    <n v="21.88"/>
    <n v="295.44"/>
    <x v="0"/>
    <x v="2"/>
    <x v="4"/>
    <m/>
    <n v="0"/>
    <x v="3"/>
    <s v="Q2"/>
    <n v="273.56"/>
  </r>
  <r>
    <s v="#ORD-10906"/>
    <s v="2024-01-17"/>
    <s v="10:26:36"/>
    <s v="Mia Thompson"/>
    <s v="mia.thompson48@outlook.com"/>
    <s v="+1-681-486-6041"/>
    <s v="Memphis"/>
    <s v="TN"/>
    <s v="United States"/>
    <s v="High-Waist Leggings x1"/>
    <x v="1"/>
    <n v="1"/>
    <n v="42.99"/>
    <s v="SAVE10"/>
    <n v="4.3"/>
    <n v="7.99"/>
    <n v="3.48"/>
    <n v="50.16"/>
    <x v="1"/>
    <x v="3"/>
    <x v="2"/>
    <s v="2024-01-18"/>
    <n v="0"/>
    <x v="6"/>
    <s v="Q1"/>
    <n v="38.690000000000005"/>
  </r>
  <r>
    <s v="#ORD-10907"/>
    <s v="2024-07-24"/>
    <s v="23:15:58"/>
    <s v="Sofia Moore"/>
    <s v="sofia.moore38@outlook.com"/>
    <s v="+1-539-842-3199"/>
    <s v="Milwaukee"/>
    <s v="WI"/>
    <s v="United States"/>
    <s v="Bamboo Sunglasses x2 | Wireless Noise-Cancelling Headphones x2"/>
    <x v="2"/>
    <n v="2"/>
    <n v="229.96"/>
    <s v="SAVE10"/>
    <n v="23"/>
    <n v="0"/>
    <n v="14.49"/>
    <n v="221.45"/>
    <x v="1"/>
    <x v="5"/>
    <x v="2"/>
    <s v="2024-07-27"/>
    <n v="0"/>
    <x v="2"/>
    <s v="Q3"/>
    <n v="206.96"/>
  </r>
  <r>
    <s v="#ORD-10908"/>
    <s v="2024-09-24"/>
    <s v="07:01:22"/>
    <s v="Sebastian Green"/>
    <s v="sebastian.green90@gmail.com"/>
    <s v="+1-738-363-6162"/>
    <s v="Baltimore"/>
    <s v="MD"/>
    <s v="United States"/>
    <s v="Yoga Mat Premium x1"/>
    <x v="3"/>
    <n v="1"/>
    <n v="34.99"/>
    <s v="None"/>
    <n v="0"/>
    <n v="7.99"/>
    <n v="2.4500000000000002"/>
    <n v="45.43"/>
    <x v="0"/>
    <x v="3"/>
    <x v="1"/>
    <s v="2024-09-26"/>
    <n v="0"/>
    <x v="11"/>
    <s v="Q3"/>
    <n v="34.99"/>
  </r>
  <r>
    <s v="#ORD-10909"/>
    <s v="2024-02-04"/>
    <s v="23:23:52"/>
    <s v="Mason Sanchez"/>
    <s v="mason.sanchez29@outlook.com"/>
    <s v="+1-293-746-4243"/>
    <s v="Portland"/>
    <s v="OR"/>
    <s v="United States"/>
    <s v="Scented Soy Candle Set x1"/>
    <x v="4"/>
    <n v="1"/>
    <n v="22.99"/>
    <s v="SUMMER20"/>
    <n v="4.5999999999999996"/>
    <n v="4.99"/>
    <n v="1.66"/>
    <n v="25.04"/>
    <x v="0"/>
    <x v="7"/>
    <x v="2"/>
    <s v="2024-02-09"/>
    <n v="0"/>
    <x v="0"/>
    <s v="Q1"/>
    <n v="18.39"/>
  </r>
  <r>
    <s v="#ORD-10910"/>
    <s v="2024-01-16"/>
    <s v="05:28:27"/>
    <s v="Michael Wilson"/>
    <s v="michael.wilson52@outlook.com"/>
    <s v="+1-997-665-9592"/>
    <s v="Phoenix"/>
    <s v="AZ"/>
    <s v="United States"/>
    <s v="Canvas Backpack 25L x3 | Portable Bluetooth Speaker x2 | Men's Grooming Kit x1 | USB-C Fast Charger 65W x1"/>
    <x v="2"/>
    <n v="4"/>
    <n v="330.93"/>
    <s v="SAVE10"/>
    <n v="33.090000000000003"/>
    <n v="0"/>
    <n v="25.32"/>
    <n v="323.16000000000003"/>
    <x v="0"/>
    <x v="1"/>
    <x v="4"/>
    <m/>
    <n v="0"/>
    <x v="6"/>
    <s v="Q1"/>
    <n v="297.84000000000003"/>
  </r>
  <r>
    <s v="#ORD-10911"/>
    <s v="2024-01-11"/>
    <s v="07:38:36"/>
    <s v="Emma Smith"/>
    <s v="emma.smith24@gmail.com"/>
    <s v="+1-810-222-7807"/>
    <s v="Tucson"/>
    <s v="AZ"/>
    <s v="United States"/>
    <s v="Wireless Noise-Cancelling Headphones x1 | Linen Throw Blanket x1 | Smart LED Desk Lamp x2 | Resistance Band Set x1 | Classic Fit Polo Shirt x1"/>
    <x v="7"/>
    <n v="5"/>
    <n v="269.94"/>
    <s v="WELCOME15"/>
    <n v="40.49"/>
    <n v="0"/>
    <n v="18.36"/>
    <n v="247.81"/>
    <x v="5"/>
    <x v="4"/>
    <x v="2"/>
    <s v="2024-01-14"/>
    <n v="0"/>
    <x v="6"/>
    <s v="Q1"/>
    <n v="229.45"/>
  </r>
  <r>
    <s v="#ORD-10912"/>
    <s v="2024-08-24"/>
    <s v="19:12:47"/>
    <s v="Emma Green"/>
    <s v="emma.green28@gmail.com"/>
    <s v="+1-431-336-7504"/>
    <s v="El Paso"/>
    <s v="TX"/>
    <s v="United States"/>
    <s v="Mechanical Keyboard x1 | Leather Wallet Slim x1 | Portable Bluetooth Speaker x2"/>
    <x v="7"/>
    <n v="3"/>
    <n v="249.96"/>
    <s v="FLASH25"/>
    <n v="62.49"/>
    <n v="0"/>
    <n v="18.75"/>
    <n v="206.22"/>
    <x v="6"/>
    <x v="3"/>
    <x v="0"/>
    <s v="2024-08-27"/>
    <n v="206.22"/>
    <x v="5"/>
    <s v="Q3"/>
    <n v="187.47"/>
  </r>
  <r>
    <s v="#ORD-10913"/>
    <s v="2024-06-07"/>
    <s v="04:06:56"/>
    <s v="Owen Young"/>
    <s v="owen.young4@outlook.com"/>
    <s v="+1-481-443-6532"/>
    <s v="Austin"/>
    <s v="TX"/>
    <s v="United States"/>
    <s v="Denim Jacket x2"/>
    <x v="1"/>
    <n v="1"/>
    <n v="129.97999999999999"/>
    <s v="None"/>
    <n v="0"/>
    <n v="0"/>
    <n v="11.7"/>
    <n v="141.68"/>
    <x v="1"/>
    <x v="3"/>
    <x v="2"/>
    <s v="2024-06-11"/>
    <n v="0"/>
    <x v="3"/>
    <s v="Q2"/>
    <n v="129.97999999999999"/>
  </r>
  <r>
    <s v="#ORD-10914"/>
    <s v="2024-11-28"/>
    <s v="22:24:12"/>
    <s v="Sofia Jones"/>
    <s v="sofia.jones33@outlook.com"/>
    <s v="+1-645-909-1759"/>
    <s v="Chicago"/>
    <s v="IL"/>
    <s v="United States"/>
    <s v="Mechanical Keyboard x1 | Air Fryer 5.8Qt x2 | Coffee Maker Programmable x2"/>
    <x v="7"/>
    <n v="3"/>
    <n v="389.95"/>
    <s v="None"/>
    <n v="0"/>
    <n v="0"/>
    <n v="31.2"/>
    <n v="421.15"/>
    <x v="0"/>
    <x v="1"/>
    <x v="4"/>
    <m/>
    <n v="0"/>
    <x v="8"/>
    <s v="Q4"/>
    <n v="389.95"/>
  </r>
  <r>
    <s v="#ORD-10915"/>
    <s v="2024-10-30"/>
    <s v="00:59:10"/>
    <s v="Owen Miller"/>
    <s v="owen.miller96@gmail.com"/>
    <s v="+1-357-801-8465"/>
    <s v="Houston"/>
    <s v="TX"/>
    <s v="United States"/>
    <s v="Portable Bluetooth Speaker x3 | Running Shoes - Women's x1 | Canvas Backpack 25L x1"/>
    <x v="7"/>
    <n v="3"/>
    <n v="274.95"/>
    <s v="WELCOME15"/>
    <n v="41.24"/>
    <n v="0"/>
    <n v="19.87"/>
    <n v="253.58"/>
    <x v="4"/>
    <x v="3"/>
    <x v="2"/>
    <s v="2024-11-03"/>
    <n v="0"/>
    <x v="7"/>
    <s v="Q4"/>
    <n v="233.70999999999998"/>
  </r>
  <r>
    <s v="#ORD-10916"/>
    <s v="2024-03-09"/>
    <s v="03:51:16"/>
    <s v="Ava Lee"/>
    <s v="ava.lee28@gmail.com"/>
    <s v="+1-634-881-3336"/>
    <s v="Portland"/>
    <s v="OR"/>
    <s v="United States"/>
    <s v="Hiking Boots x1 | Leather Wallet Slim x2 | Resistance Band Set x1"/>
    <x v="5"/>
    <n v="3"/>
    <n v="194.96"/>
    <s v="None"/>
    <n v="0"/>
    <n v="0"/>
    <n v="16.57"/>
    <n v="211.53"/>
    <x v="1"/>
    <x v="5"/>
    <x v="3"/>
    <m/>
    <n v="0"/>
    <x v="9"/>
    <s v="Q1"/>
    <n v="194.96"/>
  </r>
  <r>
    <s v="#ORD-10917"/>
    <s v="2024-01-16"/>
    <s v="16:00:47"/>
    <s v="Benjamin Wilson"/>
    <s v="benjamin.wilson34@gmail.com"/>
    <s v="+1-339-517-1755"/>
    <s v="San Francisco"/>
    <s v="CA"/>
    <s v="United States"/>
    <s v="Yoga Mat Premium x2"/>
    <x v="3"/>
    <n v="1"/>
    <n v="69.98"/>
    <s v="None"/>
    <n v="0"/>
    <n v="9.99"/>
    <n v="4.9000000000000004"/>
    <n v="84.87"/>
    <x v="0"/>
    <x v="3"/>
    <x v="0"/>
    <s v="2024-01-21"/>
    <n v="84.87"/>
    <x v="6"/>
    <s v="Q1"/>
    <n v="69.98"/>
  </r>
  <r>
    <s v="#ORD-10918"/>
    <s v="2024-02-09"/>
    <s v="19:08:01"/>
    <s v="Lucas Anderson"/>
    <s v="lucas.anderson48@yahoo.com"/>
    <s v="+1-787-286-1258"/>
    <s v="Oklahoma City"/>
    <s v="OK"/>
    <s v="United States"/>
    <s v="Organic Green Tea 100ct x1 | Sunscreen SPF 50 Face x1"/>
    <x v="9"/>
    <n v="2"/>
    <n v="33.979999999999997"/>
    <s v="None"/>
    <n v="0"/>
    <n v="7.99"/>
    <n v="3.06"/>
    <n v="45.03"/>
    <x v="1"/>
    <x v="3"/>
    <x v="2"/>
    <s v="2024-02-12"/>
    <n v="0"/>
    <x v="0"/>
    <s v="Q1"/>
    <n v="33.979999999999997"/>
  </r>
  <r>
    <s v="#ORD-10919"/>
    <s v="2024-08-20"/>
    <s v="04:22:09"/>
    <s v="Avery Taylor"/>
    <s v="avery.taylor22@gmail.com"/>
    <s v="+1-291-634-5842"/>
    <s v="Denver"/>
    <s v="CO"/>
    <s v="United States"/>
    <s v="Scented Soy Candle Set x1 | Essential Oil Diffuser x1"/>
    <x v="4"/>
    <n v="2"/>
    <n v="55.98"/>
    <s v="WELCOME15"/>
    <n v="8.4"/>
    <n v="7.99"/>
    <n v="4.28"/>
    <n v="59.85"/>
    <x v="1"/>
    <x v="4"/>
    <x v="3"/>
    <m/>
    <n v="0"/>
    <x v="5"/>
    <s v="Q3"/>
    <n v="47.58"/>
  </r>
  <r>
    <s v="#ORD-10920"/>
    <s v="2024-08-08"/>
    <s v="21:14:19"/>
    <s v="James Scott"/>
    <s v="james.scott47@outlook.com"/>
    <s v="+1-394-210-4030"/>
    <s v="Louisville"/>
    <s v="KY"/>
    <s v="United States"/>
    <s v="Resistance Band Set x1"/>
    <x v="3"/>
    <n v="1"/>
    <n v="24.99"/>
    <s v="SAVE10"/>
    <n v="2.5"/>
    <n v="4.99"/>
    <n v="2.02"/>
    <n v="29.5"/>
    <x v="4"/>
    <x v="0"/>
    <x v="2"/>
    <s v="2024-08-10"/>
    <n v="0"/>
    <x v="5"/>
    <s v="Q3"/>
    <n v="22.49"/>
  </r>
  <r>
    <s v="#ORD-10921"/>
    <s v="2024-08-07"/>
    <s v="00:04:12"/>
    <s v="Amelia Jackson"/>
    <s v="amelia.jackson19@yahoo.com"/>
    <s v="+1-231-757-8241"/>
    <s v="Memphis"/>
    <s v="TN"/>
    <s v="United States"/>
    <s v="Portable Bluetooth Speaker x1 | Multivitamin Daily Pack x1"/>
    <x v="7"/>
    <n v="2"/>
    <n v="69.98"/>
    <s v="FLASH25"/>
    <n v="17.5"/>
    <n v="9.99"/>
    <n v="3.67"/>
    <n v="66.14"/>
    <x v="5"/>
    <x v="3"/>
    <x v="4"/>
    <m/>
    <n v="0"/>
    <x v="5"/>
    <s v="Q3"/>
    <n v="52.480000000000004"/>
  </r>
  <r>
    <s v="#ORD-10922"/>
    <s v="2024-07-20"/>
    <s v="22:41:35"/>
    <s v="Logan Wilson"/>
    <s v="logan.wilson72@outlook.com"/>
    <s v="+1-203-452-7676"/>
    <s v="San Jose"/>
    <s v="CA"/>
    <s v="United States"/>
    <s v="Resistance Band Set x1 | Anti-Aging Serum 1oz x2"/>
    <x v="3"/>
    <n v="2"/>
    <n v="124.97"/>
    <s v="None"/>
    <n v="0"/>
    <n v="0"/>
    <n v="11.25"/>
    <n v="136.22"/>
    <x v="0"/>
    <x v="2"/>
    <x v="2"/>
    <s v="2024-07-23"/>
    <n v="0"/>
    <x v="2"/>
    <s v="Q3"/>
    <n v="124.97"/>
  </r>
  <r>
    <s v="#ORD-10923"/>
    <s v="2024-01-12"/>
    <s v="15:03:36"/>
    <s v="Mason Martinez"/>
    <s v="mason.martinez89@yahoo.com"/>
    <s v="+1-763-491-7198"/>
    <s v="Albuquerque"/>
    <s v="NM"/>
    <s v="United States"/>
    <s v="Canvas Backpack 25L x1 | High-Waist Leggings x1"/>
    <x v="2"/>
    <n v="2"/>
    <n v="97.98"/>
    <s v="SAVE10"/>
    <n v="9.8000000000000007"/>
    <n v="0"/>
    <n v="7.94"/>
    <n v="96.12"/>
    <x v="1"/>
    <x v="5"/>
    <x v="2"/>
    <s v="2024-01-13"/>
    <n v="0"/>
    <x v="6"/>
    <s v="Q1"/>
    <n v="88.18"/>
  </r>
  <r>
    <s v="#ORD-10924"/>
    <s v="2024-08-06"/>
    <s v="04:18:00"/>
    <s v="Emily Clark"/>
    <s v="emily.clark10@yahoo.com"/>
    <s v="+1-396-895-5375"/>
    <s v="Oklahoma City"/>
    <s v="OK"/>
    <s v="United States"/>
    <s v="Multivitamin Daily Pack x1 | Smart LED Desk Lamp x1"/>
    <x v="8"/>
    <n v="2"/>
    <n v="59.98"/>
    <s v="None"/>
    <n v="0"/>
    <n v="5.99"/>
    <n v="5.4"/>
    <n v="71.37"/>
    <x v="0"/>
    <x v="3"/>
    <x v="2"/>
    <s v="2024-08-09"/>
    <n v="0"/>
    <x v="5"/>
    <s v="Q3"/>
    <n v="59.98"/>
  </r>
  <r>
    <s v="#ORD-10925"/>
    <s v="2024-11-26"/>
    <s v="00:22:12"/>
    <s v="Henry Scott"/>
    <s v="henry.scott31@outlook.com"/>
    <s v="+1-814-500-7378"/>
    <s v="Phoenix"/>
    <s v="AZ"/>
    <s v="United States"/>
    <s v="Essential Oil Diffuser x1 | Leather Wallet Slim x1"/>
    <x v="4"/>
    <n v="2"/>
    <n v="62.98"/>
    <s v="None"/>
    <n v="0"/>
    <n v="9.99"/>
    <n v="4.41"/>
    <n v="77.38"/>
    <x v="0"/>
    <x v="0"/>
    <x v="0"/>
    <s v="2024-11-30"/>
    <n v="77.38"/>
    <x v="8"/>
    <s v="Q4"/>
    <n v="62.98"/>
  </r>
  <r>
    <s v="#ORD-10926"/>
    <s v="2024-03-19"/>
    <s v="11:19:24"/>
    <s v="Ava Brown"/>
    <s v="ava.brown98@gmail.com"/>
    <s v="+1-826-763-5575"/>
    <s v="Houston"/>
    <s v="TX"/>
    <s v="United States"/>
    <s v="Anti-Aging Serum 1oz x1"/>
    <x v="0"/>
    <n v="1"/>
    <n v="49.99"/>
    <s v="LOYALTY5"/>
    <n v="2.5"/>
    <n v="7.99"/>
    <n v="2.85"/>
    <n v="58.33"/>
    <x v="0"/>
    <x v="3"/>
    <x v="0"/>
    <s v="2024-03-20"/>
    <n v="58.33"/>
    <x v="9"/>
    <s v="Q1"/>
    <n v="47.49"/>
  </r>
  <r>
    <s v="#ORD-10927"/>
    <s v="2024-10-13"/>
    <s v="12:08:42"/>
    <s v="Ethan Jackson"/>
    <s v="ethan.jackson78@gmail.com"/>
    <s v="+1-947-477-4612"/>
    <s v="Oklahoma City"/>
    <s v="OK"/>
    <s v="United States"/>
    <s v="Organic Green Tea 100ct x1"/>
    <x v="9"/>
    <n v="1"/>
    <n v="14.99"/>
    <s v="None"/>
    <n v="0"/>
    <n v="5.99"/>
    <n v="1.35"/>
    <n v="22.33"/>
    <x v="2"/>
    <x v="0"/>
    <x v="2"/>
    <s v="2024-10-14"/>
    <n v="0"/>
    <x v="7"/>
    <s v="Q4"/>
    <n v="14.99"/>
  </r>
  <r>
    <s v="#ORD-10928"/>
    <s v="2024-08-20"/>
    <s v="13:33:12"/>
    <s v="Elijah Moore"/>
    <s v="elijah.moore64@gmail.com"/>
    <s v="+1-340-452-1318"/>
    <s v="New York"/>
    <s v="NY"/>
    <s v="United States"/>
    <s v="Running Shoes - Men's x1"/>
    <x v="5"/>
    <n v="1"/>
    <n v="74.989999999999995"/>
    <s v="SUMMER20"/>
    <n v="15"/>
    <n v="5.99"/>
    <n v="6"/>
    <n v="71.98"/>
    <x v="5"/>
    <x v="2"/>
    <x v="2"/>
    <s v="2024-08-25"/>
    <n v="0"/>
    <x v="5"/>
    <s v="Q3"/>
    <n v="59.989999999999995"/>
  </r>
  <r>
    <s v="#ORD-10929"/>
    <s v="2024-12-24"/>
    <s v="09:23:19"/>
    <s v="William Garcia"/>
    <s v="william.garcia63@outlook.com"/>
    <s v="+1-606-636-9741"/>
    <s v="Portland"/>
    <s v="OR"/>
    <s v="United States"/>
    <s v="Portable Bluetooth Speaker x3"/>
    <x v="7"/>
    <n v="1"/>
    <n v="149.97"/>
    <s v="LOYALTY5"/>
    <n v="7.5"/>
    <n v="0"/>
    <n v="14.25"/>
    <n v="156.72"/>
    <x v="2"/>
    <x v="3"/>
    <x v="2"/>
    <s v="2024-12-25"/>
    <n v="0"/>
    <x v="1"/>
    <s v="Q4"/>
    <n v="142.47"/>
  </r>
  <r>
    <s v="#ORD-10930"/>
    <s v="2024-03-31"/>
    <s v="03:27:03"/>
    <s v="Harper Jones"/>
    <s v="harper.jones26@gmail.com"/>
    <s v="+1-311-578-9924"/>
    <s v="San Antonio"/>
    <s v="TX"/>
    <s v="United States"/>
    <s v="Mechanical Keyboard x3"/>
    <x v="7"/>
    <n v="1"/>
    <n v="359.97"/>
    <s v="SAVE10"/>
    <n v="36"/>
    <n v="0"/>
    <n v="25.92"/>
    <n v="349.89"/>
    <x v="1"/>
    <x v="3"/>
    <x v="1"/>
    <s v="2024-04-04"/>
    <n v="0"/>
    <x v="9"/>
    <s v="Q1"/>
    <n v="323.97000000000003"/>
  </r>
  <r>
    <s v="#ORD-10931"/>
    <s v="2024-03-04"/>
    <s v="19:08:02"/>
    <s v="Ethan Walker"/>
    <s v="ethan.walker27@outlook.com"/>
    <s v="+1-678-607-9947"/>
    <s v="New York"/>
    <s v="NY"/>
    <s v="United States"/>
    <s v="USB-C Fast Charger 65W x1 | Scented Soy Candle Set x1"/>
    <x v="7"/>
    <n v="2"/>
    <n v="52.98"/>
    <s v="None"/>
    <n v="0"/>
    <n v="9.99"/>
    <n v="3.71"/>
    <n v="66.680000000000007"/>
    <x v="6"/>
    <x v="7"/>
    <x v="1"/>
    <s v="2024-03-06"/>
    <n v="0"/>
    <x v="9"/>
    <s v="Q1"/>
    <n v="52.98"/>
  </r>
  <r>
    <s v="#ORD-10932"/>
    <s v="2024-06-22"/>
    <s v="18:54:11"/>
    <s v="Chloe Thompson"/>
    <s v="chloe.thompson16@gmail.com"/>
    <s v="+1-344-984-7481"/>
    <s v="Fort Worth"/>
    <s v="TX"/>
    <s v="United States"/>
    <s v="Anti-Aging Serum 1oz x1"/>
    <x v="0"/>
    <n v="1"/>
    <n v="49.99"/>
    <s v="SAVE10"/>
    <n v="5"/>
    <n v="7.99"/>
    <n v="4.05"/>
    <n v="57.03"/>
    <x v="0"/>
    <x v="1"/>
    <x v="1"/>
    <s v="2024-06-23"/>
    <n v="0"/>
    <x v="3"/>
    <s v="Q2"/>
    <n v="44.99"/>
  </r>
  <r>
    <s v="#ORD-10933"/>
    <s v="2024-04-20"/>
    <s v="14:09:40"/>
    <s v="Evelyn King"/>
    <s v="evelyn.king13@gmail.com"/>
    <s v="+1-365-754-2511"/>
    <s v="Los Angeles"/>
    <s v="CA"/>
    <s v="United States"/>
    <s v="Casual Sneakers x2 | Organic Green Tea 100ct x1 | Running Shoes - Women's x1 | Anti-Aging Serum 1oz x3 | Hiking Boots x2"/>
    <x v="5"/>
    <n v="5"/>
    <n v="574.91"/>
    <s v="SUMMER20"/>
    <n v="114.98"/>
    <n v="0"/>
    <n v="45.99"/>
    <n v="505.92"/>
    <x v="5"/>
    <x v="2"/>
    <x v="2"/>
    <s v="2024-04-21"/>
    <n v="0"/>
    <x v="10"/>
    <s v="Q2"/>
    <n v="459.92999999999995"/>
  </r>
  <r>
    <s v="#ORD-10934"/>
    <s v="2024-03-16"/>
    <s v="02:28:57"/>
    <s v="Michael Hill"/>
    <s v="michael.hill24@gmail.com"/>
    <s v="+1-439-876-7979"/>
    <s v="Seattle"/>
    <s v="WA"/>
    <s v="United States"/>
    <s v="Bamboo Sunglasses x3"/>
    <x v="2"/>
    <n v="1"/>
    <n v="74.97"/>
    <s v="None"/>
    <n v="0"/>
    <n v="7.99"/>
    <n v="7.5"/>
    <n v="90.46"/>
    <x v="6"/>
    <x v="6"/>
    <x v="3"/>
    <m/>
    <n v="0"/>
    <x v="9"/>
    <s v="Q1"/>
    <n v="74.97"/>
  </r>
  <r>
    <s v="#ORD-10935"/>
    <s v="2024-09-21"/>
    <s v="16:20:10"/>
    <s v="Amelia Scott"/>
    <s v="amelia.scott15@yahoo.com"/>
    <s v="+1-689-816-2000"/>
    <s v="San Diego"/>
    <s v="CA"/>
    <s v="United States"/>
    <s v="Multivitamin Daily Pack x2 | Wireless Noise-Cancelling Headphones x3 | Resistance Band Set x1 | Casual Sneakers x2 | Linen Throw Blanket x1"/>
    <x v="8"/>
    <n v="5"/>
    <n v="494.91"/>
    <s v="WELCOME15"/>
    <n v="74.239999999999995"/>
    <n v="0"/>
    <n v="35.76"/>
    <n v="456.43"/>
    <x v="1"/>
    <x v="7"/>
    <x v="3"/>
    <m/>
    <n v="0"/>
    <x v="11"/>
    <s v="Q3"/>
    <n v="420.67"/>
  </r>
  <r>
    <s v="#ORD-10936"/>
    <s v="2024-11-30"/>
    <s v="00:43:22"/>
    <s v="Henry Allen"/>
    <s v="henry.allen52@outlook.com"/>
    <s v="+1-602-795-6997"/>
    <s v="San Diego"/>
    <s v="CA"/>
    <s v="United States"/>
    <s v="Insulated Water Bottle 32oz x1 | Classic Fit Polo Shirt x1 | Wireless Noise-Cancelling Headphones x1"/>
    <x v="3"/>
    <n v="3"/>
    <n v="152.97"/>
    <s v="None"/>
    <n v="0"/>
    <n v="0"/>
    <n v="10.71"/>
    <n v="163.68"/>
    <x v="0"/>
    <x v="3"/>
    <x v="2"/>
    <s v="2024-12-01"/>
    <n v="0"/>
    <x v="8"/>
    <s v="Q4"/>
    <n v="152.97"/>
  </r>
  <r>
    <s v="#ORD-10937"/>
    <s v="2024-06-06"/>
    <s v="06:15:53"/>
    <s v="Emma Perez"/>
    <s v="emma.perez58@outlook.com"/>
    <s v="+1-667-873-1646"/>
    <s v="Seattle"/>
    <s v="WA"/>
    <s v="United States"/>
    <s v="Men's Grooming Kit x1 | USB-C Fast Charger 65W x2"/>
    <x v="0"/>
    <n v="2"/>
    <n v="95.97"/>
    <s v="None"/>
    <n v="0"/>
    <n v="0"/>
    <n v="5.76"/>
    <n v="101.73"/>
    <x v="3"/>
    <x v="3"/>
    <x v="4"/>
    <m/>
    <n v="0"/>
    <x v="3"/>
    <s v="Q2"/>
    <n v="95.97"/>
  </r>
  <r>
    <s v="#ORD-10938"/>
    <s v="2024-08-30"/>
    <s v="02:51:14"/>
    <s v="William Hill"/>
    <s v="william.hill99@yahoo.com"/>
    <s v="+1-819-808-4765"/>
    <s v="Seattle"/>
    <s v="WA"/>
    <s v="United States"/>
    <s v="Yoga Mat Premium x1 | High-Waist Leggings x1"/>
    <x v="3"/>
    <n v="2"/>
    <n v="77.98"/>
    <s v="None"/>
    <n v="0"/>
    <n v="0"/>
    <n v="5.46"/>
    <n v="83.44"/>
    <x v="4"/>
    <x v="3"/>
    <x v="1"/>
    <s v="2024-08-31"/>
    <n v="0"/>
    <x v="5"/>
    <s v="Q3"/>
    <n v="77.98"/>
  </r>
  <r>
    <s v="#ORD-10939"/>
    <s v="2024-04-23"/>
    <s v="08:24:11"/>
    <s v="Grace Lewis"/>
    <s v="grace.lewis77@yahoo.com"/>
    <s v="+1-555-562-9940"/>
    <s v="Portland"/>
    <s v="OR"/>
    <s v="United States"/>
    <s v="Yoga Mat Premium x1 | Leather Wallet Slim x2"/>
    <x v="3"/>
    <n v="2"/>
    <n v="94.97"/>
    <s v="LOYALTY5"/>
    <n v="4.75"/>
    <n v="0"/>
    <n v="8.1199999999999992"/>
    <n v="98.34"/>
    <x v="1"/>
    <x v="3"/>
    <x v="2"/>
    <s v="2024-04-26"/>
    <n v="0"/>
    <x v="10"/>
    <s v="Q2"/>
    <n v="90.22"/>
  </r>
  <r>
    <s v="#ORD-10940"/>
    <s v="2024-06-20"/>
    <s v="10:11:52"/>
    <s v="Scarlett Walker"/>
    <s v="scarlett.walker97@outlook.com"/>
    <s v="+1-830-562-5503"/>
    <s v="Louisville"/>
    <s v="KY"/>
    <s v="United States"/>
    <s v="Bamboo Sunglasses x1"/>
    <x v="2"/>
    <n v="1"/>
    <n v="24.99"/>
    <s v="FLASH25"/>
    <n v="6.25"/>
    <n v="9.99"/>
    <n v="1.59"/>
    <n v="30.32"/>
    <x v="5"/>
    <x v="3"/>
    <x v="2"/>
    <s v="2024-06-21"/>
    <n v="0"/>
    <x v="3"/>
    <s v="Q2"/>
    <n v="18.739999999999998"/>
  </r>
  <r>
    <s v="#ORD-10941"/>
    <s v="2024-06-28"/>
    <s v="04:36:55"/>
    <s v="Elizabeth Jones"/>
    <s v="elizabeth.jones9@outlook.com"/>
    <s v="+1-527-628-4213"/>
    <s v="Nashville"/>
    <s v="TN"/>
    <s v="United States"/>
    <s v="Coffee Maker Programmable x1 | Stainless Steel Cookware Set x1"/>
    <x v="6"/>
    <n v="2"/>
    <n v="184.98"/>
    <s v="LOYALTY5"/>
    <n v="9.25"/>
    <n v="0"/>
    <n v="15.82"/>
    <n v="191.55"/>
    <x v="2"/>
    <x v="5"/>
    <x v="2"/>
    <s v="2024-06-30"/>
    <n v="0"/>
    <x v="3"/>
    <s v="Q2"/>
    <n v="175.73"/>
  </r>
  <r>
    <s v="#ORD-10942"/>
    <s v="2024-01-01"/>
    <s v="06:06:05"/>
    <s v="Michael Williams"/>
    <s v="michael.williams83@outlook.com"/>
    <s v="+1-590-845-6437"/>
    <s v="Louisville"/>
    <s v="KY"/>
    <s v="United States"/>
    <s v="Running Shoes - Men's x1"/>
    <x v="5"/>
    <n v="1"/>
    <n v="74.989999999999995"/>
    <s v="None"/>
    <n v="0"/>
    <n v="7.99"/>
    <n v="4.5"/>
    <n v="87.48"/>
    <x v="1"/>
    <x v="2"/>
    <x v="1"/>
    <s v="2024-01-05"/>
    <n v="0"/>
    <x v="6"/>
    <s v="Q1"/>
    <n v="74.989999999999995"/>
  </r>
  <r>
    <s v="#ORD-10943"/>
    <s v="2024-12-15"/>
    <s v="10:26:02"/>
    <s v="Sebastian Nguyen"/>
    <s v="sebastian.nguyen4@yahoo.com"/>
    <s v="+1-561-946-5819"/>
    <s v="Los Angeles"/>
    <s v="CA"/>
    <s v="United States"/>
    <s v="Classic Fit Polo Shirt x1 | Men's Grooming Kit x1"/>
    <x v="1"/>
    <n v="2"/>
    <n v="70.98"/>
    <s v="SAVE10"/>
    <n v="7.1"/>
    <n v="5.99"/>
    <n v="5.75"/>
    <n v="75.62"/>
    <x v="5"/>
    <x v="0"/>
    <x v="2"/>
    <s v="2024-12-17"/>
    <n v="0"/>
    <x v="1"/>
    <s v="Q4"/>
    <n v="63.88"/>
  </r>
  <r>
    <s v="#ORD-10944"/>
    <s v="2024-11-24"/>
    <s v="20:13:04"/>
    <s v="Logan Thomas"/>
    <s v="logan.thomas18@outlook.com"/>
    <s v="+1-614-268-5271"/>
    <s v="Oklahoma City"/>
    <s v="OK"/>
    <s v="United States"/>
    <s v="Protein Powder Chocolate 2lb x2"/>
    <x v="8"/>
    <n v="1"/>
    <n v="89.98"/>
    <s v="None"/>
    <n v="0"/>
    <n v="0"/>
    <n v="6.3"/>
    <n v="96.28"/>
    <x v="5"/>
    <x v="2"/>
    <x v="2"/>
    <s v="2024-11-27"/>
    <n v="0"/>
    <x v="8"/>
    <s v="Q4"/>
    <n v="89.98"/>
  </r>
  <r>
    <s v="#ORD-10945"/>
    <s v="2024-12-28"/>
    <s v="00:22:16"/>
    <s v="Ethan Lee"/>
    <s v="ethan.lee69@outlook.com"/>
    <s v="+1-742-722-7062"/>
    <s v="Philadelphia"/>
    <s v="PA"/>
    <s v="United States"/>
    <s v="Bamboo Sunglasses x1 | Resistance Band Set x3"/>
    <x v="2"/>
    <n v="2"/>
    <n v="99.96"/>
    <s v="None"/>
    <n v="0"/>
    <n v="0"/>
    <n v="8.5"/>
    <n v="108.46"/>
    <x v="2"/>
    <x v="3"/>
    <x v="2"/>
    <s v="2024-12-31"/>
    <n v="0"/>
    <x v="1"/>
    <s v="Q4"/>
    <n v="99.96"/>
  </r>
  <r>
    <s v="#ORD-10946"/>
    <s v="2024-10-02"/>
    <s v="23:24:52"/>
    <s v="Sophia Anderson"/>
    <s v="sophia.anderson65@gmail.com"/>
    <s v="+1-528-874-8991"/>
    <s v="Milwaukee"/>
    <s v="WI"/>
    <s v="United States"/>
    <s v="Insulated Water Bottle 32oz x1"/>
    <x v="3"/>
    <n v="1"/>
    <n v="27.99"/>
    <s v="SUMMER20"/>
    <n v="5.6"/>
    <n v="7.99"/>
    <n v="1.9"/>
    <n v="32.28"/>
    <x v="2"/>
    <x v="0"/>
    <x v="2"/>
    <s v="2024-10-07"/>
    <n v="0"/>
    <x v="7"/>
    <s v="Q4"/>
    <n v="22.39"/>
  </r>
  <r>
    <s v="#ORD-10947"/>
    <s v="2024-08-31"/>
    <s v="22:34:29"/>
    <s v="Evelyn Taylor"/>
    <s v="evelyn.taylor1@gmail.com"/>
    <s v="+1-403-634-6465"/>
    <s v="San Diego"/>
    <s v="CA"/>
    <s v="United States"/>
    <s v="Leather Wallet Slim x2 | Anti-Aging Serum 1oz x2"/>
    <x v="2"/>
    <n v="2"/>
    <n v="159.96"/>
    <s v="None"/>
    <n v="0"/>
    <n v="0"/>
    <n v="9.6"/>
    <n v="169.56"/>
    <x v="2"/>
    <x v="0"/>
    <x v="2"/>
    <s v="2024-09-01"/>
    <n v="0"/>
    <x v="5"/>
    <s v="Q3"/>
    <n v="159.96"/>
  </r>
  <r>
    <s v="#ORD-10948"/>
    <s v="2024-05-21"/>
    <s v="10:48:38"/>
    <s v="Daniel Thomas"/>
    <s v="daniel.thomas5@gmail.com"/>
    <s v="+1-946-277-6998"/>
    <s v="Dallas"/>
    <s v="TX"/>
    <s v="United States"/>
    <s v="Yoga Mat Premium x1"/>
    <x v="3"/>
    <n v="1"/>
    <n v="34.99"/>
    <s v="SAVE10"/>
    <n v="3.5"/>
    <n v="9.99"/>
    <n v="1.89"/>
    <n v="43.37"/>
    <x v="0"/>
    <x v="3"/>
    <x v="2"/>
    <s v="2024-05-23"/>
    <n v="0"/>
    <x v="4"/>
    <s v="Q2"/>
    <n v="31.490000000000002"/>
  </r>
  <r>
    <s v="#ORD-10949"/>
    <s v="2024-11-24"/>
    <s v="12:07:48"/>
    <s v="Benjamin Wilson"/>
    <s v="benjamin.wilson54@gmail.com"/>
    <s v="+1-236-894-6797"/>
    <s v="Baltimore"/>
    <s v="MD"/>
    <s v="United States"/>
    <s v="Smart LED Desk Lamp x1 | Casual Sneakers x1 | High-Waist Leggings x1 | Multivitamin Daily Pack x1"/>
    <x v="7"/>
    <n v="4"/>
    <n v="162.96"/>
    <s v="None"/>
    <n v="0"/>
    <n v="0"/>
    <n v="16.3"/>
    <n v="179.26"/>
    <x v="4"/>
    <x v="6"/>
    <x v="2"/>
    <s v="2024-11-25"/>
    <n v="0"/>
    <x v="8"/>
    <s v="Q4"/>
    <n v="162.96"/>
  </r>
  <r>
    <s v="#ORD-10950"/>
    <s v="2024-09-27"/>
    <s v="07:55:31"/>
    <s v="Logan Walker"/>
    <s v="logan.walker79@outlook.com"/>
    <s v="+1-739-671-6706"/>
    <s v="Fort Worth"/>
    <s v="TX"/>
    <s v="United States"/>
    <s v="Stainless Steel Cookware Set x1 | Coffee Maker Programmable x2"/>
    <x v="6"/>
    <n v="2"/>
    <n v="239.97"/>
    <s v="None"/>
    <n v="0"/>
    <n v="0"/>
    <n v="20.399999999999999"/>
    <n v="260.37"/>
    <x v="0"/>
    <x v="3"/>
    <x v="2"/>
    <s v="2024-10-02"/>
    <n v="0"/>
    <x v="11"/>
    <s v="Q3"/>
    <n v="239.97"/>
  </r>
  <r>
    <s v="#ORD-10951"/>
    <s v="2024-12-20"/>
    <s v="12:46:41"/>
    <s v="Henry Hernandez"/>
    <s v="henry.hernandez18@outlook.com"/>
    <s v="+1-704-823-6535"/>
    <s v="Albuquerque"/>
    <s v="NM"/>
    <s v="United States"/>
    <s v="Multivitamin Daily Pack x2 | Portable Bluetooth Speaker x1 | Resistance Band Set x1"/>
    <x v="8"/>
    <n v="3"/>
    <n v="114.96"/>
    <s v="SUMMER20"/>
    <n v="22.99"/>
    <n v="0"/>
    <n v="8.2799999999999994"/>
    <n v="100.25"/>
    <x v="5"/>
    <x v="3"/>
    <x v="2"/>
    <s v="2024-12-22"/>
    <n v="0"/>
    <x v="1"/>
    <s v="Q4"/>
    <n v="91.97"/>
  </r>
  <r>
    <s v="#ORD-10952"/>
    <s v="2024-09-02"/>
    <s v="12:16:25"/>
    <s v="Scarlett Perez"/>
    <s v="scarlett.perez86@gmail.com"/>
    <s v="+1-511-729-2944"/>
    <s v="Portland"/>
    <s v="OR"/>
    <s v="United States"/>
    <s v="Linen Throw Blanket x1"/>
    <x v="4"/>
    <n v="1"/>
    <n v="39.99"/>
    <s v="SAVE10"/>
    <n v="4"/>
    <n v="7.99"/>
    <n v="3.6"/>
    <n v="47.58"/>
    <x v="4"/>
    <x v="3"/>
    <x v="0"/>
    <s v="2024-09-04"/>
    <n v="47.58"/>
    <x v="11"/>
    <s v="Q3"/>
    <n v="35.99"/>
  </r>
  <r>
    <s v="#ORD-10953"/>
    <s v="2024-11-26"/>
    <s v="12:01:02"/>
    <s v="Ethan Lewis"/>
    <s v="ethan.lewis4@gmail.com"/>
    <s v="+1-442-234-2896"/>
    <s v="Austin"/>
    <s v="TX"/>
    <s v="United States"/>
    <s v="Portable Bluetooth Speaker x1"/>
    <x v="7"/>
    <n v="1"/>
    <n v="49.99"/>
    <s v="SAVE10"/>
    <n v="5"/>
    <n v="7.99"/>
    <n v="4.5"/>
    <n v="57.48"/>
    <x v="0"/>
    <x v="0"/>
    <x v="2"/>
    <s v="2024-11-27"/>
    <n v="0"/>
    <x v="8"/>
    <s v="Q4"/>
    <n v="44.99"/>
  </r>
  <r>
    <s v="#ORD-10954"/>
    <s v="2024-05-12"/>
    <s v="00:22:30"/>
    <s v="Abigail Lee"/>
    <s v="abigail.lee27@gmail.com"/>
    <s v="+1-831-492-7321"/>
    <s v="Chicago"/>
    <s v="IL"/>
    <s v="United States"/>
    <s v="Air Fryer 5.8Qt x1 | Running Shoes - Women's x1"/>
    <x v="6"/>
    <n v="2"/>
    <n v="149.97999999999999"/>
    <s v="None"/>
    <n v="0"/>
    <n v="0"/>
    <n v="15"/>
    <n v="164.98"/>
    <x v="0"/>
    <x v="3"/>
    <x v="0"/>
    <s v="2024-05-17"/>
    <n v="164.98"/>
    <x v="4"/>
    <s v="Q2"/>
    <n v="149.97999999999999"/>
  </r>
  <r>
    <s v="#ORD-10955"/>
    <s v="2024-11-26"/>
    <s v="05:45:44"/>
    <s v="Daniel Green"/>
    <s v="daniel.green63@gmail.com"/>
    <s v="+1-332-475-9442"/>
    <s v="Boston"/>
    <s v="MA"/>
    <s v="United States"/>
    <s v="Bamboo Sunglasses x1 | Casual Sneakers x2"/>
    <x v="2"/>
    <n v="2"/>
    <n v="144.97"/>
    <s v="SUMMER20"/>
    <n v="28.99"/>
    <n v="0"/>
    <n v="11.6"/>
    <n v="127.58"/>
    <x v="2"/>
    <x v="0"/>
    <x v="2"/>
    <s v="2024-11-27"/>
    <n v="0"/>
    <x v="8"/>
    <s v="Q4"/>
    <n v="115.98"/>
  </r>
  <r>
    <s v="#ORD-10956"/>
    <s v="2024-03-25"/>
    <s v="19:59:44"/>
    <s v="Mia White"/>
    <s v="mia.white27@yahoo.com"/>
    <s v="+1-839-194-1966"/>
    <s v="San Jose"/>
    <s v="CA"/>
    <s v="United States"/>
    <s v="Running Shoes - Men's x2 | Sunscreen SPF 50 Face x1 | Coffee Maker Programmable x1"/>
    <x v="5"/>
    <n v="3"/>
    <n v="223.96"/>
    <s v="None"/>
    <n v="0"/>
    <n v="0"/>
    <n v="15.68"/>
    <n v="239.64"/>
    <x v="0"/>
    <x v="3"/>
    <x v="2"/>
    <s v="2024-03-28"/>
    <n v="0"/>
    <x v="9"/>
    <s v="Q1"/>
    <n v="223.96"/>
  </r>
  <r>
    <s v="#ORD-10957"/>
    <s v="2024-07-09"/>
    <s v="02:49:24"/>
    <s v="Elizabeth Smith"/>
    <s v="elizabeth.smith12@yahoo.com"/>
    <s v="+1-881-566-3899"/>
    <s v="Albuquerque"/>
    <s v="NM"/>
    <s v="United States"/>
    <s v="Sunscreen SPF 50 Face x1"/>
    <x v="0"/>
    <n v="1"/>
    <n v="18.989999999999998"/>
    <s v="SAVE10"/>
    <n v="1.9"/>
    <n v="4.99"/>
    <n v="1.54"/>
    <n v="23.62"/>
    <x v="0"/>
    <x v="5"/>
    <x v="0"/>
    <s v="2024-07-10"/>
    <n v="23.62"/>
    <x v="2"/>
    <s v="Q3"/>
    <n v="17.09"/>
  </r>
  <r>
    <s v="#ORD-10958"/>
    <s v="2024-10-17"/>
    <s v="00:55:42"/>
    <s v="Logan Thompson"/>
    <s v="logan.thompson60@gmail.com"/>
    <s v="+1-947-204-7430"/>
    <s v="Indianapolis"/>
    <s v="IN"/>
    <s v="United States"/>
    <s v="Coffee Maker Programmable x1 | Essential Oil Diffuser x2 | Hiking Boots x3 | Stainless Steel Cookware Set x1 | Mechanical Keyboard x1"/>
    <x v="6"/>
    <n v="5"/>
    <n v="700.92"/>
    <s v="FLASH25"/>
    <n v="175.23"/>
    <n v="0"/>
    <n v="52.57"/>
    <n v="578.26"/>
    <x v="6"/>
    <x v="3"/>
    <x v="0"/>
    <s v="2024-10-19"/>
    <n v="578.26"/>
    <x v="7"/>
    <s v="Q4"/>
    <n v="525.68999999999994"/>
  </r>
  <r>
    <s v="#ORD-10959"/>
    <s v="2024-09-07"/>
    <s v="15:45:11"/>
    <s v="Noah Torres"/>
    <s v="noah.torres24@outlook.com"/>
    <s v="+1-375-203-7997"/>
    <s v="Milwaukee"/>
    <s v="WI"/>
    <s v="United States"/>
    <s v="USB-C Fast Charger 65W x1 | Organic Green Tea 100ct x1"/>
    <x v="7"/>
    <n v="2"/>
    <n v="44.98"/>
    <s v="None"/>
    <n v="0"/>
    <n v="5.99"/>
    <n v="2.7"/>
    <n v="53.67"/>
    <x v="0"/>
    <x v="3"/>
    <x v="2"/>
    <s v="2024-09-11"/>
    <n v="0"/>
    <x v="11"/>
    <s v="Q3"/>
    <n v="44.98"/>
  </r>
  <r>
    <s v="#ORD-10960"/>
    <s v="2024-08-02"/>
    <s v="19:36:17"/>
    <s v="Abigail Hill"/>
    <s v="abigail.hill82@gmail.com"/>
    <s v="+1-515-373-7846"/>
    <s v="Chicago"/>
    <s v="IL"/>
    <s v="United States"/>
    <s v="Casual Sneakers x1 | Leather Wallet Slim x1"/>
    <x v="5"/>
    <n v="2"/>
    <n v="89.98"/>
    <s v="None"/>
    <n v="0"/>
    <n v="0"/>
    <n v="8.1"/>
    <n v="98.08"/>
    <x v="4"/>
    <x v="5"/>
    <x v="1"/>
    <s v="2024-08-07"/>
    <n v="0"/>
    <x v="5"/>
    <s v="Q3"/>
    <n v="89.98"/>
  </r>
  <r>
    <s v="#ORD-10961"/>
    <s v="2024-10-15"/>
    <s v="19:24:49"/>
    <s v="Mason Allen"/>
    <s v="mason.allen83@gmail.com"/>
    <s v="+1-657-718-8189"/>
    <s v="Portland"/>
    <s v="OR"/>
    <s v="United States"/>
    <s v="Casual Sneakers x1 | Running Shoes - Men's x3 | High-Waist Leggings x1 | Protein Powder Chocolate 2lb x1"/>
    <x v="5"/>
    <n v="4"/>
    <n v="372.94"/>
    <s v="SAVE10"/>
    <n v="37.29"/>
    <n v="0"/>
    <n v="30.21"/>
    <n v="365.86"/>
    <x v="6"/>
    <x v="6"/>
    <x v="2"/>
    <s v="2024-10-17"/>
    <n v="0"/>
    <x v="7"/>
    <s v="Q4"/>
    <n v="335.65"/>
  </r>
  <r>
    <s v="#ORD-10962"/>
    <s v="2024-03-03"/>
    <s v="22:47:03"/>
    <s v="Emma Lopez"/>
    <s v="emma.lopez23@gmail.com"/>
    <s v="+1-924-937-6355"/>
    <s v="Denver"/>
    <s v="CO"/>
    <s v="United States"/>
    <s v="Casual Sneakers x1"/>
    <x v="5"/>
    <n v="1"/>
    <n v="59.99"/>
    <s v="LOYALTY5"/>
    <n v="3"/>
    <n v="9.99"/>
    <n v="5.13"/>
    <n v="72.11"/>
    <x v="2"/>
    <x v="4"/>
    <x v="2"/>
    <s v="2024-03-07"/>
    <n v="0"/>
    <x v="9"/>
    <s v="Q1"/>
    <n v="56.99"/>
  </r>
  <r>
    <s v="#ORD-10963"/>
    <s v="2024-02-27"/>
    <s v="23:00:49"/>
    <s v="Isabella Hill"/>
    <s v="isabella.hill67@gmail.com"/>
    <s v="+1-392-277-1616"/>
    <s v="Seattle"/>
    <s v="WA"/>
    <s v="United States"/>
    <s v="Anti-Aging Serum 1oz x2"/>
    <x v="0"/>
    <n v="1"/>
    <n v="99.98"/>
    <s v="None"/>
    <n v="0"/>
    <n v="0"/>
    <n v="7"/>
    <n v="106.98"/>
    <x v="6"/>
    <x v="3"/>
    <x v="2"/>
    <s v="2024-03-03"/>
    <n v="0"/>
    <x v="0"/>
    <s v="Q1"/>
    <n v="99.98"/>
  </r>
  <r>
    <s v="#ORD-10964"/>
    <s v="2024-11-10"/>
    <s v="21:30:35"/>
    <s v="Olivia Taylor"/>
    <s v="olivia.taylor71@gmail.com"/>
    <s v="+1-262-917-1662"/>
    <s v="Memphis"/>
    <s v="TN"/>
    <s v="United States"/>
    <s v="Leather Wallet Slim x1 | Organic Green Tea 100ct x1 | Air Fryer 5.8Qt x1 | Canvas Backpack 25L x2"/>
    <x v="2"/>
    <n v="4"/>
    <n v="234.95"/>
    <s v="SAVE10"/>
    <n v="23.5"/>
    <n v="0"/>
    <n v="21.14"/>
    <n v="232.59"/>
    <x v="5"/>
    <x v="3"/>
    <x v="0"/>
    <s v="2024-11-14"/>
    <n v="232.59"/>
    <x v="8"/>
    <s v="Q4"/>
    <n v="211.45"/>
  </r>
  <r>
    <s v="#ORD-10965"/>
    <s v="2024-05-30"/>
    <s v="15:02:03"/>
    <s v="Charlotte Johnson"/>
    <s v="charlotte.johnson39@gmail.com"/>
    <s v="+1-945-684-2533"/>
    <s v="Dallas"/>
    <s v="TX"/>
    <s v="United States"/>
    <s v="Denim Jacket x2 | Linen Throw Blanket x1"/>
    <x v="1"/>
    <n v="2"/>
    <n v="169.97"/>
    <s v="None"/>
    <n v="0"/>
    <n v="0"/>
    <n v="14.45"/>
    <n v="184.42"/>
    <x v="0"/>
    <x v="6"/>
    <x v="2"/>
    <s v="2024-06-01"/>
    <n v="0"/>
    <x v="4"/>
    <s v="Q2"/>
    <n v="169.97"/>
  </r>
  <r>
    <s v="#ORD-10966"/>
    <s v="2024-12-25"/>
    <s v="22:58:41"/>
    <s v="Liam Martinez"/>
    <s v="liam.martinez74@gmail.com"/>
    <s v="+1-258-726-4216"/>
    <s v="Oklahoma City"/>
    <s v="OK"/>
    <s v="United States"/>
    <s v="Linen Throw Blanket x1 | Men's Grooming Kit x1"/>
    <x v="4"/>
    <n v="2"/>
    <n v="75.98"/>
    <s v="SAVE10"/>
    <n v="7.6"/>
    <n v="0"/>
    <n v="4.79"/>
    <n v="73.17"/>
    <x v="5"/>
    <x v="0"/>
    <x v="0"/>
    <s v="2024-12-27"/>
    <n v="73.17"/>
    <x v="1"/>
    <s v="Q4"/>
    <n v="68.38000000000001"/>
  </r>
  <r>
    <s v="#ORD-10967"/>
    <s v="2024-09-23"/>
    <s v="17:11:35"/>
    <s v="Emma Nguyen"/>
    <s v="emma.nguyen61@gmail.com"/>
    <s v="+1-320-987-8542"/>
    <s v="Columbus"/>
    <s v="OH"/>
    <s v="United States"/>
    <s v="USB-C Fast Charger 65W x3 | Scented Soy Candle Set x1"/>
    <x v="7"/>
    <n v="2"/>
    <n v="112.96"/>
    <s v="None"/>
    <n v="0"/>
    <n v="0"/>
    <n v="11.3"/>
    <n v="124.26"/>
    <x v="0"/>
    <x v="3"/>
    <x v="2"/>
    <s v="2024-09-25"/>
    <n v="0"/>
    <x v="11"/>
    <s v="Q3"/>
    <n v="112.96"/>
  </r>
  <r>
    <s v="#ORD-10968"/>
    <s v="2024-02-14"/>
    <s v="17:25:26"/>
    <s v="Sofia Walker"/>
    <s v="sofia.walker85@gmail.com"/>
    <s v="+1-938-132-8315"/>
    <s v="Memphis"/>
    <s v="TN"/>
    <s v="United States"/>
    <s v="Men's Grooming Kit x1 | Anti-Aging Serum 1oz x1"/>
    <x v="0"/>
    <n v="2"/>
    <n v="85.98"/>
    <s v="WELCOME15"/>
    <n v="12.9"/>
    <n v="0"/>
    <n v="4.38"/>
    <n v="77.459999999999994"/>
    <x v="0"/>
    <x v="3"/>
    <x v="2"/>
    <s v="2024-02-19"/>
    <n v="0"/>
    <x v="0"/>
    <s v="Q1"/>
    <n v="73.08"/>
  </r>
  <r>
    <s v="#ORD-10969"/>
    <s v="2024-12-28"/>
    <s v="02:37:13"/>
    <s v="Isabella Perez"/>
    <s v="isabella.perez96@outlook.com"/>
    <s v="+1-749-113-3930"/>
    <s v="El Paso"/>
    <s v="TX"/>
    <s v="United States"/>
    <s v="Bamboo Sunglasses x1"/>
    <x v="2"/>
    <n v="1"/>
    <n v="24.99"/>
    <s v="None"/>
    <n v="0"/>
    <n v="4.99"/>
    <n v="2"/>
    <n v="31.98"/>
    <x v="1"/>
    <x v="5"/>
    <x v="1"/>
    <s v="2024-12-30"/>
    <n v="0"/>
    <x v="1"/>
    <s v="Q4"/>
    <n v="24.99"/>
  </r>
  <r>
    <s v="#ORD-10970"/>
    <s v="2024-10-23"/>
    <s v="20:21:08"/>
    <s v="Sebastian Martin"/>
    <s v="sebastian.martin67@gmail.com"/>
    <s v="+1-353-710-5697"/>
    <s v="Memphis"/>
    <s v="TN"/>
    <s v="United States"/>
    <s v="Running Shoes - Men's x1 | Smart LED Desk Lamp x2 | USB-C Fast Charger 65W x1"/>
    <x v="5"/>
    <n v="3"/>
    <n v="184.96"/>
    <s v="FLASH25"/>
    <n v="46.24"/>
    <n v="0"/>
    <n v="9.7100000000000009"/>
    <n v="148.43"/>
    <x v="2"/>
    <x v="2"/>
    <x v="1"/>
    <s v="2024-10-25"/>
    <n v="0"/>
    <x v="7"/>
    <s v="Q4"/>
    <n v="138.72"/>
  </r>
  <r>
    <s v="#ORD-10971"/>
    <s v="2024-11-24"/>
    <s v="21:25:45"/>
    <s v="Elizabeth Rodriguez"/>
    <s v="elizabeth.rodriguez76@gmail.com"/>
    <s v="+1-997-811-9135"/>
    <s v="New York"/>
    <s v="NY"/>
    <s v="United States"/>
    <s v="Insulated Water Bottle 32oz x2"/>
    <x v="3"/>
    <n v="1"/>
    <n v="55.98"/>
    <s v="None"/>
    <n v="0"/>
    <n v="4.99"/>
    <n v="3.92"/>
    <n v="64.89"/>
    <x v="1"/>
    <x v="0"/>
    <x v="1"/>
    <s v="2024-11-26"/>
    <n v="0"/>
    <x v="8"/>
    <s v="Q4"/>
    <n v="55.98"/>
  </r>
  <r>
    <s v="#ORD-10972"/>
    <s v="2024-04-16"/>
    <s v="23:29:28"/>
    <s v="Liam Miller"/>
    <s v="liam.miller59@gmail.com"/>
    <s v="+1-465-176-3558"/>
    <s v="San Diego"/>
    <s v="CA"/>
    <s v="United States"/>
    <s v="Bamboo Sunglasses x1"/>
    <x v="2"/>
    <n v="1"/>
    <n v="24.99"/>
    <s v="SAVE10"/>
    <n v="2.5"/>
    <n v="7.99"/>
    <n v="1.91"/>
    <n v="32.39"/>
    <x v="0"/>
    <x v="1"/>
    <x v="2"/>
    <s v="2024-04-17"/>
    <n v="0"/>
    <x v="10"/>
    <s v="Q2"/>
    <n v="22.49"/>
  </r>
  <r>
    <s v="#ORD-10973"/>
    <s v="2024-05-20"/>
    <s v="12:25:51"/>
    <s v="Liam Martinez"/>
    <s v="liam.martinez7@gmail.com"/>
    <s v="+1-636-982-1366"/>
    <s v="Indianapolis"/>
    <s v="IN"/>
    <s v="United States"/>
    <s v="Stainless Steel Cookware Set x1 | Casual Sneakers x1"/>
    <x v="6"/>
    <n v="2"/>
    <n v="189.98"/>
    <s v="None"/>
    <n v="0"/>
    <n v="0"/>
    <n v="17.100000000000001"/>
    <n v="207.08"/>
    <x v="1"/>
    <x v="5"/>
    <x v="2"/>
    <s v="2024-05-24"/>
    <n v="0"/>
    <x v="4"/>
    <s v="Q2"/>
    <n v="189.98"/>
  </r>
  <r>
    <s v="#ORD-10974"/>
    <s v="2024-12-15"/>
    <s v="23:02:49"/>
    <s v="Sofia Anderson"/>
    <s v="sofia.anderson17@outlook.com"/>
    <s v="+1-260-227-1276"/>
    <s v="Phoenix"/>
    <s v="AZ"/>
    <s v="United States"/>
    <s v="Resistance Band Set x1"/>
    <x v="3"/>
    <n v="1"/>
    <n v="24.99"/>
    <s v="None"/>
    <n v="0"/>
    <n v="4.99"/>
    <n v="1.75"/>
    <n v="31.73"/>
    <x v="1"/>
    <x v="2"/>
    <x v="2"/>
    <s v="2024-12-17"/>
    <n v="0"/>
    <x v="1"/>
    <s v="Q4"/>
    <n v="24.99"/>
  </r>
  <r>
    <s v="#ORD-10975"/>
    <s v="2024-10-25"/>
    <s v="10:07:24"/>
    <s v="Benjamin White"/>
    <s v="benjamin.white52@outlook.com"/>
    <s v="+1-491-535-3825"/>
    <s v="Tucson"/>
    <s v="AZ"/>
    <s v="United States"/>
    <s v="Insulated Water Bottle 32oz x2 | Multivitamin Daily Pack x1"/>
    <x v="3"/>
    <n v="2"/>
    <n v="75.97"/>
    <s v="None"/>
    <n v="0"/>
    <n v="0"/>
    <n v="6.08"/>
    <n v="82.05"/>
    <x v="5"/>
    <x v="4"/>
    <x v="1"/>
    <s v="2024-10-28"/>
    <n v="0"/>
    <x v="7"/>
    <s v="Q4"/>
    <n v="75.97"/>
  </r>
  <r>
    <s v="#ORD-10976"/>
    <s v="2024-11-10"/>
    <s v="14:33:56"/>
    <s v="Oliver Taylor"/>
    <s v="oliver.taylor14@gmail.com"/>
    <s v="+1-227-925-7759"/>
    <s v="Indianapolis"/>
    <s v="IN"/>
    <s v="United States"/>
    <s v="Multivitamin Daily Pack x1"/>
    <x v="8"/>
    <n v="1"/>
    <n v="19.989999999999998"/>
    <s v="None"/>
    <n v="0"/>
    <n v="4.99"/>
    <n v="1.2"/>
    <n v="26.18"/>
    <x v="6"/>
    <x v="5"/>
    <x v="2"/>
    <s v="2024-11-12"/>
    <n v="0"/>
    <x v="8"/>
    <s v="Q4"/>
    <n v="19.989999999999998"/>
  </r>
  <r>
    <s v="#ORD-10977"/>
    <s v="2024-10-23"/>
    <s v="11:48:57"/>
    <s v="William Anderson"/>
    <s v="william.anderson58@gmail.com"/>
    <s v="+1-921-162-8593"/>
    <s v="Houston"/>
    <s v="TX"/>
    <s v="United States"/>
    <s v="Stainless Steel Cookware Set x1 | Running Shoes - Men's x1 | Multivitamin Daily Pack x1 | Air Fryer 5.8Qt x2"/>
    <x v="6"/>
    <n v="4"/>
    <n v="384.95"/>
    <s v="SAVE10"/>
    <n v="38.5"/>
    <n v="0"/>
    <n v="29.45"/>
    <n v="375.9"/>
    <x v="0"/>
    <x v="0"/>
    <x v="2"/>
    <s v="2024-10-26"/>
    <n v="0"/>
    <x v="7"/>
    <s v="Q4"/>
    <n v="346.45"/>
  </r>
  <r>
    <s v="#ORD-10978"/>
    <s v="2024-02-09"/>
    <s v="11:35:59"/>
    <s v="Ethan Gonzalez"/>
    <s v="ethan.gonzalez6@gmail.com"/>
    <s v="+1-703-407-4268"/>
    <s v="San Francisco"/>
    <s v="CA"/>
    <s v="United States"/>
    <s v="Organic Green Tea 100ct x2"/>
    <x v="9"/>
    <n v="1"/>
    <n v="29.98"/>
    <s v="SAVE10"/>
    <n v="3"/>
    <n v="4.99"/>
    <n v="1.62"/>
    <n v="33.590000000000003"/>
    <x v="6"/>
    <x v="3"/>
    <x v="0"/>
    <s v="2024-02-12"/>
    <n v="33.590000000000003"/>
    <x v="0"/>
    <s v="Q1"/>
    <n v="26.98"/>
  </r>
  <r>
    <s v="#ORD-10979"/>
    <s v="2024-01-07"/>
    <s v="18:27:20"/>
    <s v="Henry Lopez"/>
    <s v="henry.lopez91@gmail.com"/>
    <s v="+1-230-309-2974"/>
    <s v="Houston"/>
    <s v="TX"/>
    <s v="United States"/>
    <s v="Running Shoes - Men's x1 | Insulated Water Bottle 32oz x1"/>
    <x v="5"/>
    <n v="2"/>
    <n v="102.98"/>
    <s v="SAVE10"/>
    <n v="10.3"/>
    <n v="0"/>
    <n v="7.88"/>
    <n v="100.56"/>
    <x v="5"/>
    <x v="5"/>
    <x v="2"/>
    <s v="2024-01-11"/>
    <n v="0"/>
    <x v="6"/>
    <s v="Q1"/>
    <n v="92.68"/>
  </r>
  <r>
    <s v="#ORD-10980"/>
    <s v="2024-10-28"/>
    <s v="18:12:35"/>
    <s v="William Smith"/>
    <s v="william.smith26@outlook.com"/>
    <s v="+1-561-699-2049"/>
    <s v="Austin"/>
    <s v="TX"/>
    <s v="United States"/>
    <s v="Protein Powder Chocolate 2lb x1"/>
    <x v="8"/>
    <n v="1"/>
    <n v="44.99"/>
    <s v="SUMMER20"/>
    <n v="9"/>
    <n v="7.99"/>
    <n v="3.06"/>
    <n v="47.04"/>
    <x v="4"/>
    <x v="5"/>
    <x v="2"/>
    <s v="2024-10-29"/>
    <n v="0"/>
    <x v="7"/>
    <s v="Q4"/>
    <n v="35.99"/>
  </r>
  <r>
    <s v="#ORD-10981"/>
    <s v="2024-01-13"/>
    <s v="11:03:01"/>
    <s v="Owen Thomas"/>
    <s v="owen.thomas18@yahoo.com"/>
    <s v="+1-319-151-8322"/>
    <s v="Baltimore"/>
    <s v="MD"/>
    <s v="United States"/>
    <s v="Hiking Boots x1"/>
    <x v="5"/>
    <n v="1"/>
    <n v="109.99"/>
    <s v="WELCOME15"/>
    <n v="16.5"/>
    <n v="0"/>
    <n v="5.61"/>
    <n v="99.1"/>
    <x v="0"/>
    <x v="3"/>
    <x v="2"/>
    <s v="2024-01-14"/>
    <n v="0"/>
    <x v="6"/>
    <s v="Q1"/>
    <n v="93.49"/>
  </r>
  <r>
    <s v="#ORD-10982"/>
    <s v="2024-04-07"/>
    <s v="23:45:41"/>
    <s v="Daniel Allen"/>
    <s v="daniel.allen60@gmail.com"/>
    <s v="+1-203-422-5084"/>
    <s v="El Paso"/>
    <s v="TX"/>
    <s v="United States"/>
    <s v="Men's Grooming Kit x1"/>
    <x v="0"/>
    <n v="1"/>
    <n v="35.99"/>
    <s v="LOYALTY5"/>
    <n v="1.8"/>
    <n v="5.99"/>
    <n v="3.08"/>
    <n v="43.26"/>
    <x v="6"/>
    <x v="0"/>
    <x v="2"/>
    <s v="2024-04-12"/>
    <n v="0"/>
    <x v="10"/>
    <s v="Q2"/>
    <n v="34.190000000000005"/>
  </r>
  <r>
    <s v="#ORD-10983"/>
    <s v="2024-08-25"/>
    <s v="02:49:00"/>
    <s v="Ava Lee"/>
    <s v="ava.lee23@gmail.com"/>
    <s v="+1-854-329-2066"/>
    <s v="Louisville"/>
    <s v="KY"/>
    <s v="United States"/>
    <s v="Portable Bluetooth Speaker x1 | High-Waist Leggings x1"/>
    <x v="7"/>
    <n v="2"/>
    <n v="92.98"/>
    <s v="LOYALTY5"/>
    <n v="4.6500000000000004"/>
    <n v="0"/>
    <n v="7.51"/>
    <n v="95.84"/>
    <x v="2"/>
    <x v="3"/>
    <x v="0"/>
    <s v="2024-08-29"/>
    <n v="95.84"/>
    <x v="5"/>
    <s v="Q3"/>
    <n v="88.33"/>
  </r>
  <r>
    <s v="#ORD-10984"/>
    <s v="2024-05-28"/>
    <s v="10:33:36"/>
    <s v="Charlotte Walker"/>
    <s v="charlotte.walker57@outlook.com"/>
    <s v="+1-691-684-5360"/>
    <s v="Denver"/>
    <s v="CO"/>
    <s v="United States"/>
    <s v="Men's Grooming Kit x1 | Yoga Mat Premium x2"/>
    <x v="0"/>
    <n v="2"/>
    <n v="105.97"/>
    <s v="None"/>
    <n v="0"/>
    <n v="0"/>
    <n v="7.42"/>
    <n v="113.39"/>
    <x v="0"/>
    <x v="3"/>
    <x v="2"/>
    <s v="2024-06-01"/>
    <n v="0"/>
    <x v="4"/>
    <s v="Q2"/>
    <n v="105.97"/>
  </r>
  <r>
    <s v="#ORD-10985"/>
    <s v="2024-03-22"/>
    <s v="22:03:38"/>
    <s v="Oliver Anderson"/>
    <s v="oliver.anderson23@yahoo.com"/>
    <s v="+1-641-968-3286"/>
    <s v="Baltimore"/>
    <s v="MD"/>
    <s v="United States"/>
    <s v="Air Fryer 5.8Qt x1 | Anti-Aging Serum 1oz x1 | Linen Throw Blanket x2"/>
    <x v="6"/>
    <n v="3"/>
    <n v="209.96"/>
    <s v="LOYALTY5"/>
    <n v="10.5"/>
    <n v="0"/>
    <n v="16.95"/>
    <n v="216.41"/>
    <x v="6"/>
    <x v="3"/>
    <x v="2"/>
    <s v="2024-03-24"/>
    <n v="0"/>
    <x v="9"/>
    <s v="Q1"/>
    <n v="199.46"/>
  </r>
  <r>
    <s v="#ORD-10986"/>
    <s v="2024-07-28"/>
    <s v="22:17:39"/>
    <s v="Liam Wilson"/>
    <s v="liam.wilson7@outlook.com"/>
    <s v="+1-285-340-7051"/>
    <s v="Charlotte"/>
    <s v="NC"/>
    <s v="United States"/>
    <s v="Smart LED Desk Lamp x1 | USB-C Fast Charger 65W x1 | Multivitamin Daily Pack x1"/>
    <x v="7"/>
    <n v="3"/>
    <n v="89.97"/>
    <s v="None"/>
    <n v="0"/>
    <n v="0"/>
    <n v="9"/>
    <n v="98.97"/>
    <x v="6"/>
    <x v="0"/>
    <x v="2"/>
    <s v="2024-08-02"/>
    <n v="0"/>
    <x v="2"/>
    <s v="Q3"/>
    <n v="89.97"/>
  </r>
  <r>
    <s v="#ORD-10987"/>
    <s v="2024-08-15"/>
    <s v="01:55:10"/>
    <s v="Benjamin Nguyen"/>
    <s v="benjamin.nguyen77@outlook.com"/>
    <s v="+1-840-701-5747"/>
    <s v="San Francisco"/>
    <s v="CA"/>
    <s v="United States"/>
    <s v="Mechanical Keyboard x2"/>
    <x v="7"/>
    <n v="1"/>
    <n v="239.98"/>
    <s v="None"/>
    <n v="0"/>
    <n v="0"/>
    <n v="20.399999999999999"/>
    <n v="260.38"/>
    <x v="7"/>
    <x v="4"/>
    <x v="0"/>
    <s v="2024-08-20"/>
    <n v="260.38"/>
    <x v="5"/>
    <s v="Q3"/>
    <n v="239.98"/>
  </r>
  <r>
    <s v="#ORD-10988"/>
    <s v="2024-12-13"/>
    <s v="06:12:31"/>
    <s v="Scarlett Johnson"/>
    <s v="scarlett.johnson10@outlook.com"/>
    <s v="+1-650-619-7124"/>
    <s v="Baltimore"/>
    <s v="MD"/>
    <s v="United States"/>
    <s v="Coffee Maker Programmable x1"/>
    <x v="6"/>
    <n v="1"/>
    <n v="54.99"/>
    <s v="None"/>
    <n v="0"/>
    <n v="9.99"/>
    <n v="4.4000000000000004"/>
    <n v="69.38"/>
    <x v="5"/>
    <x v="4"/>
    <x v="2"/>
    <s v="2024-12-18"/>
    <n v="0"/>
    <x v="1"/>
    <s v="Q4"/>
    <n v="54.99"/>
  </r>
  <r>
    <s v="#ORD-10989"/>
    <s v="2024-01-10"/>
    <s v="23:28:32"/>
    <s v="Avery Smith"/>
    <s v="avery.smith23@gmail.com"/>
    <s v="+1-776-187-5907"/>
    <s v="Seattle"/>
    <s v="WA"/>
    <s v="United States"/>
    <s v="Portable Bluetooth Speaker x1"/>
    <x v="7"/>
    <n v="1"/>
    <n v="49.99"/>
    <s v="SAVE10"/>
    <n v="5"/>
    <n v="9.99"/>
    <n v="4.5"/>
    <n v="59.48"/>
    <x v="0"/>
    <x v="6"/>
    <x v="2"/>
    <s v="2024-01-14"/>
    <n v="0"/>
    <x v="6"/>
    <s v="Q1"/>
    <n v="44.99"/>
  </r>
  <r>
    <s v="#ORD-10990"/>
    <s v="2024-03-02"/>
    <s v="07:05:28"/>
    <s v="Victoria Sanchez"/>
    <s v="victoria.sanchez98@yahoo.com"/>
    <s v="+1-674-843-7424"/>
    <s v="Chicago"/>
    <s v="IL"/>
    <s v="United States"/>
    <s v="Stainless Steel Cookware Set x2 | Anti-Aging Serum 1oz x1"/>
    <x v="6"/>
    <n v="2"/>
    <n v="309.97000000000003"/>
    <s v="None"/>
    <n v="0"/>
    <n v="0"/>
    <n v="27.9"/>
    <n v="337.87"/>
    <x v="1"/>
    <x v="0"/>
    <x v="0"/>
    <s v="2024-03-04"/>
    <n v="337.87"/>
    <x v="9"/>
    <s v="Q1"/>
    <n v="309.97000000000003"/>
  </r>
  <r>
    <s v="#ORD-10991"/>
    <s v="2024-01-17"/>
    <s v="18:02:40"/>
    <s v="Daniel Young"/>
    <s v="daniel.young82@gmail.com"/>
    <s v="+1-765-757-5065"/>
    <s v="El Paso"/>
    <s v="TX"/>
    <s v="United States"/>
    <s v="Casual Sneakers x1 | Sunscreen SPF 50 Face x2"/>
    <x v="5"/>
    <n v="2"/>
    <n v="97.97"/>
    <s v="None"/>
    <n v="0"/>
    <n v="0"/>
    <n v="8.82"/>
    <n v="106.79"/>
    <x v="5"/>
    <x v="3"/>
    <x v="2"/>
    <s v="2024-01-21"/>
    <n v="0"/>
    <x v="6"/>
    <s v="Q1"/>
    <n v="97.97"/>
  </r>
  <r>
    <s v="#ORD-10992"/>
    <s v="2024-08-04"/>
    <s v="18:41:08"/>
    <s v="Logan Allen"/>
    <s v="logan.allen87@outlook.com"/>
    <s v="+1-386-399-1740"/>
    <s v="San Jose"/>
    <s v="CA"/>
    <s v="United States"/>
    <s v="Men's Grooming Kit x1"/>
    <x v="0"/>
    <n v="1"/>
    <n v="35.99"/>
    <s v="None"/>
    <n v="0"/>
    <n v="9.99"/>
    <n v="3.24"/>
    <n v="49.22"/>
    <x v="6"/>
    <x v="6"/>
    <x v="4"/>
    <m/>
    <n v="0"/>
    <x v="5"/>
    <s v="Q3"/>
    <n v="35.99"/>
  </r>
  <r>
    <s v="#ORD-10993"/>
    <s v="2024-08-24"/>
    <s v="19:58:44"/>
    <s v="Victoria Clark"/>
    <s v="victoria.clark82@gmail.com"/>
    <s v="+1-654-111-3505"/>
    <s v="Boston"/>
    <s v="MA"/>
    <s v="United States"/>
    <s v="Coffee Maker Programmable x1"/>
    <x v="6"/>
    <n v="1"/>
    <n v="54.99"/>
    <s v="SAVE10"/>
    <n v="5.5"/>
    <n v="9.99"/>
    <n v="2.97"/>
    <n v="62.45"/>
    <x v="0"/>
    <x v="5"/>
    <x v="2"/>
    <s v="2024-08-25"/>
    <n v="0"/>
    <x v="5"/>
    <s v="Q3"/>
    <n v="49.49"/>
  </r>
  <r>
    <s v="#ORD-10994"/>
    <s v="2024-12-28"/>
    <s v="12:04:57"/>
    <s v="William Perez"/>
    <s v="william.perez50@gmail.com"/>
    <s v="+1-747-509-9727"/>
    <s v="Houston"/>
    <s v="TX"/>
    <s v="United States"/>
    <s v="Classic Fit Polo Shirt x1"/>
    <x v="1"/>
    <n v="1"/>
    <n v="34.99"/>
    <s v="WELCOME15"/>
    <n v="5.25"/>
    <n v="7.99"/>
    <n v="2.68"/>
    <n v="40.409999999999997"/>
    <x v="5"/>
    <x v="3"/>
    <x v="2"/>
    <s v="2024-12-31"/>
    <n v="0"/>
    <x v="1"/>
    <s v="Q4"/>
    <n v="29.740000000000002"/>
  </r>
  <r>
    <s v="#ORD-10995"/>
    <s v="2024-04-10"/>
    <s v="09:41:20"/>
    <s v="Scarlett Anderson"/>
    <s v="scarlett.anderson6@yahoo.com"/>
    <s v="+1-264-191-5913"/>
    <s v="Nashville"/>
    <s v="TN"/>
    <s v="United States"/>
    <s v="Mechanical Keyboard x3"/>
    <x v="7"/>
    <n v="1"/>
    <n v="359.97"/>
    <s v="FLASH25"/>
    <n v="89.99"/>
    <n v="0"/>
    <n v="22.95"/>
    <n v="292.93"/>
    <x v="1"/>
    <x v="3"/>
    <x v="2"/>
    <s v="2024-04-15"/>
    <n v="0"/>
    <x v="10"/>
    <s v="Q2"/>
    <n v="269.98"/>
  </r>
  <r>
    <s v="#ORD-10996"/>
    <s v="2024-10-08"/>
    <s v="11:21:14"/>
    <s v="Ava Wilson"/>
    <s v="ava.wilson15@outlook.com"/>
    <s v="+1-310-338-4495"/>
    <s v="Baltimore"/>
    <s v="MD"/>
    <s v="United States"/>
    <s v="Anti-Aging Serum 1oz x2"/>
    <x v="0"/>
    <n v="1"/>
    <n v="99.98"/>
    <s v="LOYALTY5"/>
    <n v="5"/>
    <n v="0"/>
    <n v="9.5"/>
    <n v="104.48"/>
    <x v="6"/>
    <x v="7"/>
    <x v="2"/>
    <s v="2024-10-12"/>
    <n v="0"/>
    <x v="7"/>
    <s v="Q4"/>
    <n v="94.98"/>
  </r>
  <r>
    <s v="#ORD-10997"/>
    <s v="2024-04-06"/>
    <s v="13:21:23"/>
    <s v="Ella Clark"/>
    <s v="ella.clark1@gmail.com"/>
    <s v="+1-568-385-5949"/>
    <s v="Albuquerque"/>
    <s v="NM"/>
    <s v="United States"/>
    <s v="Hiking Boots x1"/>
    <x v="5"/>
    <n v="1"/>
    <n v="109.99"/>
    <s v="FLASH25"/>
    <n v="27.5"/>
    <n v="0"/>
    <n v="4.95"/>
    <n v="87.44"/>
    <x v="5"/>
    <x v="6"/>
    <x v="2"/>
    <s v="2024-04-08"/>
    <n v="0"/>
    <x v="10"/>
    <s v="Q2"/>
    <n v="82.49"/>
  </r>
  <r>
    <s v="#ORD-10998"/>
    <s v="2024-09-09"/>
    <s v="13:06:09"/>
    <s v="Michael Martinez"/>
    <s v="michael.martinez16@yahoo.com"/>
    <s v="+1-973-858-8933"/>
    <s v="Dallas"/>
    <s v="TX"/>
    <s v="United States"/>
    <s v="Running Shoes - Women's x1"/>
    <x v="5"/>
    <n v="1"/>
    <n v="69.989999999999995"/>
    <s v="SAVE10"/>
    <n v="7"/>
    <n v="4.99"/>
    <n v="5.67"/>
    <n v="73.650000000000006"/>
    <x v="5"/>
    <x v="6"/>
    <x v="3"/>
    <m/>
    <n v="0"/>
    <x v="11"/>
    <s v="Q3"/>
    <n v="62.989999999999995"/>
  </r>
  <r>
    <s v="#ORD-10999"/>
    <s v="2024-07-28"/>
    <s v="00:45:42"/>
    <s v="Ava Wright"/>
    <s v="ava.wright90@gmail.com"/>
    <s v="+1-281-553-5437"/>
    <s v="Phoenix"/>
    <s v="AZ"/>
    <s v="United States"/>
    <s v="Coffee Maker Programmable x1 | Essential Oil Diffuser x1"/>
    <x v="6"/>
    <n v="2"/>
    <n v="87.98"/>
    <s v="None"/>
    <n v="0"/>
    <n v="0"/>
    <n v="7.48"/>
    <n v="95.46"/>
    <x v="5"/>
    <x v="0"/>
    <x v="2"/>
    <s v="2024-07-31"/>
    <n v="0"/>
    <x v="2"/>
    <s v="Q3"/>
    <n v="87.98"/>
  </r>
  <r>
    <s v="#ORD-11000"/>
    <s v="2024-08-29"/>
    <s v="18:33:48"/>
    <s v="Sofia Wright"/>
    <s v="sofia.wright14@outlook.com"/>
    <s v="+1-605-813-8214"/>
    <s v="Milwaukee"/>
    <s v="WI"/>
    <s v="United States"/>
    <s v="Protein Powder Chocolate 2lb x1"/>
    <x v="8"/>
    <n v="1"/>
    <n v="44.99"/>
    <s v="SAVE10"/>
    <n v="4.5"/>
    <n v="9.99"/>
    <n v="3.64"/>
    <n v="54.12"/>
    <x v="1"/>
    <x v="0"/>
    <x v="2"/>
    <s v="2024-09-03"/>
    <n v="0"/>
    <x v="5"/>
    <s v="Q3"/>
    <n v="40.49"/>
  </r>
  <r>
    <m/>
    <m/>
    <m/>
    <m/>
    <m/>
    <m/>
    <m/>
    <m/>
    <m/>
    <m/>
    <x v="10"/>
    <m/>
    <m/>
    <m/>
    <m/>
    <m/>
    <m/>
    <m/>
    <x v="8"/>
    <x v="8"/>
    <x v="5"/>
    <m/>
    <m/>
    <x v="1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64164-D6E1-4191-9EC1-B7D63AD5CC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location ref="A3:B1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0">
        <item x="2"/>
        <item x="6"/>
        <item x="0"/>
        <item x="4"/>
        <item x="5"/>
        <item x="3"/>
        <item x="7"/>
        <item x="1"/>
        <item x="8"/>
        <item t="default"/>
      </items>
    </pivotField>
    <pivotField showAll="0"/>
    <pivotField showAll="0"/>
    <pivotField showAll="0"/>
    <pivotField axis="axisRow" showAll="0" sortType="ascending">
      <items count="14">
        <item x="6"/>
        <item x="0"/>
        <item x="9"/>
        <item x="10"/>
        <item x="4"/>
        <item x="3"/>
        <item x="2"/>
        <item x="5"/>
        <item x="11"/>
        <item x="7"/>
        <item x="8"/>
        <item x="1"/>
        <item x="12"/>
        <item t="default"/>
      </items>
    </pivotField>
    <pivotField showAll="0"/>
    <pivotField showAll="0"/>
  </pivotFields>
  <rowFields count="1">
    <field x="23"/>
  </rowFields>
  <rowItems count="14">
    <i>
      <x/>
    </i>
    <i>
      <x v="1"/>
    </i>
    <i>
      <x v="2"/>
    </i>
    <i>
      <x v="3"/>
    </i>
    <i>
      <x v="4"/>
    </i>
    <i>
      <x v="5"/>
    </i>
    <i>
      <x v="6"/>
    </i>
    <i>
      <x v="7"/>
    </i>
    <i>
      <x v="8"/>
    </i>
    <i>
      <x v="9"/>
    </i>
    <i>
      <x v="10"/>
    </i>
    <i>
      <x v="11"/>
    </i>
    <i>
      <x v="12"/>
    </i>
    <i t="grand">
      <x/>
    </i>
  </rowItems>
  <colItems count="1">
    <i/>
  </colItems>
  <dataFields count="1">
    <dataField name="Sum of Revenue ($)" fld="17" baseField="0" baseItem="0"/>
  </dataFields>
  <formats count="1">
    <format dxfId="13">
      <pivotArea dataOnly="0" fieldPosition="0">
        <references count="1">
          <reference field="23" count="0"/>
        </references>
      </pivotArea>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1B56C-51F3-4E8D-A4D2-258782B616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Sales Channel">
  <location ref="A3:C13"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0">
        <item x="2"/>
        <item x="6"/>
        <item x="0"/>
        <item x="4"/>
        <item x="5"/>
        <item x="3"/>
        <item x="7"/>
        <item x="1"/>
        <item x="8"/>
        <item t="default"/>
      </items>
    </pivotField>
    <pivotField showAll="0"/>
    <pivotField showAll="0"/>
    <pivotField showAll="0"/>
    <pivotField showAll="0">
      <items count="14">
        <item x="6"/>
        <item x="0"/>
        <item x="9"/>
        <item x="10"/>
        <item x="4"/>
        <item x="3"/>
        <item x="2"/>
        <item x="5"/>
        <item x="11"/>
        <item x="7"/>
        <item x="8"/>
        <item x="1"/>
        <item x="12"/>
        <item t="default"/>
      </items>
    </pivotField>
    <pivotField showAll="0"/>
    <pivotField showAll="0"/>
  </pivotFields>
  <rowFields count="1">
    <field x="19"/>
  </rowFields>
  <rowItems count="10">
    <i>
      <x/>
    </i>
    <i>
      <x v="1"/>
    </i>
    <i>
      <x v="2"/>
    </i>
    <i>
      <x v="3"/>
    </i>
    <i>
      <x v="4"/>
    </i>
    <i>
      <x v="5"/>
    </i>
    <i>
      <x v="6"/>
    </i>
    <i>
      <x v="7"/>
    </i>
    <i>
      <x v="8"/>
    </i>
    <i t="grand">
      <x/>
    </i>
  </rowItems>
  <colFields count="1">
    <field x="-2"/>
  </colFields>
  <colItems count="2">
    <i>
      <x/>
    </i>
    <i i="1">
      <x v="1"/>
    </i>
  </colItems>
  <dataFields count="2">
    <dataField name="Count of Orders" fld="0" subtotal="count" baseField="0" baseItem="0"/>
    <dataField name="Sum of Total Orders" fld="17" baseField="0" baseItem="0"/>
  </dataFields>
  <formats count="1">
    <format dxfId="12">
      <pivotArea dataOnly="0" fieldPosition="0">
        <references count="1">
          <reference field="19" count="0"/>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BEF71D-61D8-489E-85BE-B4E34B29D7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Fulfillment Status">
  <location ref="A3:B9"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2"/>
        <item x="6"/>
        <item x="0"/>
        <item x="4"/>
        <item x="5"/>
        <item x="3"/>
        <item x="7"/>
        <item x="1"/>
        <item x="8"/>
        <item t="default"/>
      </items>
    </pivotField>
    <pivotField axis="axisRow" showAll="0">
      <items count="7">
        <item x="3"/>
        <item x="2"/>
        <item x="1"/>
        <item x="0"/>
        <item x="4"/>
        <item h="1" x="5"/>
        <item t="default"/>
      </items>
    </pivotField>
    <pivotField showAll="0"/>
    <pivotField showAll="0"/>
    <pivotField showAll="0">
      <items count="14">
        <item x="6"/>
        <item x="0"/>
        <item x="9"/>
        <item x="10"/>
        <item x="4"/>
        <item x="3"/>
        <item x="2"/>
        <item x="5"/>
        <item x="11"/>
        <item x="7"/>
        <item x="8"/>
        <item x="1"/>
        <item x="12"/>
        <item t="default"/>
      </items>
    </pivotField>
    <pivotField showAll="0"/>
    <pivotField showAll="0"/>
  </pivotFields>
  <rowFields count="1">
    <field x="20"/>
  </rowFields>
  <rowItems count="6">
    <i>
      <x/>
    </i>
    <i>
      <x v="1"/>
    </i>
    <i>
      <x v="2"/>
    </i>
    <i>
      <x v="3"/>
    </i>
    <i>
      <x v="4"/>
    </i>
    <i t="grand">
      <x/>
    </i>
  </rowItems>
  <colItems count="1">
    <i/>
  </colItems>
  <dataFields count="1">
    <dataField name="Count of Orders" fld="0" subtotal="count" baseField="0" baseItem="0"/>
  </dataFields>
  <formats count="2">
    <format dxfId="11">
      <pivotArea collapsedLevelsAreSubtotals="1" fieldPosition="0">
        <references count="1">
          <reference field="20" count="0"/>
        </references>
      </pivotArea>
    </format>
    <format dxfId="10">
      <pivotArea dataOnly="0" labelOnly="1" fieldPosition="0">
        <references count="1">
          <reference field="20" count="0"/>
        </references>
      </pivotArea>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0" count="1" selected="0">
            <x v="0"/>
          </reference>
        </references>
      </pivotArea>
    </chartFormat>
    <chartFormat chart="3" format="2">
      <pivotArea type="data" outline="0" fieldPosition="0">
        <references count="2">
          <reference field="4294967294" count="1" selected="0">
            <x v="0"/>
          </reference>
          <reference field="20" count="1" selected="0">
            <x v="1"/>
          </reference>
        </references>
      </pivotArea>
    </chartFormat>
    <chartFormat chart="3" format="3">
      <pivotArea type="data" outline="0" fieldPosition="0">
        <references count="2">
          <reference field="4294967294" count="1" selected="0">
            <x v="0"/>
          </reference>
          <reference field="20" count="1" selected="0">
            <x v="2"/>
          </reference>
        </references>
      </pivotArea>
    </chartFormat>
    <chartFormat chart="3" format="4">
      <pivotArea type="data" outline="0" fieldPosition="0">
        <references count="2">
          <reference field="4294967294" count="1" selected="0">
            <x v="0"/>
          </reference>
          <reference field="20" count="1" selected="0">
            <x v="3"/>
          </reference>
        </references>
      </pivotArea>
    </chartFormat>
    <chartFormat chart="3" format="5">
      <pivotArea type="data" outline="0" fieldPosition="0">
        <references count="2">
          <reference field="4294967294" count="1" selected="0">
            <x v="0"/>
          </reference>
          <reference field="2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0" count="1" selected="0">
            <x v="0"/>
          </reference>
        </references>
      </pivotArea>
    </chartFormat>
    <chartFormat chart="9" format="14">
      <pivotArea type="data" outline="0" fieldPosition="0">
        <references count="2">
          <reference field="4294967294" count="1" selected="0">
            <x v="0"/>
          </reference>
          <reference field="20" count="1" selected="0">
            <x v="1"/>
          </reference>
        </references>
      </pivotArea>
    </chartFormat>
    <chartFormat chart="9" format="15">
      <pivotArea type="data" outline="0" fieldPosition="0">
        <references count="2">
          <reference field="4294967294" count="1" selected="0">
            <x v="0"/>
          </reference>
          <reference field="20" count="1" selected="0">
            <x v="2"/>
          </reference>
        </references>
      </pivotArea>
    </chartFormat>
    <chartFormat chart="9" format="16">
      <pivotArea type="data" outline="0" fieldPosition="0">
        <references count="2">
          <reference field="4294967294" count="1" selected="0">
            <x v="0"/>
          </reference>
          <reference field="20" count="1" selected="0">
            <x v="3"/>
          </reference>
        </references>
      </pivotArea>
    </chartFormat>
    <chartFormat chart="9" format="17">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1D95C-B678-4C86-AE85-2B65E95943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imary Category">
  <location ref="A3:B14" firstHeaderRow="1" firstDataRow="1" firstDataCol="1"/>
  <pivotFields count="26">
    <pivotField showAll="0"/>
    <pivotField showAll="0"/>
    <pivotField showAll="0"/>
    <pivotField showAll="0"/>
    <pivotField showAll="0"/>
    <pivotField showAll="0"/>
    <pivotField showAll="0"/>
    <pivotField showAll="0"/>
    <pivotField showAll="0"/>
    <pivotField showAll="0"/>
    <pivotField axis="axisRow" showAll="0" sortType="descending">
      <items count="12">
        <item h="1" x="10"/>
        <item x="3"/>
        <item x="6"/>
        <item x="4"/>
        <item x="8"/>
        <item x="5"/>
        <item x="9"/>
        <item x="7"/>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10">
        <item x="2"/>
        <item x="6"/>
        <item x="0"/>
        <item x="4"/>
        <item x="5"/>
        <item x="3"/>
        <item x="7"/>
        <item x="1"/>
        <item x="8"/>
        <item t="default"/>
      </items>
    </pivotField>
    <pivotField showAll="0"/>
    <pivotField showAll="0"/>
    <pivotField showAll="0"/>
    <pivotField showAll="0">
      <items count="14">
        <item x="6"/>
        <item x="0"/>
        <item x="9"/>
        <item x="10"/>
        <item x="4"/>
        <item x="3"/>
        <item x="2"/>
        <item x="5"/>
        <item x="11"/>
        <item x="7"/>
        <item x="8"/>
        <item x="1"/>
        <item x="12"/>
        <item t="default"/>
      </items>
    </pivotField>
    <pivotField showAll="0"/>
    <pivotField showAll="0"/>
  </pivotFields>
  <rowFields count="1">
    <field x="10"/>
  </rowFields>
  <rowItems count="11">
    <i>
      <x v="7"/>
    </i>
    <i>
      <x v="5"/>
    </i>
    <i>
      <x v="2"/>
    </i>
    <i>
      <x v="9"/>
    </i>
    <i>
      <x v="8"/>
    </i>
    <i>
      <x v="10"/>
    </i>
    <i>
      <x v="3"/>
    </i>
    <i>
      <x v="1"/>
    </i>
    <i>
      <x v="4"/>
    </i>
    <i>
      <x v="6"/>
    </i>
    <i t="grand">
      <x/>
    </i>
  </rowItems>
  <colItems count="1">
    <i/>
  </colItems>
  <dataFields count="1">
    <dataField name="Sum Total of Orders" fld="17" baseField="0" baseItem="0"/>
  </dataFields>
  <formats count="2">
    <format dxfId="9">
      <pivotArea collapsedLevelsAreSubtotals="1" fieldPosition="0">
        <references count="1">
          <reference field="10" count="0"/>
        </references>
      </pivotArea>
    </format>
    <format dxfId="8">
      <pivotArea dataOnly="0" labelOnly="1" fieldPosition="0">
        <references count="1">
          <reference field="10" count="0"/>
        </references>
      </pivotArea>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9C655-1B44-4CBF-A17D-7896EB0601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ethod">
  <location ref="A3:B12"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0">
        <item x="3"/>
        <item x="4"/>
        <item x="0"/>
        <item x="5"/>
        <item x="2"/>
        <item x="7"/>
        <item x="1"/>
        <item x="6"/>
        <item h="1" x="8"/>
        <item t="default"/>
      </items>
    </pivotField>
    <pivotField showAll="0">
      <items count="10">
        <item x="2"/>
        <item x="6"/>
        <item x="0"/>
        <item x="4"/>
        <item x="5"/>
        <item x="3"/>
        <item x="7"/>
        <item x="1"/>
        <item x="8"/>
        <item t="default"/>
      </items>
    </pivotField>
    <pivotField showAll="0"/>
    <pivotField showAll="0"/>
    <pivotField showAll="0"/>
    <pivotField showAll="0">
      <items count="14">
        <item x="6"/>
        <item x="0"/>
        <item x="9"/>
        <item x="10"/>
        <item x="4"/>
        <item x="3"/>
        <item x="2"/>
        <item x="5"/>
        <item x="11"/>
        <item x="7"/>
        <item x="8"/>
        <item x="1"/>
        <item x="12"/>
        <item t="default"/>
      </items>
    </pivotField>
    <pivotField showAll="0"/>
    <pivotField showAll="0"/>
  </pivotFields>
  <rowFields count="1">
    <field x="18"/>
  </rowFields>
  <rowItems count="9">
    <i>
      <x/>
    </i>
    <i>
      <x v="1"/>
    </i>
    <i>
      <x v="2"/>
    </i>
    <i>
      <x v="3"/>
    </i>
    <i>
      <x v="4"/>
    </i>
    <i>
      <x v="5"/>
    </i>
    <i>
      <x v="6"/>
    </i>
    <i>
      <x v="7"/>
    </i>
    <i t="grand">
      <x/>
    </i>
  </rowItems>
  <colItems count="1">
    <i/>
  </colItems>
  <dataFields count="1">
    <dataField name="Average Total of Orders" fld="17" subtotal="average" baseField="18" baseItem="0"/>
  </dataFields>
  <formats count="6">
    <format dxfId="7">
      <pivotArea type="all" dataOnly="0" outline="0" fieldPosition="0"/>
    </format>
    <format dxfId="6">
      <pivotArea outline="0" collapsedLevelsAreSubtotals="1" fieldPosition="0"/>
    </format>
    <format dxfId="5">
      <pivotArea field="18" type="button" dataOnly="0" labelOnly="1" outline="0" axis="axisRow" fieldPosition="0"/>
    </format>
    <format dxfId="4">
      <pivotArea dataOnly="0" labelOnly="1" fieldPosition="0">
        <references count="1">
          <reference field="18" count="0"/>
        </references>
      </pivotArea>
    </format>
    <format dxfId="3">
      <pivotArea dataOnly="0" labelOnly="1" grandRow="1" outline="0" fieldPosition="0"/>
    </format>
    <format dxfId="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E3F253A-14B5-4B39-BEBE-D031B4392475}" sourceName="Month Name">
  <pivotTables>
    <pivotTable tabId="6" name="PivotTable1"/>
    <pivotTable tabId="8" name="PivotTable3"/>
    <pivotTable tabId="7" name="PivotTable2"/>
    <pivotTable tabId="10" name="PivotTable5"/>
    <pivotTable tabId="9" name="PivotTable4"/>
  </pivotTables>
  <data>
    <tabular pivotCacheId="1499475843">
      <items count="13">
        <i x="6" s="1"/>
        <i x="0" s="1"/>
        <i x="9" s="1"/>
        <i x="10" s="1"/>
        <i x="4" s="1"/>
        <i x="3" s="1"/>
        <i x="2" s="1"/>
        <i x="5" s="1"/>
        <i x="11" s="1"/>
        <i x="7" s="1"/>
        <i x="8" s="1"/>
        <i x="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4089031-076D-4786-A7DB-6EE19E86BFAD}" sourceName="Sales Channel">
  <pivotTables>
    <pivotTable tabId="7" name="PivotTable2"/>
    <pivotTable tabId="8" name="PivotTable3"/>
    <pivotTable tabId="10" name="PivotTable5"/>
    <pivotTable tabId="6" name="PivotTable1"/>
    <pivotTable tabId="9" name="PivotTable4"/>
  </pivotTables>
  <data>
    <tabular pivotCacheId="1499475843">
      <items count="9">
        <i x="2" s="1"/>
        <i x="6" s="1"/>
        <i x="0" s="1"/>
        <i x="4" s="1"/>
        <i x="5" s="1"/>
        <i x="3" s="1"/>
        <i x="7" s="1"/>
        <i x="1"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024D2D5-2BF4-4912-91C1-42831F122570}" cache="Slicer_Month_Name" caption="Month Name" startItem="5" rowHeight="234950"/>
  <slicer name="Sales Channel" xr10:uid="{1D379D52-BFEB-4042-97CE-A4526BD3A0F5}" cache="Slicer_Sales_Channel" caption="Sales Chann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W1001"/>
  <sheetViews>
    <sheetView workbookViewId="0">
      <pane ySplit="1" topLeftCell="A2" activePane="bottomLeft" state="frozen"/>
      <selection pane="bottomLeft" activeCell="X1" sqref="X1"/>
    </sheetView>
  </sheetViews>
  <sheetFormatPr defaultRowHeight="14.4" x14ac:dyDescent="0.3"/>
  <cols>
    <col min="1" max="1" width="12.88671875" bestFit="1" customWidth="1"/>
    <col min="2" max="2" width="15.109375" bestFit="1" customWidth="1"/>
    <col min="3" max="3" width="15.21875" bestFit="1" customWidth="1"/>
    <col min="4" max="4" width="19.5546875" bestFit="1" customWidth="1"/>
    <col min="5" max="5" width="30.44140625" bestFit="1" customWidth="1"/>
    <col min="6" max="6" width="13.33203125" bestFit="1" customWidth="1"/>
    <col min="7" max="7" width="11.44140625" bestFit="1" customWidth="1"/>
    <col min="8" max="8" width="10" bestFit="1" customWidth="1"/>
    <col min="9" max="9" width="12.5546875" bestFit="1" customWidth="1"/>
    <col min="10" max="10" width="115.88671875" bestFit="1" customWidth="1"/>
    <col min="11" max="11" width="20.88671875" bestFit="1" customWidth="1"/>
    <col min="12" max="12" width="15" bestFit="1" customWidth="1"/>
    <col min="13" max="13" width="15.6640625" bestFit="1" customWidth="1"/>
    <col min="14" max="14" width="18.44140625" bestFit="1" customWidth="1"/>
    <col min="15" max="15" width="23.6640625" bestFit="1" customWidth="1"/>
    <col min="16" max="16" width="16" bestFit="1" customWidth="1"/>
    <col min="17" max="17" width="11.44140625" bestFit="1" customWidth="1"/>
    <col min="18" max="18" width="18.44140625" bestFit="1" customWidth="1"/>
    <col min="19" max="19" width="20.109375" bestFit="1" customWidth="1"/>
    <col min="20" max="20" width="17.88671875" bestFit="1" customWidth="1"/>
    <col min="21" max="21" width="20.6640625" bestFit="1" customWidth="1"/>
    <col min="22" max="22" width="19" bestFit="1" customWidth="1"/>
    <col min="23" max="23" width="22.109375" bestFit="1" customWidth="1"/>
  </cols>
  <sheetData>
    <row r="1" spans="1:23" ht="19.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2" t="s">
        <v>23</v>
      </c>
      <c r="B2" s="2" t="s">
        <v>24</v>
      </c>
      <c r="C2" s="2" t="s">
        <v>25</v>
      </c>
      <c r="D2" s="2" t="s">
        <v>26</v>
      </c>
      <c r="E2" s="2" t="s">
        <v>27</v>
      </c>
      <c r="F2" s="2" t="s">
        <v>28</v>
      </c>
      <c r="G2" s="2" t="s">
        <v>29</v>
      </c>
      <c r="H2" s="2" t="s">
        <v>30</v>
      </c>
      <c r="I2" s="2" t="s">
        <v>31</v>
      </c>
      <c r="J2" s="2" t="s">
        <v>32</v>
      </c>
      <c r="K2" s="2" t="s">
        <v>33</v>
      </c>
      <c r="L2" s="2">
        <v>3</v>
      </c>
      <c r="M2" s="3">
        <v>115.97</v>
      </c>
      <c r="N2" s="2" t="s">
        <v>34</v>
      </c>
      <c r="O2" s="3">
        <v>0</v>
      </c>
      <c r="P2" s="3">
        <v>0</v>
      </c>
      <c r="Q2" s="3">
        <v>8.1199999999999992</v>
      </c>
      <c r="R2" s="3">
        <v>124.09</v>
      </c>
      <c r="S2" s="2" t="s">
        <v>35</v>
      </c>
      <c r="T2" s="2" t="s">
        <v>36</v>
      </c>
      <c r="U2" s="2" t="s">
        <v>37</v>
      </c>
      <c r="V2" s="2" t="s">
        <v>38</v>
      </c>
      <c r="W2" s="3">
        <v>124.09</v>
      </c>
    </row>
    <row r="3" spans="1:23" x14ac:dyDescent="0.3">
      <c r="A3" s="4" t="s">
        <v>39</v>
      </c>
      <c r="B3" s="4" t="s">
        <v>40</v>
      </c>
      <c r="C3" s="4" t="s">
        <v>41</v>
      </c>
      <c r="D3" s="4" t="s">
        <v>42</v>
      </c>
      <c r="E3" s="4" t="s">
        <v>43</v>
      </c>
      <c r="F3" s="4" t="s">
        <v>44</v>
      </c>
      <c r="G3" s="4" t="s">
        <v>45</v>
      </c>
      <c r="H3" s="4" t="s">
        <v>46</v>
      </c>
      <c r="I3" s="4" t="s">
        <v>31</v>
      </c>
      <c r="J3" s="4" t="s">
        <v>47</v>
      </c>
      <c r="K3" s="4" t="s">
        <v>48</v>
      </c>
      <c r="L3" s="4">
        <v>1</v>
      </c>
      <c r="M3" s="5">
        <v>42.99</v>
      </c>
      <c r="N3" s="4" t="s">
        <v>49</v>
      </c>
      <c r="O3" s="5">
        <v>6.45</v>
      </c>
      <c r="P3" s="5">
        <v>7.99</v>
      </c>
      <c r="Q3" s="5">
        <v>2.92</v>
      </c>
      <c r="R3" s="5">
        <v>47.45</v>
      </c>
      <c r="S3" s="4" t="s">
        <v>35</v>
      </c>
      <c r="T3" s="4" t="s">
        <v>50</v>
      </c>
      <c r="U3" s="4" t="s">
        <v>51</v>
      </c>
      <c r="V3" s="4" t="s">
        <v>52</v>
      </c>
      <c r="W3" s="5">
        <v>0</v>
      </c>
    </row>
    <row r="4" spans="1:23" x14ac:dyDescent="0.3">
      <c r="A4" s="2" t="s">
        <v>53</v>
      </c>
      <c r="B4" s="2" t="s">
        <v>54</v>
      </c>
      <c r="C4" s="2" t="s">
        <v>55</v>
      </c>
      <c r="D4" s="2" t="s">
        <v>56</v>
      </c>
      <c r="E4" s="2" t="s">
        <v>57</v>
      </c>
      <c r="F4" s="2" t="s">
        <v>58</v>
      </c>
      <c r="G4" s="2" t="s">
        <v>59</v>
      </c>
      <c r="H4" s="2" t="s">
        <v>60</v>
      </c>
      <c r="I4" s="2" t="s">
        <v>31</v>
      </c>
      <c r="J4" s="2" t="s">
        <v>61</v>
      </c>
      <c r="K4" s="2" t="s">
        <v>62</v>
      </c>
      <c r="L4" s="2">
        <v>1</v>
      </c>
      <c r="M4" s="3">
        <v>24.99</v>
      </c>
      <c r="N4" s="2" t="s">
        <v>63</v>
      </c>
      <c r="O4" s="3">
        <v>6.25</v>
      </c>
      <c r="P4" s="3">
        <v>7.99</v>
      </c>
      <c r="Q4" s="3">
        <v>1.87</v>
      </c>
      <c r="R4" s="3">
        <v>28.6</v>
      </c>
      <c r="S4" s="2" t="s">
        <v>64</v>
      </c>
      <c r="T4" s="2" t="s">
        <v>65</v>
      </c>
      <c r="U4" s="2" t="s">
        <v>66</v>
      </c>
      <c r="V4" s="2" t="s">
        <v>67</v>
      </c>
      <c r="W4" s="3">
        <v>0</v>
      </c>
    </row>
    <row r="5" spans="1:23" x14ac:dyDescent="0.3">
      <c r="A5" s="4" t="s">
        <v>68</v>
      </c>
      <c r="B5" s="4" t="s">
        <v>69</v>
      </c>
      <c r="C5" s="4" t="s">
        <v>70</v>
      </c>
      <c r="D5" s="4" t="s">
        <v>71</v>
      </c>
      <c r="E5" s="4" t="s">
        <v>72</v>
      </c>
      <c r="F5" s="4" t="s">
        <v>73</v>
      </c>
      <c r="G5" s="4" t="s">
        <v>74</v>
      </c>
      <c r="H5" s="4" t="s">
        <v>75</v>
      </c>
      <c r="I5" s="4" t="s">
        <v>31</v>
      </c>
      <c r="J5" s="4" t="s">
        <v>76</v>
      </c>
      <c r="K5" s="4" t="s">
        <v>77</v>
      </c>
      <c r="L5" s="4">
        <v>2</v>
      </c>
      <c r="M5" s="5">
        <v>102.98</v>
      </c>
      <c r="N5" s="4" t="s">
        <v>78</v>
      </c>
      <c r="O5" s="5">
        <v>10.3</v>
      </c>
      <c r="P5" s="5">
        <v>0</v>
      </c>
      <c r="Q5" s="5">
        <v>9.27</v>
      </c>
      <c r="R5" s="5">
        <v>101.95</v>
      </c>
      <c r="S5" s="4" t="s">
        <v>79</v>
      </c>
      <c r="T5" s="4" t="s">
        <v>36</v>
      </c>
      <c r="U5" s="4" t="s">
        <v>66</v>
      </c>
      <c r="V5" s="4" t="s">
        <v>80</v>
      </c>
      <c r="W5" s="5">
        <v>0</v>
      </c>
    </row>
    <row r="6" spans="1:23" x14ac:dyDescent="0.3">
      <c r="A6" s="2" t="s">
        <v>81</v>
      </c>
      <c r="B6" s="2" t="s">
        <v>82</v>
      </c>
      <c r="C6" s="2" t="s">
        <v>83</v>
      </c>
      <c r="D6" s="2" t="s">
        <v>84</v>
      </c>
      <c r="E6" s="2" t="s">
        <v>85</v>
      </c>
      <c r="F6" s="2" t="s">
        <v>86</v>
      </c>
      <c r="G6" s="2" t="s">
        <v>87</v>
      </c>
      <c r="H6" s="2" t="s">
        <v>88</v>
      </c>
      <c r="I6" s="2" t="s">
        <v>31</v>
      </c>
      <c r="J6" s="2" t="s">
        <v>89</v>
      </c>
      <c r="K6" s="2" t="s">
        <v>48</v>
      </c>
      <c r="L6" s="2">
        <v>3</v>
      </c>
      <c r="M6" s="3">
        <v>229.95</v>
      </c>
      <c r="N6" s="2" t="s">
        <v>34</v>
      </c>
      <c r="O6" s="3">
        <v>0</v>
      </c>
      <c r="P6" s="3">
        <v>0</v>
      </c>
      <c r="Q6" s="3">
        <v>16.100000000000001</v>
      </c>
      <c r="R6" s="3">
        <v>246.05</v>
      </c>
      <c r="S6" s="2" t="s">
        <v>79</v>
      </c>
      <c r="T6" s="2" t="s">
        <v>36</v>
      </c>
      <c r="U6" s="2" t="s">
        <v>51</v>
      </c>
      <c r="V6" s="2" t="s">
        <v>90</v>
      </c>
      <c r="W6" s="3">
        <v>0</v>
      </c>
    </row>
    <row r="7" spans="1:23" x14ac:dyDescent="0.3">
      <c r="A7" s="4" t="s">
        <v>91</v>
      </c>
      <c r="B7" s="4" t="s">
        <v>92</v>
      </c>
      <c r="C7" s="4" t="s">
        <v>93</v>
      </c>
      <c r="D7" s="4" t="s">
        <v>94</v>
      </c>
      <c r="E7" s="4" t="s">
        <v>95</v>
      </c>
      <c r="F7" s="4" t="s">
        <v>96</v>
      </c>
      <c r="G7" s="4" t="s">
        <v>87</v>
      </c>
      <c r="H7" s="4" t="s">
        <v>88</v>
      </c>
      <c r="I7" s="4" t="s">
        <v>31</v>
      </c>
      <c r="J7" s="4" t="s">
        <v>97</v>
      </c>
      <c r="K7" s="4" t="s">
        <v>33</v>
      </c>
      <c r="L7" s="4">
        <v>2</v>
      </c>
      <c r="M7" s="5">
        <v>75.98</v>
      </c>
      <c r="N7" s="4" t="s">
        <v>78</v>
      </c>
      <c r="O7" s="5">
        <v>7.6</v>
      </c>
      <c r="P7" s="5">
        <v>0</v>
      </c>
      <c r="Q7" s="5">
        <v>4.79</v>
      </c>
      <c r="R7" s="5">
        <v>73.17</v>
      </c>
      <c r="S7" s="4" t="s">
        <v>98</v>
      </c>
      <c r="T7" s="4" t="s">
        <v>99</v>
      </c>
      <c r="U7" s="4" t="s">
        <v>100</v>
      </c>
      <c r="V7" s="4"/>
      <c r="W7" s="5">
        <v>0</v>
      </c>
    </row>
    <row r="8" spans="1:23" x14ac:dyDescent="0.3">
      <c r="A8" s="2" t="s">
        <v>101</v>
      </c>
      <c r="B8" s="2" t="s">
        <v>102</v>
      </c>
      <c r="C8" s="2" t="s">
        <v>103</v>
      </c>
      <c r="D8" s="2" t="s">
        <v>104</v>
      </c>
      <c r="E8" s="2" t="s">
        <v>105</v>
      </c>
      <c r="F8" s="2" t="s">
        <v>106</v>
      </c>
      <c r="G8" s="2" t="s">
        <v>107</v>
      </c>
      <c r="H8" s="2" t="s">
        <v>108</v>
      </c>
      <c r="I8" s="2" t="s">
        <v>31</v>
      </c>
      <c r="J8" s="2" t="s">
        <v>109</v>
      </c>
      <c r="K8" s="2" t="s">
        <v>110</v>
      </c>
      <c r="L8" s="2">
        <v>1</v>
      </c>
      <c r="M8" s="3">
        <v>68.97</v>
      </c>
      <c r="N8" s="2" t="s">
        <v>63</v>
      </c>
      <c r="O8" s="3">
        <v>17.239999999999998</v>
      </c>
      <c r="P8" s="3">
        <v>7.99</v>
      </c>
      <c r="Q8" s="3">
        <v>4.66</v>
      </c>
      <c r="R8" s="3">
        <v>64.38</v>
      </c>
      <c r="S8" s="2" t="s">
        <v>111</v>
      </c>
      <c r="T8" s="2" t="s">
        <v>99</v>
      </c>
      <c r="U8" s="2" t="s">
        <v>66</v>
      </c>
      <c r="V8" s="2" t="s">
        <v>112</v>
      </c>
      <c r="W8" s="3">
        <v>0</v>
      </c>
    </row>
    <row r="9" spans="1:23" x14ac:dyDescent="0.3">
      <c r="A9" s="4" t="s">
        <v>113</v>
      </c>
      <c r="B9" s="4" t="s">
        <v>114</v>
      </c>
      <c r="C9" s="4" t="s">
        <v>115</v>
      </c>
      <c r="D9" s="4" t="s">
        <v>116</v>
      </c>
      <c r="E9" s="4" t="s">
        <v>117</v>
      </c>
      <c r="F9" s="4" t="s">
        <v>118</v>
      </c>
      <c r="G9" s="4" t="s">
        <v>119</v>
      </c>
      <c r="H9" s="4" t="s">
        <v>120</v>
      </c>
      <c r="I9" s="4" t="s">
        <v>31</v>
      </c>
      <c r="J9" s="4" t="s">
        <v>121</v>
      </c>
      <c r="K9" s="4" t="s">
        <v>122</v>
      </c>
      <c r="L9" s="4">
        <v>3</v>
      </c>
      <c r="M9" s="5">
        <v>339.95</v>
      </c>
      <c r="N9" s="4" t="s">
        <v>78</v>
      </c>
      <c r="O9" s="5">
        <v>33.99</v>
      </c>
      <c r="P9" s="5">
        <v>0</v>
      </c>
      <c r="Q9" s="5">
        <v>30.6</v>
      </c>
      <c r="R9" s="5">
        <v>336.56</v>
      </c>
      <c r="S9" s="4" t="s">
        <v>123</v>
      </c>
      <c r="T9" s="4" t="s">
        <v>99</v>
      </c>
      <c r="U9" s="4" t="s">
        <v>51</v>
      </c>
      <c r="V9" s="4" t="s">
        <v>124</v>
      </c>
      <c r="W9" s="5">
        <v>0</v>
      </c>
    </row>
    <row r="10" spans="1:23" x14ac:dyDescent="0.3">
      <c r="A10" s="2" t="s">
        <v>125</v>
      </c>
      <c r="B10" s="2" t="s">
        <v>126</v>
      </c>
      <c r="C10" s="2" t="s">
        <v>127</v>
      </c>
      <c r="D10" s="2" t="s">
        <v>128</v>
      </c>
      <c r="E10" s="2" t="s">
        <v>129</v>
      </c>
      <c r="F10" s="2" t="s">
        <v>130</v>
      </c>
      <c r="G10" s="2" t="s">
        <v>131</v>
      </c>
      <c r="H10" s="2" t="s">
        <v>88</v>
      </c>
      <c r="I10" s="2" t="s">
        <v>31</v>
      </c>
      <c r="J10" s="2" t="s">
        <v>132</v>
      </c>
      <c r="K10" s="2" t="s">
        <v>48</v>
      </c>
      <c r="L10" s="2">
        <v>1</v>
      </c>
      <c r="M10" s="3">
        <v>129.97999999999999</v>
      </c>
      <c r="N10" s="2" t="s">
        <v>34</v>
      </c>
      <c r="O10" s="3">
        <v>0</v>
      </c>
      <c r="P10" s="3">
        <v>0</v>
      </c>
      <c r="Q10" s="3">
        <v>7.8</v>
      </c>
      <c r="R10" s="3">
        <v>137.78</v>
      </c>
      <c r="S10" s="2" t="s">
        <v>35</v>
      </c>
      <c r="T10" s="2" t="s">
        <v>36</v>
      </c>
      <c r="U10" s="2" t="s">
        <v>66</v>
      </c>
      <c r="V10" s="2" t="s">
        <v>133</v>
      </c>
      <c r="W10" s="3">
        <v>0</v>
      </c>
    </row>
    <row r="11" spans="1:23" x14ac:dyDescent="0.3">
      <c r="A11" s="4" t="s">
        <v>134</v>
      </c>
      <c r="B11" s="4" t="s">
        <v>135</v>
      </c>
      <c r="C11" s="4" t="s">
        <v>136</v>
      </c>
      <c r="D11" s="4" t="s">
        <v>137</v>
      </c>
      <c r="E11" s="4" t="s">
        <v>138</v>
      </c>
      <c r="F11" s="4" t="s">
        <v>139</v>
      </c>
      <c r="G11" s="4" t="s">
        <v>140</v>
      </c>
      <c r="H11" s="4" t="s">
        <v>141</v>
      </c>
      <c r="I11" s="4" t="s">
        <v>31</v>
      </c>
      <c r="J11" s="4" t="s">
        <v>142</v>
      </c>
      <c r="K11" s="4" t="s">
        <v>143</v>
      </c>
      <c r="L11" s="4">
        <v>1</v>
      </c>
      <c r="M11" s="5">
        <v>159.97999999999999</v>
      </c>
      <c r="N11" s="4" t="s">
        <v>49</v>
      </c>
      <c r="O11" s="5">
        <v>24</v>
      </c>
      <c r="P11" s="5">
        <v>0</v>
      </c>
      <c r="Q11" s="5">
        <v>9.52</v>
      </c>
      <c r="R11" s="5">
        <v>145.5</v>
      </c>
      <c r="S11" s="4" t="s">
        <v>79</v>
      </c>
      <c r="T11" s="4" t="s">
        <v>144</v>
      </c>
      <c r="U11" s="4" t="s">
        <v>66</v>
      </c>
      <c r="V11" s="4" t="s">
        <v>145</v>
      </c>
      <c r="W11" s="5">
        <v>0</v>
      </c>
    </row>
    <row r="12" spans="1:23" x14ac:dyDescent="0.3">
      <c r="A12" s="2" t="s">
        <v>146</v>
      </c>
      <c r="B12" s="2" t="s">
        <v>102</v>
      </c>
      <c r="C12" s="2" t="s">
        <v>147</v>
      </c>
      <c r="D12" s="2" t="s">
        <v>148</v>
      </c>
      <c r="E12" s="2" t="s">
        <v>149</v>
      </c>
      <c r="F12" s="2" t="s">
        <v>150</v>
      </c>
      <c r="G12" s="2" t="s">
        <v>45</v>
      </c>
      <c r="H12" s="2" t="s">
        <v>46</v>
      </c>
      <c r="I12" s="2" t="s">
        <v>31</v>
      </c>
      <c r="J12" s="2" t="s">
        <v>151</v>
      </c>
      <c r="K12" s="2" t="s">
        <v>110</v>
      </c>
      <c r="L12" s="2">
        <v>1</v>
      </c>
      <c r="M12" s="3">
        <v>39.99</v>
      </c>
      <c r="N12" s="2" t="s">
        <v>152</v>
      </c>
      <c r="O12" s="3">
        <v>2</v>
      </c>
      <c r="P12" s="3">
        <v>5.99</v>
      </c>
      <c r="Q12" s="3">
        <v>2.2799999999999998</v>
      </c>
      <c r="R12" s="3">
        <v>46.26</v>
      </c>
      <c r="S12" s="2" t="s">
        <v>35</v>
      </c>
      <c r="T12" s="2" t="s">
        <v>36</v>
      </c>
      <c r="U12" s="2" t="s">
        <v>66</v>
      </c>
      <c r="V12" s="2" t="s">
        <v>153</v>
      </c>
      <c r="W12" s="3">
        <v>0</v>
      </c>
    </row>
    <row r="13" spans="1:23" x14ac:dyDescent="0.3">
      <c r="A13" s="4" t="s">
        <v>154</v>
      </c>
      <c r="B13" s="4" t="s">
        <v>155</v>
      </c>
      <c r="C13" s="4" t="s">
        <v>156</v>
      </c>
      <c r="D13" s="4" t="s">
        <v>157</v>
      </c>
      <c r="E13" s="4" t="s">
        <v>158</v>
      </c>
      <c r="F13" s="4" t="s">
        <v>159</v>
      </c>
      <c r="G13" s="4" t="s">
        <v>160</v>
      </c>
      <c r="H13" s="4" t="s">
        <v>161</v>
      </c>
      <c r="I13" s="4" t="s">
        <v>31</v>
      </c>
      <c r="J13" s="4" t="s">
        <v>162</v>
      </c>
      <c r="K13" s="4" t="s">
        <v>62</v>
      </c>
      <c r="L13" s="4">
        <v>2</v>
      </c>
      <c r="M13" s="5">
        <v>69.98</v>
      </c>
      <c r="N13" s="4" t="s">
        <v>163</v>
      </c>
      <c r="O13" s="5">
        <v>14</v>
      </c>
      <c r="P13" s="5">
        <v>9.99</v>
      </c>
      <c r="Q13" s="5">
        <v>3.92</v>
      </c>
      <c r="R13" s="5">
        <v>69.89</v>
      </c>
      <c r="S13" s="4" t="s">
        <v>35</v>
      </c>
      <c r="T13" s="4" t="s">
        <v>36</v>
      </c>
      <c r="U13" s="4" t="s">
        <v>51</v>
      </c>
      <c r="V13" s="4" t="s">
        <v>164</v>
      </c>
      <c r="W13" s="5">
        <v>0</v>
      </c>
    </row>
    <row r="14" spans="1:23" x14ac:dyDescent="0.3">
      <c r="A14" s="2" t="s">
        <v>165</v>
      </c>
      <c r="B14" s="2" t="s">
        <v>166</v>
      </c>
      <c r="C14" s="2" t="s">
        <v>167</v>
      </c>
      <c r="D14" s="2" t="s">
        <v>168</v>
      </c>
      <c r="E14" s="2" t="s">
        <v>169</v>
      </c>
      <c r="F14" s="2" t="s">
        <v>170</v>
      </c>
      <c r="G14" s="2" t="s">
        <v>171</v>
      </c>
      <c r="H14" s="2" t="s">
        <v>88</v>
      </c>
      <c r="I14" s="2" t="s">
        <v>31</v>
      </c>
      <c r="J14" s="2" t="s">
        <v>172</v>
      </c>
      <c r="K14" s="2" t="s">
        <v>122</v>
      </c>
      <c r="L14" s="2">
        <v>1</v>
      </c>
      <c r="M14" s="3">
        <v>69.989999999999995</v>
      </c>
      <c r="N14" s="2" t="s">
        <v>163</v>
      </c>
      <c r="O14" s="3">
        <v>14</v>
      </c>
      <c r="P14" s="3">
        <v>5.99</v>
      </c>
      <c r="Q14" s="3">
        <v>4.76</v>
      </c>
      <c r="R14" s="3">
        <v>66.739999999999995</v>
      </c>
      <c r="S14" s="2" t="s">
        <v>35</v>
      </c>
      <c r="T14" s="2" t="s">
        <v>173</v>
      </c>
      <c r="U14" s="2" t="s">
        <v>66</v>
      </c>
      <c r="V14" s="2" t="s">
        <v>52</v>
      </c>
      <c r="W14" s="3">
        <v>0</v>
      </c>
    </row>
    <row r="15" spans="1:23" x14ac:dyDescent="0.3">
      <c r="A15" s="4" t="s">
        <v>174</v>
      </c>
      <c r="B15" s="4" t="s">
        <v>175</v>
      </c>
      <c r="C15" s="4" t="s">
        <v>176</v>
      </c>
      <c r="D15" s="4" t="s">
        <v>177</v>
      </c>
      <c r="E15" s="4" t="s">
        <v>178</v>
      </c>
      <c r="F15" s="4" t="s">
        <v>179</v>
      </c>
      <c r="G15" s="4" t="s">
        <v>180</v>
      </c>
      <c r="H15" s="4" t="s">
        <v>181</v>
      </c>
      <c r="I15" s="4" t="s">
        <v>31</v>
      </c>
      <c r="J15" s="4" t="s">
        <v>182</v>
      </c>
      <c r="K15" s="4" t="s">
        <v>62</v>
      </c>
      <c r="L15" s="4">
        <v>2</v>
      </c>
      <c r="M15" s="5">
        <v>154.97</v>
      </c>
      <c r="N15" s="4" t="s">
        <v>34</v>
      </c>
      <c r="O15" s="5">
        <v>0</v>
      </c>
      <c r="P15" s="5">
        <v>0</v>
      </c>
      <c r="Q15" s="5">
        <v>13.17</v>
      </c>
      <c r="R15" s="5">
        <v>168.14</v>
      </c>
      <c r="S15" s="4" t="s">
        <v>35</v>
      </c>
      <c r="T15" s="4" t="s">
        <v>183</v>
      </c>
      <c r="U15" s="4" t="s">
        <v>100</v>
      </c>
      <c r="V15" s="4"/>
      <c r="W15" s="5">
        <v>0</v>
      </c>
    </row>
    <row r="16" spans="1:23" x14ac:dyDescent="0.3">
      <c r="A16" s="2" t="s">
        <v>184</v>
      </c>
      <c r="B16" s="2" t="s">
        <v>185</v>
      </c>
      <c r="C16" s="2" t="s">
        <v>186</v>
      </c>
      <c r="D16" s="2" t="s">
        <v>187</v>
      </c>
      <c r="E16" s="2" t="s">
        <v>188</v>
      </c>
      <c r="F16" s="2" t="s">
        <v>189</v>
      </c>
      <c r="G16" s="2" t="s">
        <v>190</v>
      </c>
      <c r="H16" s="2" t="s">
        <v>161</v>
      </c>
      <c r="I16" s="2" t="s">
        <v>31</v>
      </c>
      <c r="J16" s="2" t="s">
        <v>191</v>
      </c>
      <c r="K16" s="2" t="s">
        <v>77</v>
      </c>
      <c r="L16" s="2">
        <v>1</v>
      </c>
      <c r="M16" s="3">
        <v>24.99</v>
      </c>
      <c r="N16" s="2" t="s">
        <v>152</v>
      </c>
      <c r="O16" s="3">
        <v>1.25</v>
      </c>
      <c r="P16" s="3">
        <v>9.99</v>
      </c>
      <c r="Q16" s="3">
        <v>2.14</v>
      </c>
      <c r="R16" s="3">
        <v>35.869999999999997</v>
      </c>
      <c r="S16" s="2" t="s">
        <v>79</v>
      </c>
      <c r="T16" s="2" t="s">
        <v>173</v>
      </c>
      <c r="U16" s="2" t="s">
        <v>66</v>
      </c>
      <c r="V16" s="2" t="s">
        <v>192</v>
      </c>
      <c r="W16" s="3">
        <v>0</v>
      </c>
    </row>
    <row r="17" spans="1:23" x14ac:dyDescent="0.3">
      <c r="A17" s="4" t="s">
        <v>193</v>
      </c>
      <c r="B17" s="4" t="s">
        <v>194</v>
      </c>
      <c r="C17" s="4" t="s">
        <v>195</v>
      </c>
      <c r="D17" s="4" t="s">
        <v>196</v>
      </c>
      <c r="E17" s="4" t="s">
        <v>197</v>
      </c>
      <c r="F17" s="4" t="s">
        <v>198</v>
      </c>
      <c r="G17" s="4" t="s">
        <v>180</v>
      </c>
      <c r="H17" s="4" t="s">
        <v>181</v>
      </c>
      <c r="I17" s="4" t="s">
        <v>31</v>
      </c>
      <c r="J17" s="4" t="s">
        <v>199</v>
      </c>
      <c r="K17" s="4" t="s">
        <v>122</v>
      </c>
      <c r="L17" s="4">
        <v>4</v>
      </c>
      <c r="M17" s="5">
        <v>172.96</v>
      </c>
      <c r="N17" s="4" t="s">
        <v>78</v>
      </c>
      <c r="O17" s="5">
        <v>17.3</v>
      </c>
      <c r="P17" s="5">
        <v>0</v>
      </c>
      <c r="Q17" s="5">
        <v>10.9</v>
      </c>
      <c r="R17" s="5">
        <v>166.56</v>
      </c>
      <c r="S17" s="4" t="s">
        <v>64</v>
      </c>
      <c r="T17" s="4" t="s">
        <v>99</v>
      </c>
      <c r="U17" s="4" t="s">
        <v>66</v>
      </c>
      <c r="V17" s="4" t="s">
        <v>200</v>
      </c>
      <c r="W17" s="5">
        <v>0</v>
      </c>
    </row>
    <row r="18" spans="1:23" x14ac:dyDescent="0.3">
      <c r="A18" s="2" t="s">
        <v>201</v>
      </c>
      <c r="B18" s="2" t="s">
        <v>202</v>
      </c>
      <c r="C18" s="2" t="s">
        <v>203</v>
      </c>
      <c r="D18" s="2" t="s">
        <v>204</v>
      </c>
      <c r="E18" s="2" t="s">
        <v>205</v>
      </c>
      <c r="F18" s="2" t="s">
        <v>206</v>
      </c>
      <c r="G18" s="2" t="s">
        <v>207</v>
      </c>
      <c r="H18" s="2" t="s">
        <v>141</v>
      </c>
      <c r="I18" s="2" t="s">
        <v>31</v>
      </c>
      <c r="J18" s="2" t="s">
        <v>208</v>
      </c>
      <c r="K18" s="2" t="s">
        <v>209</v>
      </c>
      <c r="L18" s="2">
        <v>5</v>
      </c>
      <c r="M18" s="3">
        <v>459.91</v>
      </c>
      <c r="N18" s="2" t="s">
        <v>34</v>
      </c>
      <c r="O18" s="3">
        <v>0</v>
      </c>
      <c r="P18" s="3">
        <v>0</v>
      </c>
      <c r="Q18" s="3">
        <v>39.090000000000003</v>
      </c>
      <c r="R18" s="3">
        <v>499</v>
      </c>
      <c r="S18" s="2" t="s">
        <v>111</v>
      </c>
      <c r="T18" s="2" t="s">
        <v>144</v>
      </c>
      <c r="U18" s="2" t="s">
        <v>37</v>
      </c>
      <c r="V18" s="2" t="s">
        <v>210</v>
      </c>
      <c r="W18" s="3">
        <v>499</v>
      </c>
    </row>
    <row r="19" spans="1:23" x14ac:dyDescent="0.3">
      <c r="A19" s="4" t="s">
        <v>211</v>
      </c>
      <c r="B19" s="4" t="s">
        <v>212</v>
      </c>
      <c r="C19" s="4" t="s">
        <v>213</v>
      </c>
      <c r="D19" s="4" t="s">
        <v>214</v>
      </c>
      <c r="E19" s="4" t="s">
        <v>215</v>
      </c>
      <c r="F19" s="4" t="s">
        <v>216</v>
      </c>
      <c r="G19" s="4" t="s">
        <v>87</v>
      </c>
      <c r="H19" s="4" t="s">
        <v>88</v>
      </c>
      <c r="I19" s="4" t="s">
        <v>31</v>
      </c>
      <c r="J19" s="4" t="s">
        <v>217</v>
      </c>
      <c r="K19" s="4" t="s">
        <v>110</v>
      </c>
      <c r="L19" s="4">
        <v>1</v>
      </c>
      <c r="M19" s="5">
        <v>22.99</v>
      </c>
      <c r="N19" s="4" t="s">
        <v>78</v>
      </c>
      <c r="O19" s="5">
        <v>2.2999999999999998</v>
      </c>
      <c r="P19" s="5">
        <v>5.99</v>
      </c>
      <c r="Q19" s="5">
        <v>2.0699999999999998</v>
      </c>
      <c r="R19" s="5">
        <v>28.75</v>
      </c>
      <c r="S19" s="4" t="s">
        <v>64</v>
      </c>
      <c r="T19" s="4" t="s">
        <v>99</v>
      </c>
      <c r="U19" s="4" t="s">
        <v>100</v>
      </c>
      <c r="V19" s="4"/>
      <c r="W19" s="5">
        <v>0</v>
      </c>
    </row>
    <row r="20" spans="1:23" x14ac:dyDescent="0.3">
      <c r="A20" s="2" t="s">
        <v>218</v>
      </c>
      <c r="B20" s="2" t="s">
        <v>219</v>
      </c>
      <c r="C20" s="2" t="s">
        <v>220</v>
      </c>
      <c r="D20" s="2" t="s">
        <v>221</v>
      </c>
      <c r="E20" s="2" t="s">
        <v>222</v>
      </c>
      <c r="F20" s="2" t="s">
        <v>223</v>
      </c>
      <c r="G20" s="2" t="s">
        <v>224</v>
      </c>
      <c r="H20" s="2" t="s">
        <v>225</v>
      </c>
      <c r="I20" s="2" t="s">
        <v>31</v>
      </c>
      <c r="J20" s="2" t="s">
        <v>226</v>
      </c>
      <c r="K20" s="2" t="s">
        <v>110</v>
      </c>
      <c r="L20" s="2">
        <v>3</v>
      </c>
      <c r="M20" s="3">
        <v>250.96</v>
      </c>
      <c r="N20" s="2" t="s">
        <v>34</v>
      </c>
      <c r="O20" s="3">
        <v>0</v>
      </c>
      <c r="P20" s="3">
        <v>0</v>
      </c>
      <c r="Q20" s="3">
        <v>15.06</v>
      </c>
      <c r="R20" s="3">
        <v>266.02</v>
      </c>
      <c r="S20" s="2" t="s">
        <v>35</v>
      </c>
      <c r="T20" s="2" t="s">
        <v>65</v>
      </c>
      <c r="U20" s="2" t="s">
        <v>66</v>
      </c>
      <c r="V20" s="2" t="s">
        <v>227</v>
      </c>
      <c r="W20" s="3">
        <v>0</v>
      </c>
    </row>
    <row r="21" spans="1:23" x14ac:dyDescent="0.3">
      <c r="A21" s="4" t="s">
        <v>228</v>
      </c>
      <c r="B21" s="4" t="s">
        <v>229</v>
      </c>
      <c r="C21" s="4" t="s">
        <v>230</v>
      </c>
      <c r="D21" s="4" t="s">
        <v>231</v>
      </c>
      <c r="E21" s="4" t="s">
        <v>232</v>
      </c>
      <c r="F21" s="4" t="s">
        <v>233</v>
      </c>
      <c r="G21" s="4" t="s">
        <v>140</v>
      </c>
      <c r="H21" s="4" t="s">
        <v>141</v>
      </c>
      <c r="I21" s="4" t="s">
        <v>31</v>
      </c>
      <c r="J21" s="4" t="s">
        <v>234</v>
      </c>
      <c r="K21" s="4" t="s">
        <v>62</v>
      </c>
      <c r="L21" s="4">
        <v>1</v>
      </c>
      <c r="M21" s="5">
        <v>49.98</v>
      </c>
      <c r="N21" s="4" t="s">
        <v>34</v>
      </c>
      <c r="O21" s="5">
        <v>0</v>
      </c>
      <c r="P21" s="5">
        <v>7.99</v>
      </c>
      <c r="Q21" s="5">
        <v>3.5</v>
      </c>
      <c r="R21" s="5">
        <v>61.47</v>
      </c>
      <c r="S21" s="4" t="s">
        <v>64</v>
      </c>
      <c r="T21" s="4" t="s">
        <v>36</v>
      </c>
      <c r="U21" s="4" t="s">
        <v>51</v>
      </c>
      <c r="V21" s="4" t="s">
        <v>235</v>
      </c>
      <c r="W21" s="5">
        <v>0</v>
      </c>
    </row>
    <row r="22" spans="1:23" x14ac:dyDescent="0.3">
      <c r="A22" s="2" t="s">
        <v>236</v>
      </c>
      <c r="B22" s="2" t="s">
        <v>237</v>
      </c>
      <c r="C22" s="2" t="s">
        <v>238</v>
      </c>
      <c r="D22" s="2" t="s">
        <v>239</v>
      </c>
      <c r="E22" s="2" t="s">
        <v>240</v>
      </c>
      <c r="F22" s="2" t="s">
        <v>241</v>
      </c>
      <c r="G22" s="2" t="s">
        <v>242</v>
      </c>
      <c r="H22" s="2" t="s">
        <v>243</v>
      </c>
      <c r="I22" s="2" t="s">
        <v>31</v>
      </c>
      <c r="J22" s="2" t="s">
        <v>244</v>
      </c>
      <c r="K22" s="2" t="s">
        <v>48</v>
      </c>
      <c r="L22" s="2">
        <v>4</v>
      </c>
      <c r="M22" s="3">
        <v>255.93</v>
      </c>
      <c r="N22" s="2" t="s">
        <v>34</v>
      </c>
      <c r="O22" s="3">
        <v>0</v>
      </c>
      <c r="P22" s="3">
        <v>0</v>
      </c>
      <c r="Q22" s="3">
        <v>21.75</v>
      </c>
      <c r="R22" s="3">
        <v>277.68</v>
      </c>
      <c r="S22" s="2" t="s">
        <v>111</v>
      </c>
      <c r="T22" s="2" t="s">
        <v>65</v>
      </c>
      <c r="U22" s="2" t="s">
        <v>66</v>
      </c>
      <c r="V22" s="2" t="s">
        <v>245</v>
      </c>
      <c r="W22" s="3">
        <v>0</v>
      </c>
    </row>
    <row r="23" spans="1:23" x14ac:dyDescent="0.3">
      <c r="A23" s="4" t="s">
        <v>246</v>
      </c>
      <c r="B23" s="4" t="s">
        <v>90</v>
      </c>
      <c r="C23" s="4" t="s">
        <v>247</v>
      </c>
      <c r="D23" s="4" t="s">
        <v>248</v>
      </c>
      <c r="E23" s="4" t="s">
        <v>249</v>
      </c>
      <c r="F23" s="4" t="s">
        <v>250</v>
      </c>
      <c r="G23" s="4" t="s">
        <v>251</v>
      </c>
      <c r="H23" s="4" t="s">
        <v>252</v>
      </c>
      <c r="I23" s="4" t="s">
        <v>31</v>
      </c>
      <c r="J23" s="4" t="s">
        <v>253</v>
      </c>
      <c r="K23" s="4" t="s">
        <v>209</v>
      </c>
      <c r="L23" s="4">
        <v>1</v>
      </c>
      <c r="M23" s="5">
        <v>89.97</v>
      </c>
      <c r="N23" s="4" t="s">
        <v>78</v>
      </c>
      <c r="O23" s="5">
        <v>9</v>
      </c>
      <c r="P23" s="5">
        <v>0</v>
      </c>
      <c r="Q23" s="5">
        <v>6.48</v>
      </c>
      <c r="R23" s="5">
        <v>87.45</v>
      </c>
      <c r="S23" s="4" t="s">
        <v>64</v>
      </c>
      <c r="T23" s="4" t="s">
        <v>99</v>
      </c>
      <c r="U23" s="4" t="s">
        <v>37</v>
      </c>
      <c r="V23" s="4" t="s">
        <v>254</v>
      </c>
      <c r="W23" s="5">
        <v>87.45</v>
      </c>
    </row>
    <row r="24" spans="1:23" x14ac:dyDescent="0.3">
      <c r="A24" s="2" t="s">
        <v>255</v>
      </c>
      <c r="B24" s="2" t="s">
        <v>256</v>
      </c>
      <c r="C24" s="2" t="s">
        <v>257</v>
      </c>
      <c r="D24" s="2" t="s">
        <v>258</v>
      </c>
      <c r="E24" s="2" t="s">
        <v>259</v>
      </c>
      <c r="F24" s="2" t="s">
        <v>260</v>
      </c>
      <c r="G24" s="2" t="s">
        <v>87</v>
      </c>
      <c r="H24" s="2" t="s">
        <v>88</v>
      </c>
      <c r="I24" s="2" t="s">
        <v>31</v>
      </c>
      <c r="J24" s="2" t="s">
        <v>47</v>
      </c>
      <c r="K24" s="2" t="s">
        <v>48</v>
      </c>
      <c r="L24" s="2">
        <v>1</v>
      </c>
      <c r="M24" s="3">
        <v>42.99</v>
      </c>
      <c r="N24" s="2" t="s">
        <v>152</v>
      </c>
      <c r="O24" s="3">
        <v>2.15</v>
      </c>
      <c r="P24" s="3">
        <v>4.99</v>
      </c>
      <c r="Q24" s="3">
        <v>3.47</v>
      </c>
      <c r="R24" s="3">
        <v>49.3</v>
      </c>
      <c r="S24" s="2" t="s">
        <v>111</v>
      </c>
      <c r="T24" s="2" t="s">
        <v>99</v>
      </c>
      <c r="U24" s="2" t="s">
        <v>66</v>
      </c>
      <c r="V24" s="2" t="s">
        <v>261</v>
      </c>
      <c r="W24" s="3">
        <v>0</v>
      </c>
    </row>
    <row r="25" spans="1:23" x14ac:dyDescent="0.3">
      <c r="A25" s="4" t="s">
        <v>262</v>
      </c>
      <c r="B25" s="4" t="s">
        <v>210</v>
      </c>
      <c r="C25" s="4" t="s">
        <v>263</v>
      </c>
      <c r="D25" s="4" t="s">
        <v>264</v>
      </c>
      <c r="E25" s="4" t="s">
        <v>265</v>
      </c>
      <c r="F25" s="4" t="s">
        <v>266</v>
      </c>
      <c r="G25" s="4" t="s">
        <v>119</v>
      </c>
      <c r="H25" s="4" t="s">
        <v>120</v>
      </c>
      <c r="I25" s="4" t="s">
        <v>31</v>
      </c>
      <c r="J25" s="4" t="s">
        <v>267</v>
      </c>
      <c r="K25" s="4" t="s">
        <v>62</v>
      </c>
      <c r="L25" s="4">
        <v>1</v>
      </c>
      <c r="M25" s="5">
        <v>54.99</v>
      </c>
      <c r="N25" s="4" t="s">
        <v>78</v>
      </c>
      <c r="O25" s="5">
        <v>5.5</v>
      </c>
      <c r="P25" s="5">
        <v>7.99</v>
      </c>
      <c r="Q25" s="5">
        <v>4.95</v>
      </c>
      <c r="R25" s="5">
        <v>62.43</v>
      </c>
      <c r="S25" s="4" t="s">
        <v>123</v>
      </c>
      <c r="T25" s="4" t="s">
        <v>173</v>
      </c>
      <c r="U25" s="4" t="s">
        <v>66</v>
      </c>
      <c r="V25" s="4" t="s">
        <v>268</v>
      </c>
      <c r="W25" s="5">
        <v>0</v>
      </c>
    </row>
    <row r="26" spans="1:23" x14ac:dyDescent="0.3">
      <c r="A26" s="2" t="s">
        <v>269</v>
      </c>
      <c r="B26" s="2" t="s">
        <v>270</v>
      </c>
      <c r="C26" s="2" t="s">
        <v>271</v>
      </c>
      <c r="D26" s="2" t="s">
        <v>272</v>
      </c>
      <c r="E26" s="2" t="s">
        <v>273</v>
      </c>
      <c r="F26" s="2" t="s">
        <v>274</v>
      </c>
      <c r="G26" s="2" t="s">
        <v>59</v>
      </c>
      <c r="H26" s="2" t="s">
        <v>60</v>
      </c>
      <c r="I26" s="2" t="s">
        <v>31</v>
      </c>
      <c r="J26" s="2" t="s">
        <v>275</v>
      </c>
      <c r="K26" s="2" t="s">
        <v>77</v>
      </c>
      <c r="L26" s="2">
        <v>3</v>
      </c>
      <c r="M26" s="3">
        <v>159.96</v>
      </c>
      <c r="N26" s="2" t="s">
        <v>163</v>
      </c>
      <c r="O26" s="3">
        <v>31.99</v>
      </c>
      <c r="P26" s="3">
        <v>0</v>
      </c>
      <c r="Q26" s="3">
        <v>10.88</v>
      </c>
      <c r="R26" s="3">
        <v>138.85</v>
      </c>
      <c r="S26" s="2" t="s">
        <v>64</v>
      </c>
      <c r="T26" s="2" t="s">
        <v>173</v>
      </c>
      <c r="U26" s="2" t="s">
        <v>66</v>
      </c>
      <c r="V26" s="2" t="s">
        <v>135</v>
      </c>
      <c r="W26" s="3">
        <v>0</v>
      </c>
    </row>
    <row r="27" spans="1:23" x14ac:dyDescent="0.3">
      <c r="A27" s="4" t="s">
        <v>276</v>
      </c>
      <c r="B27" s="4" t="s">
        <v>277</v>
      </c>
      <c r="C27" s="4" t="s">
        <v>278</v>
      </c>
      <c r="D27" s="4" t="s">
        <v>279</v>
      </c>
      <c r="E27" s="4" t="s">
        <v>280</v>
      </c>
      <c r="F27" s="4" t="s">
        <v>281</v>
      </c>
      <c r="G27" s="4" t="s">
        <v>282</v>
      </c>
      <c r="H27" s="4" t="s">
        <v>88</v>
      </c>
      <c r="I27" s="4" t="s">
        <v>31</v>
      </c>
      <c r="J27" s="4" t="s">
        <v>283</v>
      </c>
      <c r="K27" s="4" t="s">
        <v>209</v>
      </c>
      <c r="L27" s="4">
        <v>1</v>
      </c>
      <c r="M27" s="5">
        <v>49.99</v>
      </c>
      <c r="N27" s="4" t="s">
        <v>163</v>
      </c>
      <c r="O27" s="5">
        <v>10</v>
      </c>
      <c r="P27" s="5">
        <v>4.99</v>
      </c>
      <c r="Q27" s="5">
        <v>3.4</v>
      </c>
      <c r="R27" s="5">
        <v>48.38</v>
      </c>
      <c r="S27" s="4" t="s">
        <v>123</v>
      </c>
      <c r="T27" s="4" t="s">
        <v>36</v>
      </c>
      <c r="U27" s="4" t="s">
        <v>66</v>
      </c>
      <c r="V27" s="4" t="s">
        <v>284</v>
      </c>
      <c r="W27" s="5">
        <v>0</v>
      </c>
    </row>
    <row r="28" spans="1:23" x14ac:dyDescent="0.3">
      <c r="A28" s="2" t="s">
        <v>285</v>
      </c>
      <c r="B28" s="2" t="s">
        <v>286</v>
      </c>
      <c r="C28" s="2" t="s">
        <v>287</v>
      </c>
      <c r="D28" s="2" t="s">
        <v>288</v>
      </c>
      <c r="E28" s="2" t="s">
        <v>289</v>
      </c>
      <c r="F28" s="2" t="s">
        <v>290</v>
      </c>
      <c r="G28" s="2" t="s">
        <v>291</v>
      </c>
      <c r="H28" s="2" t="s">
        <v>292</v>
      </c>
      <c r="I28" s="2" t="s">
        <v>31</v>
      </c>
      <c r="J28" s="2" t="s">
        <v>293</v>
      </c>
      <c r="K28" s="2" t="s">
        <v>122</v>
      </c>
      <c r="L28" s="2">
        <v>1</v>
      </c>
      <c r="M28" s="3">
        <v>149.97999999999999</v>
      </c>
      <c r="N28" s="2" t="s">
        <v>63</v>
      </c>
      <c r="O28" s="3">
        <v>37.49</v>
      </c>
      <c r="P28" s="3">
        <v>0</v>
      </c>
      <c r="Q28" s="3">
        <v>9.56</v>
      </c>
      <c r="R28" s="3">
        <v>122.05</v>
      </c>
      <c r="S28" s="2" t="s">
        <v>35</v>
      </c>
      <c r="T28" s="2" t="s">
        <v>99</v>
      </c>
      <c r="U28" s="2" t="s">
        <v>66</v>
      </c>
      <c r="V28" s="2" t="s">
        <v>294</v>
      </c>
      <c r="W28" s="3">
        <v>0</v>
      </c>
    </row>
    <row r="29" spans="1:23" x14ac:dyDescent="0.3">
      <c r="A29" s="4" t="s">
        <v>295</v>
      </c>
      <c r="B29" s="4" t="s">
        <v>296</v>
      </c>
      <c r="C29" s="4" t="s">
        <v>297</v>
      </c>
      <c r="D29" s="4" t="s">
        <v>298</v>
      </c>
      <c r="E29" s="4" t="s">
        <v>299</v>
      </c>
      <c r="F29" s="4" t="s">
        <v>300</v>
      </c>
      <c r="G29" s="4" t="s">
        <v>59</v>
      </c>
      <c r="H29" s="4" t="s">
        <v>60</v>
      </c>
      <c r="I29" s="4" t="s">
        <v>31</v>
      </c>
      <c r="J29" s="4" t="s">
        <v>301</v>
      </c>
      <c r="K29" s="4" t="s">
        <v>62</v>
      </c>
      <c r="L29" s="4">
        <v>3</v>
      </c>
      <c r="M29" s="5">
        <v>179.95</v>
      </c>
      <c r="N29" s="4" t="s">
        <v>163</v>
      </c>
      <c r="O29" s="5">
        <v>35.99</v>
      </c>
      <c r="P29" s="5">
        <v>0</v>
      </c>
      <c r="Q29" s="5">
        <v>12.24</v>
      </c>
      <c r="R29" s="5">
        <v>156.19999999999999</v>
      </c>
      <c r="S29" s="4" t="s">
        <v>35</v>
      </c>
      <c r="T29" s="4" t="s">
        <v>99</v>
      </c>
      <c r="U29" s="4" t="s">
        <v>66</v>
      </c>
      <c r="V29" s="4" t="s">
        <v>210</v>
      </c>
      <c r="W29" s="5">
        <v>0</v>
      </c>
    </row>
    <row r="30" spans="1:23" x14ac:dyDescent="0.3">
      <c r="A30" s="2" t="s">
        <v>302</v>
      </c>
      <c r="B30" s="2" t="s">
        <v>303</v>
      </c>
      <c r="C30" s="2" t="s">
        <v>304</v>
      </c>
      <c r="D30" s="2" t="s">
        <v>305</v>
      </c>
      <c r="E30" s="2" t="s">
        <v>306</v>
      </c>
      <c r="F30" s="2" t="s">
        <v>307</v>
      </c>
      <c r="G30" s="2" t="s">
        <v>180</v>
      </c>
      <c r="H30" s="2" t="s">
        <v>181</v>
      </c>
      <c r="I30" s="2" t="s">
        <v>31</v>
      </c>
      <c r="J30" s="2" t="s">
        <v>308</v>
      </c>
      <c r="K30" s="2" t="s">
        <v>62</v>
      </c>
      <c r="L30" s="2">
        <v>1</v>
      </c>
      <c r="M30" s="3">
        <v>29.99</v>
      </c>
      <c r="N30" s="2" t="s">
        <v>34</v>
      </c>
      <c r="O30" s="3">
        <v>0</v>
      </c>
      <c r="P30" s="3">
        <v>5.99</v>
      </c>
      <c r="Q30" s="3">
        <v>2.1</v>
      </c>
      <c r="R30" s="3">
        <v>38.08</v>
      </c>
      <c r="S30" s="2" t="s">
        <v>123</v>
      </c>
      <c r="T30" s="2" t="s">
        <v>99</v>
      </c>
      <c r="U30" s="2" t="s">
        <v>66</v>
      </c>
      <c r="V30" s="2" t="s">
        <v>309</v>
      </c>
      <c r="W30" s="3">
        <v>0</v>
      </c>
    </row>
    <row r="31" spans="1:23" x14ac:dyDescent="0.3">
      <c r="A31" s="4" t="s">
        <v>310</v>
      </c>
      <c r="B31" s="4" t="s">
        <v>311</v>
      </c>
      <c r="C31" s="4" t="s">
        <v>312</v>
      </c>
      <c r="D31" s="4" t="s">
        <v>313</v>
      </c>
      <c r="E31" s="4" t="s">
        <v>314</v>
      </c>
      <c r="F31" s="4" t="s">
        <v>315</v>
      </c>
      <c r="G31" s="4" t="s">
        <v>119</v>
      </c>
      <c r="H31" s="4" t="s">
        <v>120</v>
      </c>
      <c r="I31" s="4" t="s">
        <v>31</v>
      </c>
      <c r="J31" s="4" t="s">
        <v>316</v>
      </c>
      <c r="K31" s="4" t="s">
        <v>48</v>
      </c>
      <c r="L31" s="4">
        <v>1</v>
      </c>
      <c r="M31" s="5">
        <v>34.99</v>
      </c>
      <c r="N31" s="4" t="s">
        <v>34</v>
      </c>
      <c r="O31" s="5">
        <v>0</v>
      </c>
      <c r="P31" s="5">
        <v>9.99</v>
      </c>
      <c r="Q31" s="5">
        <v>2.97</v>
      </c>
      <c r="R31" s="5">
        <v>47.95</v>
      </c>
      <c r="S31" s="4" t="s">
        <v>35</v>
      </c>
      <c r="T31" s="4" t="s">
        <v>99</v>
      </c>
      <c r="U31" s="4" t="s">
        <v>317</v>
      </c>
      <c r="V31" s="4"/>
      <c r="W31" s="5">
        <v>0</v>
      </c>
    </row>
    <row r="32" spans="1:23" x14ac:dyDescent="0.3">
      <c r="A32" s="2" t="s">
        <v>318</v>
      </c>
      <c r="B32" s="2" t="s">
        <v>175</v>
      </c>
      <c r="C32" s="2" t="s">
        <v>319</v>
      </c>
      <c r="D32" s="2" t="s">
        <v>320</v>
      </c>
      <c r="E32" s="2" t="s">
        <v>321</v>
      </c>
      <c r="F32" s="2" t="s">
        <v>322</v>
      </c>
      <c r="G32" s="2" t="s">
        <v>323</v>
      </c>
      <c r="H32" s="2" t="s">
        <v>324</v>
      </c>
      <c r="I32" s="2" t="s">
        <v>31</v>
      </c>
      <c r="J32" s="2" t="s">
        <v>191</v>
      </c>
      <c r="K32" s="2" t="s">
        <v>77</v>
      </c>
      <c r="L32" s="2">
        <v>1</v>
      </c>
      <c r="M32" s="3">
        <v>24.99</v>
      </c>
      <c r="N32" s="2" t="s">
        <v>49</v>
      </c>
      <c r="O32" s="3">
        <v>3.75</v>
      </c>
      <c r="P32" s="3">
        <v>5.99</v>
      </c>
      <c r="Q32" s="3">
        <v>1.81</v>
      </c>
      <c r="R32" s="3">
        <v>29.04</v>
      </c>
      <c r="S32" s="2" t="s">
        <v>79</v>
      </c>
      <c r="T32" s="2" t="s">
        <v>325</v>
      </c>
      <c r="U32" s="2" t="s">
        <v>37</v>
      </c>
      <c r="V32" s="2" t="s">
        <v>326</v>
      </c>
      <c r="W32" s="3">
        <v>29.04</v>
      </c>
    </row>
    <row r="33" spans="1:23" x14ac:dyDescent="0.3">
      <c r="A33" s="4" t="s">
        <v>327</v>
      </c>
      <c r="B33" s="4" t="s">
        <v>328</v>
      </c>
      <c r="C33" s="4" t="s">
        <v>329</v>
      </c>
      <c r="D33" s="4" t="s">
        <v>221</v>
      </c>
      <c r="E33" s="4" t="s">
        <v>330</v>
      </c>
      <c r="F33" s="4" t="s">
        <v>331</v>
      </c>
      <c r="G33" s="4" t="s">
        <v>140</v>
      </c>
      <c r="H33" s="4" t="s">
        <v>141</v>
      </c>
      <c r="I33" s="4" t="s">
        <v>31</v>
      </c>
      <c r="J33" s="4" t="s">
        <v>172</v>
      </c>
      <c r="K33" s="4" t="s">
        <v>122</v>
      </c>
      <c r="L33" s="4">
        <v>1</v>
      </c>
      <c r="M33" s="5">
        <v>69.989999999999995</v>
      </c>
      <c r="N33" s="4" t="s">
        <v>78</v>
      </c>
      <c r="O33" s="5">
        <v>7</v>
      </c>
      <c r="P33" s="5">
        <v>9.99</v>
      </c>
      <c r="Q33" s="5">
        <v>5.04</v>
      </c>
      <c r="R33" s="5">
        <v>78.02</v>
      </c>
      <c r="S33" s="4" t="s">
        <v>332</v>
      </c>
      <c r="T33" s="4" t="s">
        <v>183</v>
      </c>
      <c r="U33" s="4" t="s">
        <v>66</v>
      </c>
      <c r="V33" s="4" t="s">
        <v>333</v>
      </c>
      <c r="W33" s="5">
        <v>0</v>
      </c>
    </row>
    <row r="34" spans="1:23" x14ac:dyDescent="0.3">
      <c r="A34" s="2" t="s">
        <v>334</v>
      </c>
      <c r="B34" s="2" t="s">
        <v>335</v>
      </c>
      <c r="C34" s="2" t="s">
        <v>336</v>
      </c>
      <c r="D34" s="2" t="s">
        <v>337</v>
      </c>
      <c r="E34" s="2" t="s">
        <v>338</v>
      </c>
      <c r="F34" s="2" t="s">
        <v>339</v>
      </c>
      <c r="G34" s="2" t="s">
        <v>160</v>
      </c>
      <c r="H34" s="2" t="s">
        <v>161</v>
      </c>
      <c r="I34" s="2" t="s">
        <v>31</v>
      </c>
      <c r="J34" s="2" t="s">
        <v>340</v>
      </c>
      <c r="K34" s="2" t="s">
        <v>209</v>
      </c>
      <c r="L34" s="2">
        <v>1</v>
      </c>
      <c r="M34" s="3">
        <v>269.97000000000003</v>
      </c>
      <c r="N34" s="2" t="s">
        <v>34</v>
      </c>
      <c r="O34" s="3">
        <v>0</v>
      </c>
      <c r="P34" s="3">
        <v>0</v>
      </c>
      <c r="Q34" s="3">
        <v>16.2</v>
      </c>
      <c r="R34" s="3">
        <v>286.17</v>
      </c>
      <c r="S34" s="2" t="s">
        <v>64</v>
      </c>
      <c r="T34" s="2" t="s">
        <v>99</v>
      </c>
      <c r="U34" s="2" t="s">
        <v>100</v>
      </c>
      <c r="V34" s="2"/>
      <c r="W34" s="3">
        <v>0</v>
      </c>
    </row>
    <row r="35" spans="1:23" x14ac:dyDescent="0.3">
      <c r="A35" s="4" t="s">
        <v>341</v>
      </c>
      <c r="B35" s="4" t="s">
        <v>342</v>
      </c>
      <c r="C35" s="4" t="s">
        <v>343</v>
      </c>
      <c r="D35" s="4" t="s">
        <v>344</v>
      </c>
      <c r="E35" s="4" t="s">
        <v>345</v>
      </c>
      <c r="F35" s="4" t="s">
        <v>346</v>
      </c>
      <c r="G35" s="4" t="s">
        <v>347</v>
      </c>
      <c r="H35" s="4" t="s">
        <v>60</v>
      </c>
      <c r="I35" s="4" t="s">
        <v>31</v>
      </c>
      <c r="J35" s="4" t="s">
        <v>348</v>
      </c>
      <c r="K35" s="4" t="s">
        <v>33</v>
      </c>
      <c r="L35" s="4">
        <v>5</v>
      </c>
      <c r="M35" s="5">
        <v>271.93</v>
      </c>
      <c r="N35" s="4" t="s">
        <v>49</v>
      </c>
      <c r="O35" s="5">
        <v>40.79</v>
      </c>
      <c r="P35" s="5">
        <v>0</v>
      </c>
      <c r="Q35" s="5">
        <v>19.649999999999999</v>
      </c>
      <c r="R35" s="5">
        <v>250.79</v>
      </c>
      <c r="S35" s="4" t="s">
        <v>79</v>
      </c>
      <c r="T35" s="4" t="s">
        <v>99</v>
      </c>
      <c r="U35" s="4" t="s">
        <v>66</v>
      </c>
      <c r="V35" s="4" t="s">
        <v>349</v>
      </c>
      <c r="W35" s="5">
        <v>0</v>
      </c>
    </row>
    <row r="36" spans="1:23" x14ac:dyDescent="0.3">
      <c r="A36" s="2" t="s">
        <v>350</v>
      </c>
      <c r="B36" s="2" t="s">
        <v>351</v>
      </c>
      <c r="C36" s="2" t="s">
        <v>352</v>
      </c>
      <c r="D36" s="2" t="s">
        <v>353</v>
      </c>
      <c r="E36" s="2" t="s">
        <v>354</v>
      </c>
      <c r="F36" s="2" t="s">
        <v>355</v>
      </c>
      <c r="G36" s="2" t="s">
        <v>242</v>
      </c>
      <c r="H36" s="2" t="s">
        <v>243</v>
      </c>
      <c r="I36" s="2" t="s">
        <v>31</v>
      </c>
      <c r="J36" s="2" t="s">
        <v>356</v>
      </c>
      <c r="K36" s="2" t="s">
        <v>209</v>
      </c>
      <c r="L36" s="2">
        <v>2</v>
      </c>
      <c r="M36" s="3">
        <v>109.98</v>
      </c>
      <c r="N36" s="2" t="s">
        <v>49</v>
      </c>
      <c r="O36" s="3">
        <v>16.5</v>
      </c>
      <c r="P36" s="3">
        <v>0</v>
      </c>
      <c r="Q36" s="3">
        <v>7.95</v>
      </c>
      <c r="R36" s="3">
        <v>101.43</v>
      </c>
      <c r="S36" s="2" t="s">
        <v>35</v>
      </c>
      <c r="T36" s="2" t="s">
        <v>50</v>
      </c>
      <c r="U36" s="2" t="s">
        <v>100</v>
      </c>
      <c r="V36" s="2"/>
      <c r="W36" s="3">
        <v>0</v>
      </c>
    </row>
    <row r="37" spans="1:23" x14ac:dyDescent="0.3">
      <c r="A37" s="4" t="s">
        <v>357</v>
      </c>
      <c r="B37" s="4" t="s">
        <v>358</v>
      </c>
      <c r="C37" s="4" t="s">
        <v>359</v>
      </c>
      <c r="D37" s="4" t="s">
        <v>360</v>
      </c>
      <c r="E37" s="4" t="s">
        <v>361</v>
      </c>
      <c r="F37" s="4" t="s">
        <v>362</v>
      </c>
      <c r="G37" s="4" t="s">
        <v>107</v>
      </c>
      <c r="H37" s="4" t="s">
        <v>108</v>
      </c>
      <c r="I37" s="4" t="s">
        <v>31</v>
      </c>
      <c r="J37" s="4" t="s">
        <v>363</v>
      </c>
      <c r="K37" s="4" t="s">
        <v>364</v>
      </c>
      <c r="L37" s="4">
        <v>2</v>
      </c>
      <c r="M37" s="5">
        <v>104.97</v>
      </c>
      <c r="N37" s="4" t="s">
        <v>34</v>
      </c>
      <c r="O37" s="5">
        <v>0</v>
      </c>
      <c r="P37" s="5">
        <v>0</v>
      </c>
      <c r="Q37" s="5">
        <v>6.3</v>
      </c>
      <c r="R37" s="5">
        <v>111.27</v>
      </c>
      <c r="S37" s="4" t="s">
        <v>35</v>
      </c>
      <c r="T37" s="4" t="s">
        <v>173</v>
      </c>
      <c r="U37" s="4" t="s">
        <v>100</v>
      </c>
      <c r="V37" s="4"/>
      <c r="W37" s="5">
        <v>0</v>
      </c>
    </row>
    <row r="38" spans="1:23" x14ac:dyDescent="0.3">
      <c r="A38" s="2" t="s">
        <v>365</v>
      </c>
      <c r="B38" s="2" t="s">
        <v>366</v>
      </c>
      <c r="C38" s="2" t="s">
        <v>367</v>
      </c>
      <c r="D38" s="2" t="s">
        <v>368</v>
      </c>
      <c r="E38" s="2" t="s">
        <v>369</v>
      </c>
      <c r="F38" s="2" t="s">
        <v>370</v>
      </c>
      <c r="G38" s="2" t="s">
        <v>323</v>
      </c>
      <c r="H38" s="2" t="s">
        <v>324</v>
      </c>
      <c r="I38" s="2" t="s">
        <v>31</v>
      </c>
      <c r="J38" s="2" t="s">
        <v>371</v>
      </c>
      <c r="K38" s="2" t="s">
        <v>122</v>
      </c>
      <c r="L38" s="2">
        <v>1</v>
      </c>
      <c r="M38" s="3">
        <v>109.99</v>
      </c>
      <c r="N38" s="2" t="s">
        <v>152</v>
      </c>
      <c r="O38" s="3">
        <v>5.5</v>
      </c>
      <c r="P38" s="3">
        <v>0</v>
      </c>
      <c r="Q38" s="3">
        <v>10.45</v>
      </c>
      <c r="R38" s="3">
        <v>114.94</v>
      </c>
      <c r="S38" s="2" t="s">
        <v>111</v>
      </c>
      <c r="T38" s="2" t="s">
        <v>36</v>
      </c>
      <c r="U38" s="2" t="s">
        <v>37</v>
      </c>
      <c r="V38" s="2" t="s">
        <v>372</v>
      </c>
      <c r="W38" s="3">
        <v>114.94</v>
      </c>
    </row>
    <row r="39" spans="1:23" x14ac:dyDescent="0.3">
      <c r="A39" s="4" t="s">
        <v>373</v>
      </c>
      <c r="B39" s="4" t="s">
        <v>374</v>
      </c>
      <c r="C39" s="4" t="s">
        <v>375</v>
      </c>
      <c r="D39" s="4" t="s">
        <v>376</v>
      </c>
      <c r="E39" s="4" t="s">
        <v>377</v>
      </c>
      <c r="F39" s="4" t="s">
        <v>378</v>
      </c>
      <c r="G39" s="4" t="s">
        <v>347</v>
      </c>
      <c r="H39" s="4" t="s">
        <v>60</v>
      </c>
      <c r="I39" s="4" t="s">
        <v>31</v>
      </c>
      <c r="J39" s="4" t="s">
        <v>379</v>
      </c>
      <c r="K39" s="4" t="s">
        <v>209</v>
      </c>
      <c r="L39" s="4">
        <v>1</v>
      </c>
      <c r="M39" s="5">
        <v>89.99</v>
      </c>
      <c r="N39" s="4" t="s">
        <v>34</v>
      </c>
      <c r="O39" s="5">
        <v>0</v>
      </c>
      <c r="P39" s="5">
        <v>0</v>
      </c>
      <c r="Q39" s="5">
        <v>7.65</v>
      </c>
      <c r="R39" s="5">
        <v>97.64</v>
      </c>
      <c r="S39" s="4" t="s">
        <v>64</v>
      </c>
      <c r="T39" s="4" t="s">
        <v>99</v>
      </c>
      <c r="U39" s="4" t="s">
        <v>51</v>
      </c>
      <c r="V39" s="4" t="s">
        <v>380</v>
      </c>
      <c r="W39" s="5">
        <v>0</v>
      </c>
    </row>
    <row r="40" spans="1:23" x14ac:dyDescent="0.3">
      <c r="A40" s="2" t="s">
        <v>381</v>
      </c>
      <c r="B40" s="2" t="s">
        <v>382</v>
      </c>
      <c r="C40" s="2" t="s">
        <v>383</v>
      </c>
      <c r="D40" s="2" t="s">
        <v>384</v>
      </c>
      <c r="E40" s="2" t="s">
        <v>385</v>
      </c>
      <c r="F40" s="2" t="s">
        <v>386</v>
      </c>
      <c r="G40" s="2" t="s">
        <v>131</v>
      </c>
      <c r="H40" s="2" t="s">
        <v>88</v>
      </c>
      <c r="I40" s="2" t="s">
        <v>31</v>
      </c>
      <c r="J40" s="2" t="s">
        <v>387</v>
      </c>
      <c r="K40" s="2" t="s">
        <v>33</v>
      </c>
      <c r="L40" s="2">
        <v>1</v>
      </c>
      <c r="M40" s="3">
        <v>35.99</v>
      </c>
      <c r="N40" s="2" t="s">
        <v>34</v>
      </c>
      <c r="O40" s="3">
        <v>0</v>
      </c>
      <c r="P40" s="3">
        <v>5.99</v>
      </c>
      <c r="Q40" s="3">
        <v>2.52</v>
      </c>
      <c r="R40" s="3">
        <v>44.5</v>
      </c>
      <c r="S40" s="2" t="s">
        <v>35</v>
      </c>
      <c r="T40" s="2" t="s">
        <v>173</v>
      </c>
      <c r="U40" s="2" t="s">
        <v>37</v>
      </c>
      <c r="V40" s="2" t="s">
        <v>333</v>
      </c>
      <c r="W40" s="3">
        <v>44.5</v>
      </c>
    </row>
    <row r="41" spans="1:23" x14ac:dyDescent="0.3">
      <c r="A41" s="4" t="s">
        <v>388</v>
      </c>
      <c r="B41" s="4" t="s">
        <v>389</v>
      </c>
      <c r="C41" s="4" t="s">
        <v>390</v>
      </c>
      <c r="D41" s="4" t="s">
        <v>391</v>
      </c>
      <c r="E41" s="4" t="s">
        <v>392</v>
      </c>
      <c r="F41" s="4" t="s">
        <v>393</v>
      </c>
      <c r="G41" s="4" t="s">
        <v>394</v>
      </c>
      <c r="H41" s="4" t="s">
        <v>395</v>
      </c>
      <c r="I41" s="4" t="s">
        <v>31</v>
      </c>
      <c r="J41" s="4" t="s">
        <v>396</v>
      </c>
      <c r="K41" s="4" t="s">
        <v>122</v>
      </c>
      <c r="L41" s="4">
        <v>2</v>
      </c>
      <c r="M41" s="5">
        <v>379.96</v>
      </c>
      <c r="N41" s="4" t="s">
        <v>34</v>
      </c>
      <c r="O41" s="5">
        <v>0</v>
      </c>
      <c r="P41" s="5">
        <v>0</v>
      </c>
      <c r="Q41" s="5">
        <v>38</v>
      </c>
      <c r="R41" s="5">
        <v>417.96</v>
      </c>
      <c r="S41" s="4" t="s">
        <v>111</v>
      </c>
      <c r="T41" s="4" t="s">
        <v>173</v>
      </c>
      <c r="U41" s="4" t="s">
        <v>66</v>
      </c>
      <c r="V41" s="4" t="s">
        <v>397</v>
      </c>
      <c r="W41" s="5">
        <v>0</v>
      </c>
    </row>
    <row r="42" spans="1:23" x14ac:dyDescent="0.3">
      <c r="A42" s="2" t="s">
        <v>398</v>
      </c>
      <c r="B42" s="2" t="s">
        <v>166</v>
      </c>
      <c r="C42" s="2" t="s">
        <v>399</v>
      </c>
      <c r="D42" s="2" t="s">
        <v>400</v>
      </c>
      <c r="E42" s="2" t="s">
        <v>401</v>
      </c>
      <c r="F42" s="2" t="s">
        <v>402</v>
      </c>
      <c r="G42" s="2" t="s">
        <v>403</v>
      </c>
      <c r="H42" s="2" t="s">
        <v>404</v>
      </c>
      <c r="I42" s="2" t="s">
        <v>31</v>
      </c>
      <c r="J42" s="2" t="s">
        <v>405</v>
      </c>
      <c r="K42" s="2" t="s">
        <v>48</v>
      </c>
      <c r="L42" s="2">
        <v>2</v>
      </c>
      <c r="M42" s="3">
        <v>94.98</v>
      </c>
      <c r="N42" s="2" t="s">
        <v>34</v>
      </c>
      <c r="O42" s="3">
        <v>0</v>
      </c>
      <c r="P42" s="3">
        <v>0</v>
      </c>
      <c r="Q42" s="3">
        <v>6.65</v>
      </c>
      <c r="R42" s="3">
        <v>101.63</v>
      </c>
      <c r="S42" s="2" t="s">
        <v>35</v>
      </c>
      <c r="T42" s="2" t="s">
        <v>36</v>
      </c>
      <c r="U42" s="2" t="s">
        <v>66</v>
      </c>
      <c r="V42" s="2" t="s">
        <v>406</v>
      </c>
      <c r="W42" s="3">
        <v>0</v>
      </c>
    </row>
    <row r="43" spans="1:23" x14ac:dyDescent="0.3">
      <c r="A43" s="4" t="s">
        <v>407</v>
      </c>
      <c r="B43" s="4" t="s">
        <v>408</v>
      </c>
      <c r="C43" s="4" t="s">
        <v>409</v>
      </c>
      <c r="D43" s="4" t="s">
        <v>410</v>
      </c>
      <c r="E43" s="4" t="s">
        <v>411</v>
      </c>
      <c r="F43" s="4" t="s">
        <v>412</v>
      </c>
      <c r="G43" s="4" t="s">
        <v>242</v>
      </c>
      <c r="H43" s="4" t="s">
        <v>243</v>
      </c>
      <c r="I43" s="4" t="s">
        <v>31</v>
      </c>
      <c r="J43" s="4" t="s">
        <v>61</v>
      </c>
      <c r="K43" s="4" t="s">
        <v>62</v>
      </c>
      <c r="L43" s="4">
        <v>1</v>
      </c>
      <c r="M43" s="5">
        <v>24.99</v>
      </c>
      <c r="N43" s="4" t="s">
        <v>152</v>
      </c>
      <c r="O43" s="5">
        <v>1.25</v>
      </c>
      <c r="P43" s="5">
        <v>9.99</v>
      </c>
      <c r="Q43" s="5">
        <v>1.9</v>
      </c>
      <c r="R43" s="5">
        <v>35.630000000000003</v>
      </c>
      <c r="S43" s="4" t="s">
        <v>64</v>
      </c>
      <c r="T43" s="4" t="s">
        <v>99</v>
      </c>
      <c r="U43" s="4" t="s">
        <v>66</v>
      </c>
      <c r="V43" s="4" t="s">
        <v>413</v>
      </c>
      <c r="W43" s="5">
        <v>0</v>
      </c>
    </row>
    <row r="44" spans="1:23" x14ac:dyDescent="0.3">
      <c r="A44" s="2" t="s">
        <v>414</v>
      </c>
      <c r="B44" s="2" t="s">
        <v>415</v>
      </c>
      <c r="C44" s="2" t="s">
        <v>416</v>
      </c>
      <c r="D44" s="2" t="s">
        <v>417</v>
      </c>
      <c r="E44" s="2" t="s">
        <v>418</v>
      </c>
      <c r="F44" s="2" t="s">
        <v>419</v>
      </c>
      <c r="G44" s="2" t="s">
        <v>160</v>
      </c>
      <c r="H44" s="2" t="s">
        <v>161</v>
      </c>
      <c r="I44" s="2" t="s">
        <v>31</v>
      </c>
      <c r="J44" s="2" t="s">
        <v>420</v>
      </c>
      <c r="K44" s="2" t="s">
        <v>110</v>
      </c>
      <c r="L44" s="2">
        <v>2</v>
      </c>
      <c r="M44" s="3">
        <v>152.97999999999999</v>
      </c>
      <c r="N44" s="2" t="s">
        <v>78</v>
      </c>
      <c r="O44" s="3">
        <v>15.3</v>
      </c>
      <c r="P44" s="3">
        <v>0</v>
      </c>
      <c r="Q44" s="3">
        <v>13.77</v>
      </c>
      <c r="R44" s="3">
        <v>151.44999999999999</v>
      </c>
      <c r="S44" s="2" t="s">
        <v>111</v>
      </c>
      <c r="T44" s="2" t="s">
        <v>99</v>
      </c>
      <c r="U44" s="2" t="s">
        <v>66</v>
      </c>
      <c r="V44" s="2" t="s">
        <v>421</v>
      </c>
      <c r="W44" s="3">
        <v>0</v>
      </c>
    </row>
    <row r="45" spans="1:23" x14ac:dyDescent="0.3">
      <c r="A45" s="4" t="s">
        <v>422</v>
      </c>
      <c r="B45" s="4" t="s">
        <v>423</v>
      </c>
      <c r="C45" s="4" t="s">
        <v>424</v>
      </c>
      <c r="D45" s="4" t="s">
        <v>425</v>
      </c>
      <c r="E45" s="4" t="s">
        <v>426</v>
      </c>
      <c r="F45" s="4" t="s">
        <v>427</v>
      </c>
      <c r="G45" s="4" t="s">
        <v>428</v>
      </c>
      <c r="H45" s="4" t="s">
        <v>429</v>
      </c>
      <c r="I45" s="4" t="s">
        <v>31</v>
      </c>
      <c r="J45" s="4" t="s">
        <v>283</v>
      </c>
      <c r="K45" s="4" t="s">
        <v>209</v>
      </c>
      <c r="L45" s="4">
        <v>1</v>
      </c>
      <c r="M45" s="5">
        <v>49.99</v>
      </c>
      <c r="N45" s="4" t="s">
        <v>78</v>
      </c>
      <c r="O45" s="5">
        <v>5</v>
      </c>
      <c r="P45" s="5">
        <v>7.99</v>
      </c>
      <c r="Q45" s="5">
        <v>3.82</v>
      </c>
      <c r="R45" s="5">
        <v>56.8</v>
      </c>
      <c r="S45" s="4" t="s">
        <v>35</v>
      </c>
      <c r="T45" s="4" t="s">
        <v>144</v>
      </c>
      <c r="U45" s="4" t="s">
        <v>317</v>
      </c>
      <c r="V45" s="4"/>
      <c r="W45" s="5">
        <v>0</v>
      </c>
    </row>
    <row r="46" spans="1:23" x14ac:dyDescent="0.3">
      <c r="A46" s="2" t="s">
        <v>430</v>
      </c>
      <c r="B46" s="2" t="s">
        <v>431</v>
      </c>
      <c r="C46" s="2" t="s">
        <v>432</v>
      </c>
      <c r="D46" s="2" t="s">
        <v>433</v>
      </c>
      <c r="E46" s="2" t="s">
        <v>434</v>
      </c>
      <c r="F46" s="2" t="s">
        <v>435</v>
      </c>
      <c r="G46" s="2" t="s">
        <v>180</v>
      </c>
      <c r="H46" s="2" t="s">
        <v>181</v>
      </c>
      <c r="I46" s="2" t="s">
        <v>31</v>
      </c>
      <c r="J46" s="2" t="s">
        <v>436</v>
      </c>
      <c r="K46" s="2" t="s">
        <v>110</v>
      </c>
      <c r="L46" s="2">
        <v>3</v>
      </c>
      <c r="M46" s="3">
        <v>532.94000000000005</v>
      </c>
      <c r="N46" s="2" t="s">
        <v>152</v>
      </c>
      <c r="O46" s="3">
        <v>26.65</v>
      </c>
      <c r="P46" s="3">
        <v>0</v>
      </c>
      <c r="Q46" s="3">
        <v>45.57</v>
      </c>
      <c r="R46" s="3">
        <v>551.86</v>
      </c>
      <c r="S46" s="2" t="s">
        <v>437</v>
      </c>
      <c r="T46" s="2" t="s">
        <v>325</v>
      </c>
      <c r="U46" s="2" t="s">
        <v>66</v>
      </c>
      <c r="V46" s="2" t="s">
        <v>261</v>
      </c>
      <c r="W46" s="3">
        <v>0</v>
      </c>
    </row>
    <row r="47" spans="1:23" x14ac:dyDescent="0.3">
      <c r="A47" s="4" t="s">
        <v>438</v>
      </c>
      <c r="B47" s="4" t="s">
        <v>439</v>
      </c>
      <c r="C47" s="4" t="s">
        <v>440</v>
      </c>
      <c r="D47" s="4" t="s">
        <v>441</v>
      </c>
      <c r="E47" s="4" t="s">
        <v>442</v>
      </c>
      <c r="F47" s="4" t="s">
        <v>443</v>
      </c>
      <c r="G47" s="4" t="s">
        <v>107</v>
      </c>
      <c r="H47" s="4" t="s">
        <v>108</v>
      </c>
      <c r="I47" s="4" t="s">
        <v>31</v>
      </c>
      <c r="J47" s="4" t="s">
        <v>444</v>
      </c>
      <c r="K47" s="4" t="s">
        <v>48</v>
      </c>
      <c r="L47" s="4">
        <v>1</v>
      </c>
      <c r="M47" s="5">
        <v>64.989999999999995</v>
      </c>
      <c r="N47" s="4" t="s">
        <v>34</v>
      </c>
      <c r="O47" s="5">
        <v>0</v>
      </c>
      <c r="P47" s="5">
        <v>9.99</v>
      </c>
      <c r="Q47" s="5">
        <v>5.2</v>
      </c>
      <c r="R47" s="5">
        <v>80.180000000000007</v>
      </c>
      <c r="S47" s="4" t="s">
        <v>123</v>
      </c>
      <c r="T47" s="4" t="s">
        <v>99</v>
      </c>
      <c r="U47" s="4" t="s">
        <v>66</v>
      </c>
      <c r="V47" s="4" t="s">
        <v>445</v>
      </c>
      <c r="W47" s="5">
        <v>0</v>
      </c>
    </row>
    <row r="48" spans="1:23" x14ac:dyDescent="0.3">
      <c r="A48" s="2" t="s">
        <v>446</v>
      </c>
      <c r="B48" s="2" t="s">
        <v>447</v>
      </c>
      <c r="C48" s="2" t="s">
        <v>448</v>
      </c>
      <c r="D48" s="2" t="s">
        <v>449</v>
      </c>
      <c r="E48" s="2" t="s">
        <v>450</v>
      </c>
      <c r="F48" s="2" t="s">
        <v>451</v>
      </c>
      <c r="G48" s="2" t="s">
        <v>224</v>
      </c>
      <c r="H48" s="2" t="s">
        <v>225</v>
      </c>
      <c r="I48" s="2" t="s">
        <v>31</v>
      </c>
      <c r="J48" s="2" t="s">
        <v>452</v>
      </c>
      <c r="K48" s="2" t="s">
        <v>209</v>
      </c>
      <c r="L48" s="2">
        <v>1</v>
      </c>
      <c r="M48" s="3">
        <v>119.97</v>
      </c>
      <c r="N48" s="2" t="s">
        <v>49</v>
      </c>
      <c r="O48" s="3">
        <v>18</v>
      </c>
      <c r="P48" s="3">
        <v>0</v>
      </c>
      <c r="Q48" s="3">
        <v>9.18</v>
      </c>
      <c r="R48" s="3">
        <v>111.15</v>
      </c>
      <c r="S48" s="2" t="s">
        <v>332</v>
      </c>
      <c r="T48" s="2" t="s">
        <v>99</v>
      </c>
      <c r="U48" s="2" t="s">
        <v>37</v>
      </c>
      <c r="V48" s="2" t="s">
        <v>453</v>
      </c>
      <c r="W48" s="3">
        <v>111.15</v>
      </c>
    </row>
    <row r="49" spans="1:23" x14ac:dyDescent="0.3">
      <c r="A49" s="4" t="s">
        <v>454</v>
      </c>
      <c r="B49" s="4" t="s">
        <v>455</v>
      </c>
      <c r="C49" s="4" t="s">
        <v>456</v>
      </c>
      <c r="D49" s="4" t="s">
        <v>457</v>
      </c>
      <c r="E49" s="4" t="s">
        <v>458</v>
      </c>
      <c r="F49" s="4" t="s">
        <v>459</v>
      </c>
      <c r="G49" s="4" t="s">
        <v>59</v>
      </c>
      <c r="H49" s="4" t="s">
        <v>60</v>
      </c>
      <c r="I49" s="4" t="s">
        <v>31</v>
      </c>
      <c r="J49" s="4" t="s">
        <v>460</v>
      </c>
      <c r="K49" s="4" t="s">
        <v>122</v>
      </c>
      <c r="L49" s="4">
        <v>3</v>
      </c>
      <c r="M49" s="5">
        <v>289.95999999999998</v>
      </c>
      <c r="N49" s="4" t="s">
        <v>163</v>
      </c>
      <c r="O49" s="5">
        <v>57.99</v>
      </c>
      <c r="P49" s="5">
        <v>0</v>
      </c>
      <c r="Q49" s="5">
        <v>13.92</v>
      </c>
      <c r="R49" s="5">
        <v>245.89</v>
      </c>
      <c r="S49" s="4" t="s">
        <v>35</v>
      </c>
      <c r="T49" s="4" t="s">
        <v>36</v>
      </c>
      <c r="U49" s="4" t="s">
        <v>66</v>
      </c>
      <c r="V49" s="4" t="s">
        <v>461</v>
      </c>
      <c r="W49" s="5">
        <v>0</v>
      </c>
    </row>
    <row r="50" spans="1:23" x14ac:dyDescent="0.3">
      <c r="A50" s="2" t="s">
        <v>462</v>
      </c>
      <c r="B50" s="2" t="s">
        <v>463</v>
      </c>
      <c r="C50" s="2" t="s">
        <v>464</v>
      </c>
      <c r="D50" s="2" t="s">
        <v>465</v>
      </c>
      <c r="E50" s="2" t="s">
        <v>466</v>
      </c>
      <c r="F50" s="2" t="s">
        <v>467</v>
      </c>
      <c r="G50" s="2" t="s">
        <v>180</v>
      </c>
      <c r="H50" s="2" t="s">
        <v>181</v>
      </c>
      <c r="I50" s="2" t="s">
        <v>31</v>
      </c>
      <c r="J50" s="2" t="s">
        <v>468</v>
      </c>
      <c r="K50" s="2" t="s">
        <v>110</v>
      </c>
      <c r="L50" s="2">
        <v>4</v>
      </c>
      <c r="M50" s="3">
        <v>533.92999999999995</v>
      </c>
      <c r="N50" s="2" t="s">
        <v>163</v>
      </c>
      <c r="O50" s="3">
        <v>106.79</v>
      </c>
      <c r="P50" s="3">
        <v>0</v>
      </c>
      <c r="Q50" s="3">
        <v>36.31</v>
      </c>
      <c r="R50" s="3">
        <v>463.45</v>
      </c>
      <c r="S50" s="2" t="s">
        <v>35</v>
      </c>
      <c r="T50" s="2" t="s">
        <v>36</v>
      </c>
      <c r="U50" s="2" t="s">
        <v>317</v>
      </c>
      <c r="V50" s="2"/>
      <c r="W50" s="3">
        <v>0</v>
      </c>
    </row>
    <row r="51" spans="1:23" x14ac:dyDescent="0.3">
      <c r="A51" s="4" t="s">
        <v>469</v>
      </c>
      <c r="B51" s="4" t="s">
        <v>470</v>
      </c>
      <c r="C51" s="4" t="s">
        <v>471</v>
      </c>
      <c r="D51" s="4" t="s">
        <v>472</v>
      </c>
      <c r="E51" s="4" t="s">
        <v>473</v>
      </c>
      <c r="F51" s="4" t="s">
        <v>474</v>
      </c>
      <c r="G51" s="4" t="s">
        <v>87</v>
      </c>
      <c r="H51" s="4" t="s">
        <v>88</v>
      </c>
      <c r="I51" s="4" t="s">
        <v>31</v>
      </c>
      <c r="J51" s="4" t="s">
        <v>475</v>
      </c>
      <c r="K51" s="4" t="s">
        <v>122</v>
      </c>
      <c r="L51" s="4">
        <v>3</v>
      </c>
      <c r="M51" s="5">
        <v>264.97000000000003</v>
      </c>
      <c r="N51" s="4" t="s">
        <v>163</v>
      </c>
      <c r="O51" s="5">
        <v>52.99</v>
      </c>
      <c r="P51" s="5">
        <v>0</v>
      </c>
      <c r="Q51" s="5">
        <v>14.84</v>
      </c>
      <c r="R51" s="5">
        <v>226.82</v>
      </c>
      <c r="S51" s="4" t="s">
        <v>123</v>
      </c>
      <c r="T51" s="4" t="s">
        <v>173</v>
      </c>
      <c r="U51" s="4" t="s">
        <v>51</v>
      </c>
      <c r="V51" s="4" t="s">
        <v>476</v>
      </c>
      <c r="W51" s="5">
        <v>0</v>
      </c>
    </row>
    <row r="52" spans="1:23" x14ac:dyDescent="0.3">
      <c r="A52" s="2" t="s">
        <v>477</v>
      </c>
      <c r="B52" s="2" t="s">
        <v>478</v>
      </c>
      <c r="C52" s="2" t="s">
        <v>479</v>
      </c>
      <c r="D52" s="2" t="s">
        <v>204</v>
      </c>
      <c r="E52" s="2" t="s">
        <v>480</v>
      </c>
      <c r="F52" s="2" t="s">
        <v>481</v>
      </c>
      <c r="G52" s="2" t="s">
        <v>74</v>
      </c>
      <c r="H52" s="2" t="s">
        <v>75</v>
      </c>
      <c r="I52" s="2" t="s">
        <v>31</v>
      </c>
      <c r="J52" s="2" t="s">
        <v>316</v>
      </c>
      <c r="K52" s="2" t="s">
        <v>48</v>
      </c>
      <c r="L52" s="2">
        <v>1</v>
      </c>
      <c r="M52" s="3">
        <v>34.99</v>
      </c>
      <c r="N52" s="2" t="s">
        <v>78</v>
      </c>
      <c r="O52" s="3">
        <v>3.5</v>
      </c>
      <c r="P52" s="3">
        <v>9.99</v>
      </c>
      <c r="Q52" s="3">
        <v>3.15</v>
      </c>
      <c r="R52" s="3">
        <v>44.63</v>
      </c>
      <c r="S52" s="2" t="s">
        <v>79</v>
      </c>
      <c r="T52" s="2" t="s">
        <v>99</v>
      </c>
      <c r="U52" s="2" t="s">
        <v>66</v>
      </c>
      <c r="V52" s="2" t="s">
        <v>482</v>
      </c>
      <c r="W52" s="3">
        <v>0</v>
      </c>
    </row>
    <row r="53" spans="1:23" x14ac:dyDescent="0.3">
      <c r="A53" s="4" t="s">
        <v>483</v>
      </c>
      <c r="B53" s="4" t="s">
        <v>413</v>
      </c>
      <c r="C53" s="4" t="s">
        <v>484</v>
      </c>
      <c r="D53" s="4" t="s">
        <v>485</v>
      </c>
      <c r="E53" s="4" t="s">
        <v>486</v>
      </c>
      <c r="F53" s="4" t="s">
        <v>487</v>
      </c>
      <c r="G53" s="4" t="s">
        <v>74</v>
      </c>
      <c r="H53" s="4" t="s">
        <v>75</v>
      </c>
      <c r="I53" s="4" t="s">
        <v>31</v>
      </c>
      <c r="J53" s="4" t="s">
        <v>488</v>
      </c>
      <c r="K53" s="4" t="s">
        <v>209</v>
      </c>
      <c r="L53" s="4">
        <v>4</v>
      </c>
      <c r="M53" s="5">
        <v>447.92</v>
      </c>
      <c r="N53" s="4" t="s">
        <v>78</v>
      </c>
      <c r="O53" s="5">
        <v>44.79</v>
      </c>
      <c r="P53" s="5">
        <v>0</v>
      </c>
      <c r="Q53" s="5">
        <v>32.25</v>
      </c>
      <c r="R53" s="5">
        <v>435.38</v>
      </c>
      <c r="S53" s="4" t="s">
        <v>64</v>
      </c>
      <c r="T53" s="4" t="s">
        <v>99</v>
      </c>
      <c r="U53" s="4" t="s">
        <v>66</v>
      </c>
      <c r="V53" s="4" t="s">
        <v>489</v>
      </c>
      <c r="W53" s="5">
        <v>0</v>
      </c>
    </row>
    <row r="54" spans="1:23" x14ac:dyDescent="0.3">
      <c r="A54" s="2" t="s">
        <v>490</v>
      </c>
      <c r="B54" s="2" t="s">
        <v>185</v>
      </c>
      <c r="C54" s="2" t="s">
        <v>491</v>
      </c>
      <c r="D54" s="2" t="s">
        <v>492</v>
      </c>
      <c r="E54" s="2" t="s">
        <v>493</v>
      </c>
      <c r="F54" s="2" t="s">
        <v>494</v>
      </c>
      <c r="G54" s="2" t="s">
        <v>107</v>
      </c>
      <c r="H54" s="2" t="s">
        <v>108</v>
      </c>
      <c r="I54" s="2" t="s">
        <v>31</v>
      </c>
      <c r="J54" s="2" t="s">
        <v>495</v>
      </c>
      <c r="K54" s="2" t="s">
        <v>209</v>
      </c>
      <c r="L54" s="2">
        <v>1</v>
      </c>
      <c r="M54" s="3">
        <v>29.99</v>
      </c>
      <c r="N54" s="2" t="s">
        <v>78</v>
      </c>
      <c r="O54" s="3">
        <v>3</v>
      </c>
      <c r="P54" s="3">
        <v>5.99</v>
      </c>
      <c r="Q54" s="3">
        <v>2.7</v>
      </c>
      <c r="R54" s="3">
        <v>35.68</v>
      </c>
      <c r="S54" s="2" t="s">
        <v>35</v>
      </c>
      <c r="T54" s="2" t="s">
        <v>325</v>
      </c>
      <c r="U54" s="2" t="s">
        <v>66</v>
      </c>
      <c r="V54" s="2" t="s">
        <v>496</v>
      </c>
      <c r="W54" s="3">
        <v>0</v>
      </c>
    </row>
    <row r="55" spans="1:23" x14ac:dyDescent="0.3">
      <c r="A55" s="4" t="s">
        <v>497</v>
      </c>
      <c r="B55" s="4" t="s">
        <v>498</v>
      </c>
      <c r="C55" s="4" t="s">
        <v>499</v>
      </c>
      <c r="D55" s="4" t="s">
        <v>500</v>
      </c>
      <c r="E55" s="4" t="s">
        <v>501</v>
      </c>
      <c r="F55" s="4" t="s">
        <v>502</v>
      </c>
      <c r="G55" s="4" t="s">
        <v>131</v>
      </c>
      <c r="H55" s="4" t="s">
        <v>88</v>
      </c>
      <c r="I55" s="4" t="s">
        <v>31</v>
      </c>
      <c r="J55" s="4" t="s">
        <v>503</v>
      </c>
      <c r="K55" s="4" t="s">
        <v>122</v>
      </c>
      <c r="L55" s="4">
        <v>1</v>
      </c>
      <c r="M55" s="5">
        <v>59.99</v>
      </c>
      <c r="N55" s="4" t="s">
        <v>152</v>
      </c>
      <c r="O55" s="5">
        <v>3</v>
      </c>
      <c r="P55" s="5">
        <v>5.99</v>
      </c>
      <c r="Q55" s="5">
        <v>3.99</v>
      </c>
      <c r="R55" s="5">
        <v>66.97</v>
      </c>
      <c r="S55" s="4" t="s">
        <v>35</v>
      </c>
      <c r="T55" s="4" t="s">
        <v>36</v>
      </c>
      <c r="U55" s="4" t="s">
        <v>317</v>
      </c>
      <c r="V55" s="4"/>
      <c r="W55" s="5">
        <v>0</v>
      </c>
    </row>
    <row r="56" spans="1:23" x14ac:dyDescent="0.3">
      <c r="A56" s="2" t="s">
        <v>504</v>
      </c>
      <c r="B56" s="2" t="s">
        <v>505</v>
      </c>
      <c r="C56" s="2" t="s">
        <v>506</v>
      </c>
      <c r="D56" s="2" t="s">
        <v>507</v>
      </c>
      <c r="E56" s="2" t="s">
        <v>508</v>
      </c>
      <c r="F56" s="2" t="s">
        <v>509</v>
      </c>
      <c r="G56" s="2" t="s">
        <v>140</v>
      </c>
      <c r="H56" s="2" t="s">
        <v>141</v>
      </c>
      <c r="I56" s="2" t="s">
        <v>31</v>
      </c>
      <c r="J56" s="2" t="s">
        <v>510</v>
      </c>
      <c r="K56" s="2" t="s">
        <v>33</v>
      </c>
      <c r="L56" s="2">
        <v>2</v>
      </c>
      <c r="M56" s="3">
        <v>189.97</v>
      </c>
      <c r="N56" s="2" t="s">
        <v>78</v>
      </c>
      <c r="O56" s="3">
        <v>19</v>
      </c>
      <c r="P56" s="3">
        <v>0</v>
      </c>
      <c r="Q56" s="3">
        <v>17.100000000000001</v>
      </c>
      <c r="R56" s="3">
        <v>188.07</v>
      </c>
      <c r="S56" s="2" t="s">
        <v>123</v>
      </c>
      <c r="T56" s="2" t="s">
        <v>99</v>
      </c>
      <c r="U56" s="2" t="s">
        <v>51</v>
      </c>
      <c r="V56" s="2" t="s">
        <v>511</v>
      </c>
      <c r="W56" s="3">
        <v>0</v>
      </c>
    </row>
    <row r="57" spans="1:23" x14ac:dyDescent="0.3">
      <c r="A57" s="4" t="s">
        <v>512</v>
      </c>
      <c r="B57" s="4" t="s">
        <v>513</v>
      </c>
      <c r="C57" s="4" t="s">
        <v>514</v>
      </c>
      <c r="D57" s="4" t="s">
        <v>515</v>
      </c>
      <c r="E57" s="4" t="s">
        <v>516</v>
      </c>
      <c r="F57" s="4" t="s">
        <v>517</v>
      </c>
      <c r="G57" s="4" t="s">
        <v>74</v>
      </c>
      <c r="H57" s="4" t="s">
        <v>75</v>
      </c>
      <c r="I57" s="4" t="s">
        <v>31</v>
      </c>
      <c r="J57" s="4" t="s">
        <v>518</v>
      </c>
      <c r="K57" s="4" t="s">
        <v>209</v>
      </c>
      <c r="L57" s="4">
        <v>3</v>
      </c>
      <c r="M57" s="5">
        <v>234.95</v>
      </c>
      <c r="N57" s="4" t="s">
        <v>78</v>
      </c>
      <c r="O57" s="5">
        <v>23.5</v>
      </c>
      <c r="P57" s="5">
        <v>0</v>
      </c>
      <c r="Q57" s="5">
        <v>12.69</v>
      </c>
      <c r="R57" s="5">
        <v>224.14</v>
      </c>
      <c r="S57" s="4" t="s">
        <v>437</v>
      </c>
      <c r="T57" s="4" t="s">
        <v>36</v>
      </c>
      <c r="U57" s="4" t="s">
        <v>66</v>
      </c>
      <c r="V57" s="4" t="s">
        <v>519</v>
      </c>
      <c r="W57" s="5">
        <v>0</v>
      </c>
    </row>
    <row r="58" spans="1:23" x14ac:dyDescent="0.3">
      <c r="A58" s="2" t="s">
        <v>520</v>
      </c>
      <c r="B58" s="2" t="s">
        <v>521</v>
      </c>
      <c r="C58" s="2" t="s">
        <v>522</v>
      </c>
      <c r="D58" s="2" t="s">
        <v>523</v>
      </c>
      <c r="E58" s="2" t="s">
        <v>524</v>
      </c>
      <c r="F58" s="2" t="s">
        <v>525</v>
      </c>
      <c r="G58" s="2" t="s">
        <v>224</v>
      </c>
      <c r="H58" s="2" t="s">
        <v>225</v>
      </c>
      <c r="I58" s="2" t="s">
        <v>31</v>
      </c>
      <c r="J58" s="2" t="s">
        <v>526</v>
      </c>
      <c r="K58" s="2" t="s">
        <v>110</v>
      </c>
      <c r="L58" s="2">
        <v>1</v>
      </c>
      <c r="M58" s="3">
        <v>32.99</v>
      </c>
      <c r="N58" s="2" t="s">
        <v>78</v>
      </c>
      <c r="O58" s="3">
        <v>3.3</v>
      </c>
      <c r="P58" s="3">
        <v>5.99</v>
      </c>
      <c r="Q58" s="3">
        <v>2.97</v>
      </c>
      <c r="R58" s="3">
        <v>38.65</v>
      </c>
      <c r="S58" s="2" t="s">
        <v>35</v>
      </c>
      <c r="T58" s="2" t="s">
        <v>36</v>
      </c>
      <c r="U58" s="2" t="s">
        <v>66</v>
      </c>
      <c r="V58" s="2" t="s">
        <v>527</v>
      </c>
      <c r="W58" s="3">
        <v>0</v>
      </c>
    </row>
    <row r="59" spans="1:23" x14ac:dyDescent="0.3">
      <c r="A59" s="4" t="s">
        <v>528</v>
      </c>
      <c r="B59" s="4" t="s">
        <v>421</v>
      </c>
      <c r="C59" s="4" t="s">
        <v>529</v>
      </c>
      <c r="D59" s="4" t="s">
        <v>530</v>
      </c>
      <c r="E59" s="4" t="s">
        <v>531</v>
      </c>
      <c r="F59" s="4" t="s">
        <v>532</v>
      </c>
      <c r="G59" s="4" t="s">
        <v>207</v>
      </c>
      <c r="H59" s="4" t="s">
        <v>141</v>
      </c>
      <c r="I59" s="4" t="s">
        <v>31</v>
      </c>
      <c r="J59" s="4" t="s">
        <v>533</v>
      </c>
      <c r="K59" s="4" t="s">
        <v>209</v>
      </c>
      <c r="L59" s="4">
        <v>1</v>
      </c>
      <c r="M59" s="5">
        <v>239.98</v>
      </c>
      <c r="N59" s="4" t="s">
        <v>78</v>
      </c>
      <c r="O59" s="5">
        <v>24</v>
      </c>
      <c r="P59" s="5">
        <v>0</v>
      </c>
      <c r="Q59" s="5">
        <v>19.440000000000001</v>
      </c>
      <c r="R59" s="5">
        <v>235.42</v>
      </c>
      <c r="S59" s="4" t="s">
        <v>123</v>
      </c>
      <c r="T59" s="4" t="s">
        <v>99</v>
      </c>
      <c r="U59" s="4" t="s">
        <v>66</v>
      </c>
      <c r="V59" s="4" t="s">
        <v>534</v>
      </c>
      <c r="W59" s="5">
        <v>0</v>
      </c>
    </row>
    <row r="60" spans="1:23" x14ac:dyDescent="0.3">
      <c r="A60" s="2" t="s">
        <v>535</v>
      </c>
      <c r="B60" s="2" t="s">
        <v>536</v>
      </c>
      <c r="C60" s="2" t="s">
        <v>537</v>
      </c>
      <c r="D60" s="2" t="s">
        <v>538</v>
      </c>
      <c r="E60" s="2" t="s">
        <v>539</v>
      </c>
      <c r="F60" s="2" t="s">
        <v>540</v>
      </c>
      <c r="G60" s="2" t="s">
        <v>45</v>
      </c>
      <c r="H60" s="2" t="s">
        <v>46</v>
      </c>
      <c r="I60" s="2" t="s">
        <v>31</v>
      </c>
      <c r="J60" s="2" t="s">
        <v>541</v>
      </c>
      <c r="K60" s="2" t="s">
        <v>33</v>
      </c>
      <c r="L60" s="2">
        <v>3</v>
      </c>
      <c r="M60" s="3">
        <v>252.94</v>
      </c>
      <c r="N60" s="2" t="s">
        <v>49</v>
      </c>
      <c r="O60" s="3">
        <v>37.94</v>
      </c>
      <c r="P60" s="3">
        <v>0</v>
      </c>
      <c r="Q60" s="3">
        <v>12.9</v>
      </c>
      <c r="R60" s="3">
        <v>227.9</v>
      </c>
      <c r="S60" s="2" t="s">
        <v>35</v>
      </c>
      <c r="T60" s="2" t="s">
        <v>99</v>
      </c>
      <c r="U60" s="2" t="s">
        <v>51</v>
      </c>
      <c r="V60" s="2" t="s">
        <v>542</v>
      </c>
      <c r="W60" s="3">
        <v>0</v>
      </c>
    </row>
    <row r="61" spans="1:23" x14ac:dyDescent="0.3">
      <c r="A61" s="4" t="s">
        <v>543</v>
      </c>
      <c r="B61" s="4" t="s">
        <v>90</v>
      </c>
      <c r="C61" s="4" t="s">
        <v>544</v>
      </c>
      <c r="D61" s="4" t="s">
        <v>545</v>
      </c>
      <c r="E61" s="4" t="s">
        <v>546</v>
      </c>
      <c r="F61" s="4" t="s">
        <v>547</v>
      </c>
      <c r="G61" s="4" t="s">
        <v>323</v>
      </c>
      <c r="H61" s="4" t="s">
        <v>324</v>
      </c>
      <c r="I61" s="4" t="s">
        <v>31</v>
      </c>
      <c r="J61" s="4" t="s">
        <v>548</v>
      </c>
      <c r="K61" s="4" t="s">
        <v>122</v>
      </c>
      <c r="L61" s="4">
        <v>4</v>
      </c>
      <c r="M61" s="5">
        <v>220.95</v>
      </c>
      <c r="N61" s="4" t="s">
        <v>34</v>
      </c>
      <c r="O61" s="5">
        <v>0</v>
      </c>
      <c r="P61" s="5">
        <v>0</v>
      </c>
      <c r="Q61" s="5">
        <v>13.26</v>
      </c>
      <c r="R61" s="5">
        <v>234.21</v>
      </c>
      <c r="S61" s="4" t="s">
        <v>35</v>
      </c>
      <c r="T61" s="4" t="s">
        <v>173</v>
      </c>
      <c r="U61" s="4" t="s">
        <v>66</v>
      </c>
      <c r="V61" s="4" t="s">
        <v>219</v>
      </c>
      <c r="W61" s="5">
        <v>0</v>
      </c>
    </row>
    <row r="62" spans="1:23" x14ac:dyDescent="0.3">
      <c r="A62" s="2" t="s">
        <v>549</v>
      </c>
      <c r="B62" s="2" t="s">
        <v>550</v>
      </c>
      <c r="C62" s="2" t="s">
        <v>551</v>
      </c>
      <c r="D62" s="2" t="s">
        <v>552</v>
      </c>
      <c r="E62" s="2" t="s">
        <v>553</v>
      </c>
      <c r="F62" s="2" t="s">
        <v>554</v>
      </c>
      <c r="G62" s="2" t="s">
        <v>282</v>
      </c>
      <c r="H62" s="2" t="s">
        <v>88</v>
      </c>
      <c r="I62" s="2" t="s">
        <v>31</v>
      </c>
      <c r="J62" s="2" t="s">
        <v>555</v>
      </c>
      <c r="K62" s="2" t="s">
        <v>209</v>
      </c>
      <c r="L62" s="2">
        <v>3</v>
      </c>
      <c r="M62" s="3">
        <v>199.96</v>
      </c>
      <c r="N62" s="2" t="s">
        <v>78</v>
      </c>
      <c r="O62" s="3">
        <v>20</v>
      </c>
      <c r="P62" s="3">
        <v>0</v>
      </c>
      <c r="Q62" s="3">
        <v>10.8</v>
      </c>
      <c r="R62" s="3">
        <v>190.76</v>
      </c>
      <c r="S62" s="2" t="s">
        <v>64</v>
      </c>
      <c r="T62" s="2" t="s">
        <v>99</v>
      </c>
      <c r="U62" s="2" t="s">
        <v>100</v>
      </c>
      <c r="V62" s="2"/>
      <c r="W62" s="3">
        <v>0</v>
      </c>
    </row>
    <row r="63" spans="1:23" x14ac:dyDescent="0.3">
      <c r="A63" s="4" t="s">
        <v>556</v>
      </c>
      <c r="B63" s="4" t="s">
        <v>557</v>
      </c>
      <c r="C63" s="4" t="s">
        <v>558</v>
      </c>
      <c r="D63" s="4" t="s">
        <v>559</v>
      </c>
      <c r="E63" s="4" t="s">
        <v>560</v>
      </c>
      <c r="F63" s="4" t="s">
        <v>561</v>
      </c>
      <c r="G63" s="4" t="s">
        <v>428</v>
      </c>
      <c r="H63" s="4" t="s">
        <v>429</v>
      </c>
      <c r="I63" s="4" t="s">
        <v>31</v>
      </c>
      <c r="J63" s="4" t="s">
        <v>452</v>
      </c>
      <c r="K63" s="4" t="s">
        <v>209</v>
      </c>
      <c r="L63" s="4">
        <v>1</v>
      </c>
      <c r="M63" s="5">
        <v>119.97</v>
      </c>
      <c r="N63" s="4" t="s">
        <v>163</v>
      </c>
      <c r="O63" s="5">
        <v>23.99</v>
      </c>
      <c r="P63" s="5">
        <v>0</v>
      </c>
      <c r="Q63" s="5">
        <v>5.76</v>
      </c>
      <c r="R63" s="5">
        <v>101.74</v>
      </c>
      <c r="S63" s="4" t="s">
        <v>64</v>
      </c>
      <c r="T63" s="4" t="s">
        <v>36</v>
      </c>
      <c r="U63" s="4" t="s">
        <v>66</v>
      </c>
      <c r="V63" s="4" t="s">
        <v>562</v>
      </c>
      <c r="W63" s="5">
        <v>0</v>
      </c>
    </row>
    <row r="64" spans="1:23" x14ac:dyDescent="0.3">
      <c r="A64" s="2" t="s">
        <v>563</v>
      </c>
      <c r="B64" s="2" t="s">
        <v>564</v>
      </c>
      <c r="C64" s="2" t="s">
        <v>565</v>
      </c>
      <c r="D64" s="2" t="s">
        <v>566</v>
      </c>
      <c r="E64" s="2" t="s">
        <v>567</v>
      </c>
      <c r="F64" s="2" t="s">
        <v>568</v>
      </c>
      <c r="G64" s="2" t="s">
        <v>180</v>
      </c>
      <c r="H64" s="2" t="s">
        <v>181</v>
      </c>
      <c r="I64" s="2" t="s">
        <v>31</v>
      </c>
      <c r="J64" s="2" t="s">
        <v>569</v>
      </c>
      <c r="K64" s="2" t="s">
        <v>77</v>
      </c>
      <c r="L64" s="2">
        <v>3</v>
      </c>
      <c r="M64" s="3">
        <v>204.96</v>
      </c>
      <c r="N64" s="2" t="s">
        <v>34</v>
      </c>
      <c r="O64" s="3">
        <v>0</v>
      </c>
      <c r="P64" s="3">
        <v>0</v>
      </c>
      <c r="Q64" s="3">
        <v>14.35</v>
      </c>
      <c r="R64" s="3">
        <v>219.31</v>
      </c>
      <c r="S64" s="2" t="s">
        <v>123</v>
      </c>
      <c r="T64" s="2" t="s">
        <v>183</v>
      </c>
      <c r="U64" s="2" t="s">
        <v>66</v>
      </c>
      <c r="V64" s="2" t="s">
        <v>570</v>
      </c>
      <c r="W64" s="3">
        <v>0</v>
      </c>
    </row>
    <row r="65" spans="1:23" x14ac:dyDescent="0.3">
      <c r="A65" s="4" t="s">
        <v>571</v>
      </c>
      <c r="B65" s="4" t="s">
        <v>572</v>
      </c>
      <c r="C65" s="4" t="s">
        <v>573</v>
      </c>
      <c r="D65" s="4" t="s">
        <v>574</v>
      </c>
      <c r="E65" s="4" t="s">
        <v>575</v>
      </c>
      <c r="F65" s="4" t="s">
        <v>576</v>
      </c>
      <c r="G65" s="4" t="s">
        <v>131</v>
      </c>
      <c r="H65" s="4" t="s">
        <v>88</v>
      </c>
      <c r="I65" s="4" t="s">
        <v>31</v>
      </c>
      <c r="J65" s="4" t="s">
        <v>577</v>
      </c>
      <c r="K65" s="4" t="s">
        <v>364</v>
      </c>
      <c r="L65" s="4">
        <v>1</v>
      </c>
      <c r="M65" s="5">
        <v>19.989999999999998</v>
      </c>
      <c r="N65" s="4" t="s">
        <v>34</v>
      </c>
      <c r="O65" s="5">
        <v>0</v>
      </c>
      <c r="P65" s="5">
        <v>9.99</v>
      </c>
      <c r="Q65" s="5">
        <v>1.7</v>
      </c>
      <c r="R65" s="5">
        <v>31.68</v>
      </c>
      <c r="S65" s="4" t="s">
        <v>332</v>
      </c>
      <c r="T65" s="4" t="s">
        <v>173</v>
      </c>
      <c r="U65" s="4" t="s">
        <v>66</v>
      </c>
      <c r="V65" s="4" t="s">
        <v>102</v>
      </c>
      <c r="W65" s="5">
        <v>0</v>
      </c>
    </row>
    <row r="66" spans="1:23" x14ac:dyDescent="0.3">
      <c r="A66" s="2" t="s">
        <v>578</v>
      </c>
      <c r="B66" s="2" t="s">
        <v>579</v>
      </c>
      <c r="C66" s="2" t="s">
        <v>580</v>
      </c>
      <c r="D66" s="2" t="s">
        <v>581</v>
      </c>
      <c r="E66" s="2" t="s">
        <v>582</v>
      </c>
      <c r="F66" s="2" t="s">
        <v>583</v>
      </c>
      <c r="G66" s="2" t="s">
        <v>45</v>
      </c>
      <c r="H66" s="2" t="s">
        <v>46</v>
      </c>
      <c r="I66" s="2" t="s">
        <v>31</v>
      </c>
      <c r="J66" s="2" t="s">
        <v>584</v>
      </c>
      <c r="K66" s="2" t="s">
        <v>364</v>
      </c>
      <c r="L66" s="2">
        <v>3</v>
      </c>
      <c r="M66" s="3">
        <v>159.96</v>
      </c>
      <c r="N66" s="2" t="s">
        <v>34</v>
      </c>
      <c r="O66" s="3">
        <v>0</v>
      </c>
      <c r="P66" s="3">
        <v>0</v>
      </c>
      <c r="Q66" s="3">
        <v>12.8</v>
      </c>
      <c r="R66" s="3">
        <v>172.76</v>
      </c>
      <c r="S66" s="2" t="s">
        <v>64</v>
      </c>
      <c r="T66" s="2" t="s">
        <v>99</v>
      </c>
      <c r="U66" s="2" t="s">
        <v>66</v>
      </c>
      <c r="V66" s="2" t="s">
        <v>585</v>
      </c>
      <c r="W66" s="3">
        <v>0</v>
      </c>
    </row>
    <row r="67" spans="1:23" x14ac:dyDescent="0.3">
      <c r="A67" s="4" t="s">
        <v>586</v>
      </c>
      <c r="B67" s="4" t="s">
        <v>587</v>
      </c>
      <c r="C67" s="4" t="s">
        <v>588</v>
      </c>
      <c r="D67" s="4" t="s">
        <v>589</v>
      </c>
      <c r="E67" s="4" t="s">
        <v>590</v>
      </c>
      <c r="F67" s="4" t="s">
        <v>591</v>
      </c>
      <c r="G67" s="4" t="s">
        <v>59</v>
      </c>
      <c r="H67" s="4" t="s">
        <v>60</v>
      </c>
      <c r="I67" s="4" t="s">
        <v>31</v>
      </c>
      <c r="J67" s="4" t="s">
        <v>592</v>
      </c>
      <c r="K67" s="4" t="s">
        <v>209</v>
      </c>
      <c r="L67" s="4">
        <v>2</v>
      </c>
      <c r="M67" s="5">
        <v>165.96</v>
      </c>
      <c r="N67" s="4" t="s">
        <v>63</v>
      </c>
      <c r="O67" s="5">
        <v>41.49</v>
      </c>
      <c r="P67" s="5">
        <v>0</v>
      </c>
      <c r="Q67" s="5">
        <v>12.45</v>
      </c>
      <c r="R67" s="5">
        <v>136.91999999999999</v>
      </c>
      <c r="S67" s="4" t="s">
        <v>111</v>
      </c>
      <c r="T67" s="4" t="s">
        <v>173</v>
      </c>
      <c r="U67" s="4" t="s">
        <v>66</v>
      </c>
      <c r="V67" s="4" t="s">
        <v>593</v>
      </c>
      <c r="W67" s="5">
        <v>0</v>
      </c>
    </row>
    <row r="68" spans="1:23" x14ac:dyDescent="0.3">
      <c r="A68" s="2" t="s">
        <v>594</v>
      </c>
      <c r="B68" s="2" t="s">
        <v>595</v>
      </c>
      <c r="C68" s="2" t="s">
        <v>596</v>
      </c>
      <c r="D68" s="2" t="s">
        <v>597</v>
      </c>
      <c r="E68" s="2" t="s">
        <v>598</v>
      </c>
      <c r="F68" s="2" t="s">
        <v>599</v>
      </c>
      <c r="G68" s="2" t="s">
        <v>29</v>
      </c>
      <c r="H68" s="2" t="s">
        <v>30</v>
      </c>
      <c r="I68" s="2" t="s">
        <v>31</v>
      </c>
      <c r="J68" s="2" t="s">
        <v>600</v>
      </c>
      <c r="K68" s="2" t="s">
        <v>77</v>
      </c>
      <c r="L68" s="2">
        <v>2</v>
      </c>
      <c r="M68" s="3">
        <v>147.97999999999999</v>
      </c>
      <c r="N68" s="2" t="s">
        <v>34</v>
      </c>
      <c r="O68" s="3">
        <v>0</v>
      </c>
      <c r="P68" s="3">
        <v>0</v>
      </c>
      <c r="Q68" s="3">
        <v>8.8800000000000008</v>
      </c>
      <c r="R68" s="3">
        <v>156.86000000000001</v>
      </c>
      <c r="S68" s="2" t="s">
        <v>35</v>
      </c>
      <c r="T68" s="2" t="s">
        <v>99</v>
      </c>
      <c r="U68" s="2" t="s">
        <v>51</v>
      </c>
      <c r="V68" s="2" t="s">
        <v>601</v>
      </c>
      <c r="W68" s="3">
        <v>0</v>
      </c>
    </row>
    <row r="69" spans="1:23" x14ac:dyDescent="0.3">
      <c r="A69" s="4" t="s">
        <v>602</v>
      </c>
      <c r="B69" s="4" t="s">
        <v>603</v>
      </c>
      <c r="C69" s="4" t="s">
        <v>604</v>
      </c>
      <c r="D69" s="4" t="s">
        <v>605</v>
      </c>
      <c r="E69" s="4" t="s">
        <v>606</v>
      </c>
      <c r="F69" s="4" t="s">
        <v>607</v>
      </c>
      <c r="G69" s="4" t="s">
        <v>394</v>
      </c>
      <c r="H69" s="4" t="s">
        <v>395</v>
      </c>
      <c r="I69" s="4" t="s">
        <v>31</v>
      </c>
      <c r="J69" s="4" t="s">
        <v>608</v>
      </c>
      <c r="K69" s="4" t="s">
        <v>77</v>
      </c>
      <c r="L69" s="4">
        <v>2</v>
      </c>
      <c r="M69" s="5">
        <v>57.98</v>
      </c>
      <c r="N69" s="4" t="s">
        <v>63</v>
      </c>
      <c r="O69" s="5">
        <v>14.5</v>
      </c>
      <c r="P69" s="5">
        <v>5.99</v>
      </c>
      <c r="Q69" s="5">
        <v>3.04</v>
      </c>
      <c r="R69" s="5">
        <v>52.51</v>
      </c>
      <c r="S69" s="4" t="s">
        <v>64</v>
      </c>
      <c r="T69" s="4" t="s">
        <v>99</v>
      </c>
      <c r="U69" s="4" t="s">
        <v>66</v>
      </c>
      <c r="V69" s="4" t="s">
        <v>609</v>
      </c>
      <c r="W69" s="5">
        <v>0</v>
      </c>
    </row>
    <row r="70" spans="1:23" x14ac:dyDescent="0.3">
      <c r="A70" s="2" t="s">
        <v>610</v>
      </c>
      <c r="B70" s="2" t="s">
        <v>611</v>
      </c>
      <c r="C70" s="2" t="s">
        <v>612</v>
      </c>
      <c r="D70" s="2" t="s">
        <v>613</v>
      </c>
      <c r="E70" s="2" t="s">
        <v>614</v>
      </c>
      <c r="F70" s="2" t="s">
        <v>615</v>
      </c>
      <c r="G70" s="2" t="s">
        <v>160</v>
      </c>
      <c r="H70" s="2" t="s">
        <v>161</v>
      </c>
      <c r="I70" s="2" t="s">
        <v>31</v>
      </c>
      <c r="J70" s="2" t="s">
        <v>616</v>
      </c>
      <c r="K70" s="2" t="s">
        <v>33</v>
      </c>
      <c r="L70" s="2">
        <v>2</v>
      </c>
      <c r="M70" s="3">
        <v>82.98</v>
      </c>
      <c r="N70" s="2" t="s">
        <v>78</v>
      </c>
      <c r="O70" s="3">
        <v>8.3000000000000007</v>
      </c>
      <c r="P70" s="3">
        <v>0</v>
      </c>
      <c r="Q70" s="3">
        <v>4.4800000000000004</v>
      </c>
      <c r="R70" s="3">
        <v>79.16</v>
      </c>
      <c r="S70" s="2" t="s">
        <v>35</v>
      </c>
      <c r="T70" s="2" t="s">
        <v>144</v>
      </c>
      <c r="U70" s="2" t="s">
        <v>66</v>
      </c>
      <c r="V70" s="2" t="s">
        <v>617</v>
      </c>
      <c r="W70" s="3">
        <v>0</v>
      </c>
    </row>
    <row r="71" spans="1:23" x14ac:dyDescent="0.3">
      <c r="A71" s="4" t="s">
        <v>618</v>
      </c>
      <c r="B71" s="4" t="s">
        <v>619</v>
      </c>
      <c r="C71" s="4" t="s">
        <v>620</v>
      </c>
      <c r="D71" s="4" t="s">
        <v>621</v>
      </c>
      <c r="E71" s="4" t="s">
        <v>622</v>
      </c>
      <c r="F71" s="4" t="s">
        <v>623</v>
      </c>
      <c r="G71" s="4" t="s">
        <v>282</v>
      </c>
      <c r="H71" s="4" t="s">
        <v>88</v>
      </c>
      <c r="I71" s="4" t="s">
        <v>31</v>
      </c>
      <c r="J71" s="4" t="s">
        <v>624</v>
      </c>
      <c r="K71" s="4" t="s">
        <v>209</v>
      </c>
      <c r="L71" s="4">
        <v>2</v>
      </c>
      <c r="M71" s="5">
        <v>209.97</v>
      </c>
      <c r="N71" s="4" t="s">
        <v>49</v>
      </c>
      <c r="O71" s="5">
        <v>31.5</v>
      </c>
      <c r="P71" s="5">
        <v>0</v>
      </c>
      <c r="Q71" s="5">
        <v>15.17</v>
      </c>
      <c r="R71" s="5">
        <v>193.64</v>
      </c>
      <c r="S71" s="4" t="s">
        <v>35</v>
      </c>
      <c r="T71" s="4" t="s">
        <v>99</v>
      </c>
      <c r="U71" s="4" t="s">
        <v>51</v>
      </c>
      <c r="V71" s="4" t="s">
        <v>625</v>
      </c>
      <c r="W71" s="5">
        <v>0</v>
      </c>
    </row>
    <row r="72" spans="1:23" x14ac:dyDescent="0.3">
      <c r="A72" s="2" t="s">
        <v>626</v>
      </c>
      <c r="B72" s="2" t="s">
        <v>627</v>
      </c>
      <c r="C72" s="2" t="s">
        <v>628</v>
      </c>
      <c r="D72" s="2" t="s">
        <v>629</v>
      </c>
      <c r="E72" s="2" t="s">
        <v>630</v>
      </c>
      <c r="F72" s="2" t="s">
        <v>631</v>
      </c>
      <c r="G72" s="2" t="s">
        <v>347</v>
      </c>
      <c r="H72" s="2" t="s">
        <v>60</v>
      </c>
      <c r="I72" s="2" t="s">
        <v>31</v>
      </c>
      <c r="J72" s="2" t="s">
        <v>632</v>
      </c>
      <c r="K72" s="2" t="s">
        <v>33</v>
      </c>
      <c r="L72" s="2">
        <v>1</v>
      </c>
      <c r="M72" s="3">
        <v>49.99</v>
      </c>
      <c r="N72" s="2" t="s">
        <v>152</v>
      </c>
      <c r="O72" s="3">
        <v>2.5</v>
      </c>
      <c r="P72" s="3">
        <v>9.99</v>
      </c>
      <c r="Q72" s="3">
        <v>4.04</v>
      </c>
      <c r="R72" s="3">
        <v>61.52</v>
      </c>
      <c r="S72" s="2" t="s">
        <v>35</v>
      </c>
      <c r="T72" s="2" t="s">
        <v>144</v>
      </c>
      <c r="U72" s="2" t="s">
        <v>66</v>
      </c>
      <c r="V72" s="2" t="s">
        <v>633</v>
      </c>
      <c r="W72" s="3">
        <v>0</v>
      </c>
    </row>
    <row r="73" spans="1:23" x14ac:dyDescent="0.3">
      <c r="A73" s="4" t="s">
        <v>634</v>
      </c>
      <c r="B73" s="4" t="s">
        <v>635</v>
      </c>
      <c r="C73" s="4" t="s">
        <v>636</v>
      </c>
      <c r="D73" s="4" t="s">
        <v>637</v>
      </c>
      <c r="E73" s="4" t="s">
        <v>638</v>
      </c>
      <c r="F73" s="4" t="s">
        <v>639</v>
      </c>
      <c r="G73" s="4" t="s">
        <v>640</v>
      </c>
      <c r="H73" s="4" t="s">
        <v>161</v>
      </c>
      <c r="I73" s="4" t="s">
        <v>31</v>
      </c>
      <c r="J73" s="4" t="s">
        <v>217</v>
      </c>
      <c r="K73" s="4" t="s">
        <v>110</v>
      </c>
      <c r="L73" s="4">
        <v>1</v>
      </c>
      <c r="M73" s="5">
        <v>22.99</v>
      </c>
      <c r="N73" s="4" t="s">
        <v>34</v>
      </c>
      <c r="O73" s="5">
        <v>0</v>
      </c>
      <c r="P73" s="5">
        <v>7.99</v>
      </c>
      <c r="Q73" s="5">
        <v>1.61</v>
      </c>
      <c r="R73" s="5">
        <v>32.590000000000003</v>
      </c>
      <c r="S73" s="4" t="s">
        <v>332</v>
      </c>
      <c r="T73" s="4" t="s">
        <v>144</v>
      </c>
      <c r="U73" s="4" t="s">
        <v>66</v>
      </c>
      <c r="V73" s="4" t="s">
        <v>641</v>
      </c>
      <c r="W73" s="5">
        <v>0</v>
      </c>
    </row>
    <row r="74" spans="1:23" x14ac:dyDescent="0.3">
      <c r="A74" s="2" t="s">
        <v>642</v>
      </c>
      <c r="B74" s="2" t="s">
        <v>145</v>
      </c>
      <c r="C74" s="2" t="s">
        <v>643</v>
      </c>
      <c r="D74" s="2" t="s">
        <v>644</v>
      </c>
      <c r="E74" s="2" t="s">
        <v>645</v>
      </c>
      <c r="F74" s="2" t="s">
        <v>646</v>
      </c>
      <c r="G74" s="2" t="s">
        <v>140</v>
      </c>
      <c r="H74" s="2" t="s">
        <v>141</v>
      </c>
      <c r="I74" s="2" t="s">
        <v>31</v>
      </c>
      <c r="J74" s="2" t="s">
        <v>647</v>
      </c>
      <c r="K74" s="2" t="s">
        <v>48</v>
      </c>
      <c r="L74" s="2">
        <v>3</v>
      </c>
      <c r="M74" s="3">
        <v>128.96</v>
      </c>
      <c r="N74" s="2" t="s">
        <v>163</v>
      </c>
      <c r="O74" s="3">
        <v>25.79</v>
      </c>
      <c r="P74" s="3">
        <v>0</v>
      </c>
      <c r="Q74" s="3">
        <v>6.19</v>
      </c>
      <c r="R74" s="3">
        <v>109.36</v>
      </c>
      <c r="S74" s="2" t="s">
        <v>111</v>
      </c>
      <c r="T74" s="2" t="s">
        <v>36</v>
      </c>
      <c r="U74" s="2" t="s">
        <v>317</v>
      </c>
      <c r="V74" s="2"/>
      <c r="W74" s="3">
        <v>0</v>
      </c>
    </row>
    <row r="75" spans="1:23" x14ac:dyDescent="0.3">
      <c r="A75" s="4" t="s">
        <v>648</v>
      </c>
      <c r="B75" s="4" t="s">
        <v>649</v>
      </c>
      <c r="C75" s="4" t="s">
        <v>650</v>
      </c>
      <c r="D75" s="4" t="s">
        <v>651</v>
      </c>
      <c r="E75" s="4" t="s">
        <v>652</v>
      </c>
      <c r="F75" s="4" t="s">
        <v>653</v>
      </c>
      <c r="G75" s="4" t="s">
        <v>171</v>
      </c>
      <c r="H75" s="4" t="s">
        <v>88</v>
      </c>
      <c r="I75" s="4" t="s">
        <v>31</v>
      </c>
      <c r="J75" s="4" t="s">
        <v>654</v>
      </c>
      <c r="K75" s="4" t="s">
        <v>33</v>
      </c>
      <c r="L75" s="4">
        <v>2</v>
      </c>
      <c r="M75" s="5">
        <v>43.98</v>
      </c>
      <c r="N75" s="4" t="s">
        <v>34</v>
      </c>
      <c r="O75" s="5">
        <v>0</v>
      </c>
      <c r="P75" s="5">
        <v>5.99</v>
      </c>
      <c r="Q75" s="5">
        <v>3.74</v>
      </c>
      <c r="R75" s="5">
        <v>53.71</v>
      </c>
      <c r="S75" s="4" t="s">
        <v>64</v>
      </c>
      <c r="T75" s="4" t="s">
        <v>173</v>
      </c>
      <c r="U75" s="4" t="s">
        <v>317</v>
      </c>
      <c r="V75" s="4"/>
      <c r="W75" s="5">
        <v>0</v>
      </c>
    </row>
    <row r="76" spans="1:23" x14ac:dyDescent="0.3">
      <c r="A76" s="2" t="s">
        <v>655</v>
      </c>
      <c r="B76" s="2" t="s">
        <v>656</v>
      </c>
      <c r="C76" s="2" t="s">
        <v>657</v>
      </c>
      <c r="D76" s="2" t="s">
        <v>658</v>
      </c>
      <c r="E76" s="2" t="s">
        <v>659</v>
      </c>
      <c r="F76" s="2" t="s">
        <v>660</v>
      </c>
      <c r="G76" s="2" t="s">
        <v>347</v>
      </c>
      <c r="H76" s="2" t="s">
        <v>60</v>
      </c>
      <c r="I76" s="2" t="s">
        <v>31</v>
      </c>
      <c r="J76" s="2" t="s">
        <v>661</v>
      </c>
      <c r="K76" s="2" t="s">
        <v>143</v>
      </c>
      <c r="L76" s="2">
        <v>1</v>
      </c>
      <c r="M76" s="3">
        <v>79.989999999999995</v>
      </c>
      <c r="N76" s="2" t="s">
        <v>78</v>
      </c>
      <c r="O76" s="3">
        <v>8</v>
      </c>
      <c r="P76" s="3">
        <v>0</v>
      </c>
      <c r="Q76" s="3">
        <v>5.76</v>
      </c>
      <c r="R76" s="3">
        <v>77.75</v>
      </c>
      <c r="S76" s="2" t="s">
        <v>64</v>
      </c>
      <c r="T76" s="2" t="s">
        <v>183</v>
      </c>
      <c r="U76" s="2" t="s">
        <v>66</v>
      </c>
      <c r="V76" s="2" t="s">
        <v>268</v>
      </c>
      <c r="W76" s="3">
        <v>0</v>
      </c>
    </row>
    <row r="77" spans="1:23" x14ac:dyDescent="0.3">
      <c r="A77" s="4" t="s">
        <v>662</v>
      </c>
      <c r="B77" s="4" t="s">
        <v>663</v>
      </c>
      <c r="C77" s="4" t="s">
        <v>664</v>
      </c>
      <c r="D77" s="4" t="s">
        <v>665</v>
      </c>
      <c r="E77" s="4" t="s">
        <v>666</v>
      </c>
      <c r="F77" s="4" t="s">
        <v>667</v>
      </c>
      <c r="G77" s="4" t="s">
        <v>59</v>
      </c>
      <c r="H77" s="4" t="s">
        <v>60</v>
      </c>
      <c r="I77" s="4" t="s">
        <v>31</v>
      </c>
      <c r="J77" s="4" t="s">
        <v>668</v>
      </c>
      <c r="K77" s="4" t="s">
        <v>110</v>
      </c>
      <c r="L77" s="4">
        <v>4</v>
      </c>
      <c r="M77" s="5">
        <v>247.95</v>
      </c>
      <c r="N77" s="4" t="s">
        <v>152</v>
      </c>
      <c r="O77" s="5">
        <v>12.4</v>
      </c>
      <c r="P77" s="5">
        <v>0</v>
      </c>
      <c r="Q77" s="5">
        <v>18.84</v>
      </c>
      <c r="R77" s="5">
        <v>254.39</v>
      </c>
      <c r="S77" s="4" t="s">
        <v>111</v>
      </c>
      <c r="T77" s="4" t="s">
        <v>36</v>
      </c>
      <c r="U77" s="4" t="s">
        <v>66</v>
      </c>
      <c r="V77" s="4" t="s">
        <v>669</v>
      </c>
      <c r="W77" s="5">
        <v>0</v>
      </c>
    </row>
    <row r="78" spans="1:23" x14ac:dyDescent="0.3">
      <c r="A78" s="2" t="s">
        <v>670</v>
      </c>
      <c r="B78" s="2" t="s">
        <v>671</v>
      </c>
      <c r="C78" s="2" t="s">
        <v>672</v>
      </c>
      <c r="D78" s="2" t="s">
        <v>673</v>
      </c>
      <c r="E78" s="2" t="s">
        <v>674</v>
      </c>
      <c r="F78" s="2" t="s">
        <v>675</v>
      </c>
      <c r="G78" s="2" t="s">
        <v>676</v>
      </c>
      <c r="H78" s="2" t="s">
        <v>677</v>
      </c>
      <c r="I78" s="2" t="s">
        <v>31</v>
      </c>
      <c r="J78" s="2" t="s">
        <v>678</v>
      </c>
      <c r="K78" s="2" t="s">
        <v>679</v>
      </c>
      <c r="L78" s="2">
        <v>1</v>
      </c>
      <c r="M78" s="3">
        <v>14.99</v>
      </c>
      <c r="N78" s="2" t="s">
        <v>78</v>
      </c>
      <c r="O78" s="3">
        <v>1.5</v>
      </c>
      <c r="P78" s="3">
        <v>7.99</v>
      </c>
      <c r="Q78" s="3">
        <v>0.81</v>
      </c>
      <c r="R78" s="3">
        <v>22.29</v>
      </c>
      <c r="S78" s="2" t="s">
        <v>64</v>
      </c>
      <c r="T78" s="2" t="s">
        <v>325</v>
      </c>
      <c r="U78" s="2" t="s">
        <v>66</v>
      </c>
      <c r="V78" s="2" t="s">
        <v>680</v>
      </c>
      <c r="W78" s="3">
        <v>0</v>
      </c>
    </row>
    <row r="79" spans="1:23" x14ac:dyDescent="0.3">
      <c r="A79" s="4" t="s">
        <v>681</v>
      </c>
      <c r="B79" s="4" t="s">
        <v>527</v>
      </c>
      <c r="C79" s="4" t="s">
        <v>682</v>
      </c>
      <c r="D79" s="4" t="s">
        <v>683</v>
      </c>
      <c r="E79" s="4" t="s">
        <v>684</v>
      </c>
      <c r="F79" s="4" t="s">
        <v>685</v>
      </c>
      <c r="G79" s="4" t="s">
        <v>428</v>
      </c>
      <c r="H79" s="4" t="s">
        <v>429</v>
      </c>
      <c r="I79" s="4" t="s">
        <v>31</v>
      </c>
      <c r="J79" s="4" t="s">
        <v>686</v>
      </c>
      <c r="K79" s="4" t="s">
        <v>122</v>
      </c>
      <c r="L79" s="4">
        <v>2</v>
      </c>
      <c r="M79" s="5">
        <v>94.98</v>
      </c>
      <c r="N79" s="4" t="s">
        <v>34</v>
      </c>
      <c r="O79" s="5">
        <v>0</v>
      </c>
      <c r="P79" s="5">
        <v>0</v>
      </c>
      <c r="Q79" s="5">
        <v>8.07</v>
      </c>
      <c r="R79" s="5">
        <v>103.05</v>
      </c>
      <c r="S79" s="4" t="s">
        <v>35</v>
      </c>
      <c r="T79" s="4" t="s">
        <v>65</v>
      </c>
      <c r="U79" s="4" t="s">
        <v>51</v>
      </c>
      <c r="V79" s="4" t="s">
        <v>564</v>
      </c>
      <c r="W79" s="5">
        <v>0</v>
      </c>
    </row>
    <row r="80" spans="1:23" x14ac:dyDescent="0.3">
      <c r="A80" s="2" t="s">
        <v>687</v>
      </c>
      <c r="B80" s="2" t="s">
        <v>349</v>
      </c>
      <c r="C80" s="2" t="s">
        <v>688</v>
      </c>
      <c r="D80" s="2" t="s">
        <v>689</v>
      </c>
      <c r="E80" s="2" t="s">
        <v>690</v>
      </c>
      <c r="F80" s="2" t="s">
        <v>691</v>
      </c>
      <c r="G80" s="2" t="s">
        <v>692</v>
      </c>
      <c r="H80" s="2" t="s">
        <v>693</v>
      </c>
      <c r="I80" s="2" t="s">
        <v>31</v>
      </c>
      <c r="J80" s="2" t="s">
        <v>694</v>
      </c>
      <c r="K80" s="2" t="s">
        <v>77</v>
      </c>
      <c r="L80" s="2">
        <v>1</v>
      </c>
      <c r="M80" s="3">
        <v>55.98</v>
      </c>
      <c r="N80" s="2" t="s">
        <v>49</v>
      </c>
      <c r="O80" s="3">
        <v>8.4</v>
      </c>
      <c r="P80" s="3">
        <v>9.99</v>
      </c>
      <c r="Q80" s="3">
        <v>3.81</v>
      </c>
      <c r="R80" s="3">
        <v>61.38</v>
      </c>
      <c r="S80" s="2" t="s">
        <v>64</v>
      </c>
      <c r="T80" s="2" t="s">
        <v>99</v>
      </c>
      <c r="U80" s="2" t="s">
        <v>51</v>
      </c>
      <c r="V80" s="2" t="s">
        <v>296</v>
      </c>
      <c r="W80" s="3">
        <v>0</v>
      </c>
    </row>
    <row r="81" spans="1:23" x14ac:dyDescent="0.3">
      <c r="A81" s="4" t="s">
        <v>695</v>
      </c>
      <c r="B81" s="4" t="s">
        <v>696</v>
      </c>
      <c r="C81" s="4" t="s">
        <v>697</v>
      </c>
      <c r="D81" s="4" t="s">
        <v>698</v>
      </c>
      <c r="E81" s="4" t="s">
        <v>699</v>
      </c>
      <c r="F81" s="4" t="s">
        <v>700</v>
      </c>
      <c r="G81" s="4" t="s">
        <v>29</v>
      </c>
      <c r="H81" s="4" t="s">
        <v>30</v>
      </c>
      <c r="I81" s="4" t="s">
        <v>31</v>
      </c>
      <c r="J81" s="4" t="s">
        <v>151</v>
      </c>
      <c r="K81" s="4" t="s">
        <v>110</v>
      </c>
      <c r="L81" s="4">
        <v>1</v>
      </c>
      <c r="M81" s="5">
        <v>39.99</v>
      </c>
      <c r="N81" s="4" t="s">
        <v>78</v>
      </c>
      <c r="O81" s="5">
        <v>4</v>
      </c>
      <c r="P81" s="5">
        <v>7.99</v>
      </c>
      <c r="Q81" s="5">
        <v>3.6</v>
      </c>
      <c r="R81" s="5">
        <v>47.58</v>
      </c>
      <c r="S81" s="4" t="s">
        <v>64</v>
      </c>
      <c r="T81" s="4" t="s">
        <v>99</v>
      </c>
      <c r="U81" s="4" t="s">
        <v>66</v>
      </c>
      <c r="V81" s="4" t="s">
        <v>701</v>
      </c>
      <c r="W81" s="5">
        <v>0</v>
      </c>
    </row>
    <row r="82" spans="1:23" x14ac:dyDescent="0.3">
      <c r="A82" s="2" t="s">
        <v>702</v>
      </c>
      <c r="B82" s="2" t="s">
        <v>703</v>
      </c>
      <c r="C82" s="2" t="s">
        <v>704</v>
      </c>
      <c r="D82" s="2" t="s">
        <v>705</v>
      </c>
      <c r="E82" s="2" t="s">
        <v>706</v>
      </c>
      <c r="F82" s="2" t="s">
        <v>707</v>
      </c>
      <c r="G82" s="2" t="s">
        <v>180</v>
      </c>
      <c r="H82" s="2" t="s">
        <v>181</v>
      </c>
      <c r="I82" s="2" t="s">
        <v>31</v>
      </c>
      <c r="J82" s="2" t="s">
        <v>708</v>
      </c>
      <c r="K82" s="2" t="s">
        <v>122</v>
      </c>
      <c r="L82" s="2">
        <v>1</v>
      </c>
      <c r="M82" s="3">
        <v>224.97</v>
      </c>
      <c r="N82" s="2" t="s">
        <v>78</v>
      </c>
      <c r="O82" s="3">
        <v>22.5</v>
      </c>
      <c r="P82" s="3">
        <v>0</v>
      </c>
      <c r="Q82" s="3">
        <v>17.21</v>
      </c>
      <c r="R82" s="3">
        <v>219.68</v>
      </c>
      <c r="S82" s="2" t="s">
        <v>35</v>
      </c>
      <c r="T82" s="2" t="s">
        <v>325</v>
      </c>
      <c r="U82" s="2" t="s">
        <v>66</v>
      </c>
      <c r="V82" s="2" t="s">
        <v>709</v>
      </c>
      <c r="W82" s="3">
        <v>0</v>
      </c>
    </row>
    <row r="83" spans="1:23" x14ac:dyDescent="0.3">
      <c r="A83" s="4" t="s">
        <v>710</v>
      </c>
      <c r="B83" s="4" t="s">
        <v>254</v>
      </c>
      <c r="C83" s="4" t="s">
        <v>711</v>
      </c>
      <c r="D83" s="4" t="s">
        <v>712</v>
      </c>
      <c r="E83" s="4" t="s">
        <v>713</v>
      </c>
      <c r="F83" s="4" t="s">
        <v>714</v>
      </c>
      <c r="G83" s="4" t="s">
        <v>224</v>
      </c>
      <c r="H83" s="4" t="s">
        <v>225</v>
      </c>
      <c r="I83" s="4" t="s">
        <v>31</v>
      </c>
      <c r="J83" s="4" t="s">
        <v>715</v>
      </c>
      <c r="K83" s="4" t="s">
        <v>110</v>
      </c>
      <c r="L83" s="4">
        <v>3</v>
      </c>
      <c r="M83" s="5">
        <v>187.97</v>
      </c>
      <c r="N83" s="4" t="s">
        <v>152</v>
      </c>
      <c r="O83" s="5">
        <v>9.4</v>
      </c>
      <c r="P83" s="5">
        <v>0</v>
      </c>
      <c r="Q83" s="5">
        <v>12.5</v>
      </c>
      <c r="R83" s="5">
        <v>191.07</v>
      </c>
      <c r="S83" s="4" t="s">
        <v>64</v>
      </c>
      <c r="T83" s="4" t="s">
        <v>99</v>
      </c>
      <c r="U83" s="4" t="s">
        <v>51</v>
      </c>
      <c r="V83" s="4" t="s">
        <v>716</v>
      </c>
      <c r="W83" s="5">
        <v>0</v>
      </c>
    </row>
    <row r="84" spans="1:23" x14ac:dyDescent="0.3">
      <c r="A84" s="2" t="s">
        <v>717</v>
      </c>
      <c r="B84" s="2" t="s">
        <v>527</v>
      </c>
      <c r="C84" s="2" t="s">
        <v>718</v>
      </c>
      <c r="D84" s="2" t="s">
        <v>719</v>
      </c>
      <c r="E84" s="2" t="s">
        <v>720</v>
      </c>
      <c r="F84" s="2" t="s">
        <v>721</v>
      </c>
      <c r="G84" s="2" t="s">
        <v>428</v>
      </c>
      <c r="H84" s="2" t="s">
        <v>429</v>
      </c>
      <c r="I84" s="2" t="s">
        <v>31</v>
      </c>
      <c r="J84" s="2" t="s">
        <v>722</v>
      </c>
      <c r="K84" s="2" t="s">
        <v>62</v>
      </c>
      <c r="L84" s="2">
        <v>3</v>
      </c>
      <c r="M84" s="3">
        <v>434.93</v>
      </c>
      <c r="N84" s="2" t="s">
        <v>163</v>
      </c>
      <c r="O84" s="3">
        <v>86.99</v>
      </c>
      <c r="P84" s="3">
        <v>0</v>
      </c>
      <c r="Q84" s="3">
        <v>27.84</v>
      </c>
      <c r="R84" s="3">
        <v>375.78</v>
      </c>
      <c r="S84" s="2" t="s">
        <v>332</v>
      </c>
      <c r="T84" s="2" t="s">
        <v>173</v>
      </c>
      <c r="U84" s="2" t="s">
        <v>317</v>
      </c>
      <c r="V84" s="2"/>
      <c r="W84" s="3">
        <v>0</v>
      </c>
    </row>
    <row r="85" spans="1:23" x14ac:dyDescent="0.3">
      <c r="A85" s="4" t="s">
        <v>723</v>
      </c>
      <c r="B85" s="4" t="s">
        <v>579</v>
      </c>
      <c r="C85" s="4" t="s">
        <v>724</v>
      </c>
      <c r="D85" s="4" t="s">
        <v>725</v>
      </c>
      <c r="E85" s="4" t="s">
        <v>726</v>
      </c>
      <c r="F85" s="4" t="s">
        <v>727</v>
      </c>
      <c r="G85" s="4" t="s">
        <v>74</v>
      </c>
      <c r="H85" s="4" t="s">
        <v>75</v>
      </c>
      <c r="I85" s="4" t="s">
        <v>31</v>
      </c>
      <c r="J85" s="4" t="s">
        <v>728</v>
      </c>
      <c r="K85" s="4" t="s">
        <v>143</v>
      </c>
      <c r="L85" s="4">
        <v>3</v>
      </c>
      <c r="M85" s="5">
        <v>174.96</v>
      </c>
      <c r="N85" s="4" t="s">
        <v>34</v>
      </c>
      <c r="O85" s="5">
        <v>0</v>
      </c>
      <c r="P85" s="5">
        <v>0</v>
      </c>
      <c r="Q85" s="5">
        <v>12.25</v>
      </c>
      <c r="R85" s="5">
        <v>187.21</v>
      </c>
      <c r="S85" s="4" t="s">
        <v>35</v>
      </c>
      <c r="T85" s="4" t="s">
        <v>65</v>
      </c>
      <c r="U85" s="4" t="s">
        <v>66</v>
      </c>
      <c r="V85" s="4" t="s">
        <v>374</v>
      </c>
      <c r="W85" s="5">
        <v>0</v>
      </c>
    </row>
    <row r="86" spans="1:23" x14ac:dyDescent="0.3">
      <c r="A86" s="2" t="s">
        <v>729</v>
      </c>
      <c r="B86" s="2" t="s">
        <v>498</v>
      </c>
      <c r="C86" s="2" t="s">
        <v>730</v>
      </c>
      <c r="D86" s="2" t="s">
        <v>731</v>
      </c>
      <c r="E86" s="2" t="s">
        <v>732</v>
      </c>
      <c r="F86" s="2" t="s">
        <v>733</v>
      </c>
      <c r="G86" s="2" t="s">
        <v>119</v>
      </c>
      <c r="H86" s="2" t="s">
        <v>120</v>
      </c>
      <c r="I86" s="2" t="s">
        <v>31</v>
      </c>
      <c r="J86" s="2" t="s">
        <v>495</v>
      </c>
      <c r="K86" s="2" t="s">
        <v>209</v>
      </c>
      <c r="L86" s="2">
        <v>1</v>
      </c>
      <c r="M86" s="3">
        <v>29.99</v>
      </c>
      <c r="N86" s="2" t="s">
        <v>34</v>
      </c>
      <c r="O86" s="3">
        <v>0</v>
      </c>
      <c r="P86" s="3">
        <v>7.99</v>
      </c>
      <c r="Q86" s="3">
        <v>1.8</v>
      </c>
      <c r="R86" s="3">
        <v>39.78</v>
      </c>
      <c r="S86" s="2" t="s">
        <v>111</v>
      </c>
      <c r="T86" s="2" t="s">
        <v>36</v>
      </c>
      <c r="U86" s="2" t="s">
        <v>66</v>
      </c>
      <c r="V86" s="2" t="s">
        <v>734</v>
      </c>
      <c r="W86" s="3">
        <v>0</v>
      </c>
    </row>
    <row r="87" spans="1:23" x14ac:dyDescent="0.3">
      <c r="A87" s="4" t="s">
        <v>735</v>
      </c>
      <c r="B87" s="4" t="s">
        <v>736</v>
      </c>
      <c r="C87" s="4" t="s">
        <v>737</v>
      </c>
      <c r="D87" s="4" t="s">
        <v>738</v>
      </c>
      <c r="E87" s="4" t="s">
        <v>739</v>
      </c>
      <c r="F87" s="4" t="s">
        <v>740</v>
      </c>
      <c r="G87" s="4" t="s">
        <v>45</v>
      </c>
      <c r="H87" s="4" t="s">
        <v>46</v>
      </c>
      <c r="I87" s="4" t="s">
        <v>31</v>
      </c>
      <c r="J87" s="4" t="s">
        <v>741</v>
      </c>
      <c r="K87" s="4" t="s">
        <v>122</v>
      </c>
      <c r="L87" s="4">
        <v>1</v>
      </c>
      <c r="M87" s="5">
        <v>139.97999999999999</v>
      </c>
      <c r="N87" s="4" t="s">
        <v>63</v>
      </c>
      <c r="O87" s="5">
        <v>34.99</v>
      </c>
      <c r="P87" s="5">
        <v>0</v>
      </c>
      <c r="Q87" s="5">
        <v>10.5</v>
      </c>
      <c r="R87" s="5">
        <v>115.49</v>
      </c>
      <c r="S87" s="4" t="s">
        <v>64</v>
      </c>
      <c r="T87" s="4" t="s">
        <v>173</v>
      </c>
      <c r="U87" s="4" t="s">
        <v>66</v>
      </c>
      <c r="V87" s="4" t="s">
        <v>742</v>
      </c>
      <c r="W87" s="5">
        <v>0</v>
      </c>
    </row>
    <row r="88" spans="1:23" x14ac:dyDescent="0.3">
      <c r="A88" s="2" t="s">
        <v>743</v>
      </c>
      <c r="B88" s="2" t="s">
        <v>744</v>
      </c>
      <c r="C88" s="2" t="s">
        <v>745</v>
      </c>
      <c r="D88" s="2" t="s">
        <v>746</v>
      </c>
      <c r="E88" s="2" t="s">
        <v>747</v>
      </c>
      <c r="F88" s="2" t="s">
        <v>748</v>
      </c>
      <c r="G88" s="2" t="s">
        <v>107</v>
      </c>
      <c r="H88" s="2" t="s">
        <v>108</v>
      </c>
      <c r="I88" s="2" t="s">
        <v>31</v>
      </c>
      <c r="J88" s="2" t="s">
        <v>749</v>
      </c>
      <c r="K88" s="2" t="s">
        <v>143</v>
      </c>
      <c r="L88" s="2">
        <v>3</v>
      </c>
      <c r="M88" s="3">
        <v>207.97</v>
      </c>
      <c r="N88" s="2" t="s">
        <v>34</v>
      </c>
      <c r="O88" s="3">
        <v>0</v>
      </c>
      <c r="P88" s="3">
        <v>0</v>
      </c>
      <c r="Q88" s="3">
        <v>16.64</v>
      </c>
      <c r="R88" s="3">
        <v>224.61</v>
      </c>
      <c r="S88" s="2" t="s">
        <v>123</v>
      </c>
      <c r="T88" s="2" t="s">
        <v>36</v>
      </c>
      <c r="U88" s="2" t="s">
        <v>66</v>
      </c>
      <c r="V88" s="2" t="s">
        <v>750</v>
      </c>
      <c r="W88" s="3">
        <v>0</v>
      </c>
    </row>
    <row r="89" spans="1:23" x14ac:dyDescent="0.3">
      <c r="A89" s="4" t="s">
        <v>751</v>
      </c>
      <c r="B89" s="4" t="s">
        <v>752</v>
      </c>
      <c r="C89" s="4" t="s">
        <v>753</v>
      </c>
      <c r="D89" s="4" t="s">
        <v>457</v>
      </c>
      <c r="E89" s="4" t="s">
        <v>754</v>
      </c>
      <c r="F89" s="4" t="s">
        <v>755</v>
      </c>
      <c r="G89" s="4" t="s">
        <v>180</v>
      </c>
      <c r="H89" s="4" t="s">
        <v>181</v>
      </c>
      <c r="I89" s="4" t="s">
        <v>31</v>
      </c>
      <c r="J89" s="4" t="s">
        <v>756</v>
      </c>
      <c r="K89" s="4" t="s">
        <v>364</v>
      </c>
      <c r="L89" s="4">
        <v>2</v>
      </c>
      <c r="M89" s="5">
        <v>99.98</v>
      </c>
      <c r="N89" s="4" t="s">
        <v>78</v>
      </c>
      <c r="O89" s="5">
        <v>10</v>
      </c>
      <c r="P89" s="5">
        <v>0</v>
      </c>
      <c r="Q89" s="5">
        <v>7.2</v>
      </c>
      <c r="R89" s="5">
        <v>97.18</v>
      </c>
      <c r="S89" s="4" t="s">
        <v>332</v>
      </c>
      <c r="T89" s="4" t="s">
        <v>99</v>
      </c>
      <c r="U89" s="4" t="s">
        <v>66</v>
      </c>
      <c r="V89" s="4" t="s">
        <v>593</v>
      </c>
      <c r="W89" s="5">
        <v>0</v>
      </c>
    </row>
    <row r="90" spans="1:23" x14ac:dyDescent="0.3">
      <c r="A90" s="2" t="s">
        <v>757</v>
      </c>
      <c r="B90" s="2" t="s">
        <v>758</v>
      </c>
      <c r="C90" s="2" t="s">
        <v>759</v>
      </c>
      <c r="D90" s="2" t="s">
        <v>485</v>
      </c>
      <c r="E90" s="2" t="s">
        <v>760</v>
      </c>
      <c r="F90" s="2" t="s">
        <v>761</v>
      </c>
      <c r="G90" s="2" t="s">
        <v>140</v>
      </c>
      <c r="H90" s="2" t="s">
        <v>141</v>
      </c>
      <c r="I90" s="2" t="s">
        <v>31</v>
      </c>
      <c r="J90" s="2" t="s">
        <v>762</v>
      </c>
      <c r="K90" s="2" t="s">
        <v>122</v>
      </c>
      <c r="L90" s="2">
        <v>3</v>
      </c>
      <c r="M90" s="3">
        <v>304.95</v>
      </c>
      <c r="N90" s="2" t="s">
        <v>34</v>
      </c>
      <c r="O90" s="3">
        <v>0</v>
      </c>
      <c r="P90" s="3">
        <v>0</v>
      </c>
      <c r="Q90" s="3">
        <v>21.35</v>
      </c>
      <c r="R90" s="3">
        <v>326.3</v>
      </c>
      <c r="S90" s="2" t="s">
        <v>35</v>
      </c>
      <c r="T90" s="2" t="s">
        <v>183</v>
      </c>
      <c r="U90" s="2" t="s">
        <v>100</v>
      </c>
      <c r="V90" s="2"/>
      <c r="W90" s="3">
        <v>0</v>
      </c>
    </row>
    <row r="91" spans="1:23" x14ac:dyDescent="0.3">
      <c r="A91" s="4" t="s">
        <v>763</v>
      </c>
      <c r="B91" s="4" t="s">
        <v>764</v>
      </c>
      <c r="C91" s="4" t="s">
        <v>765</v>
      </c>
      <c r="D91" s="4" t="s">
        <v>766</v>
      </c>
      <c r="E91" s="4" t="s">
        <v>767</v>
      </c>
      <c r="F91" s="4" t="s">
        <v>768</v>
      </c>
      <c r="G91" s="4" t="s">
        <v>291</v>
      </c>
      <c r="H91" s="4" t="s">
        <v>292</v>
      </c>
      <c r="I91" s="4" t="s">
        <v>31</v>
      </c>
      <c r="J91" s="4" t="s">
        <v>769</v>
      </c>
      <c r="K91" s="4" t="s">
        <v>48</v>
      </c>
      <c r="L91" s="4">
        <v>2</v>
      </c>
      <c r="M91" s="5">
        <v>119.98</v>
      </c>
      <c r="N91" s="4" t="s">
        <v>34</v>
      </c>
      <c r="O91" s="5">
        <v>0</v>
      </c>
      <c r="P91" s="5">
        <v>0</v>
      </c>
      <c r="Q91" s="5">
        <v>9.6</v>
      </c>
      <c r="R91" s="5">
        <v>129.58000000000001</v>
      </c>
      <c r="S91" s="4" t="s">
        <v>123</v>
      </c>
      <c r="T91" s="4" t="s">
        <v>183</v>
      </c>
      <c r="U91" s="4" t="s">
        <v>51</v>
      </c>
      <c r="V91" s="4" t="s">
        <v>601</v>
      </c>
      <c r="W91" s="5">
        <v>0</v>
      </c>
    </row>
    <row r="92" spans="1:23" x14ac:dyDescent="0.3">
      <c r="A92" s="2" t="s">
        <v>770</v>
      </c>
      <c r="B92" s="2" t="s">
        <v>669</v>
      </c>
      <c r="C92" s="2" t="s">
        <v>771</v>
      </c>
      <c r="D92" s="2" t="s">
        <v>772</v>
      </c>
      <c r="E92" s="2" t="s">
        <v>773</v>
      </c>
      <c r="F92" s="2" t="s">
        <v>774</v>
      </c>
      <c r="G92" s="2" t="s">
        <v>29</v>
      </c>
      <c r="H92" s="2" t="s">
        <v>30</v>
      </c>
      <c r="I92" s="2" t="s">
        <v>31</v>
      </c>
      <c r="J92" s="2" t="s">
        <v>775</v>
      </c>
      <c r="K92" s="2" t="s">
        <v>143</v>
      </c>
      <c r="L92" s="2">
        <v>2</v>
      </c>
      <c r="M92" s="3">
        <v>417.96</v>
      </c>
      <c r="N92" s="2" t="s">
        <v>34</v>
      </c>
      <c r="O92" s="3">
        <v>0</v>
      </c>
      <c r="P92" s="3">
        <v>0</v>
      </c>
      <c r="Q92" s="3">
        <v>41.8</v>
      </c>
      <c r="R92" s="3">
        <v>459.76</v>
      </c>
      <c r="S92" s="2" t="s">
        <v>123</v>
      </c>
      <c r="T92" s="2" t="s">
        <v>173</v>
      </c>
      <c r="U92" s="2" t="s">
        <v>66</v>
      </c>
      <c r="V92" s="2" t="s">
        <v>277</v>
      </c>
      <c r="W92" s="3">
        <v>0</v>
      </c>
    </row>
    <row r="93" spans="1:23" x14ac:dyDescent="0.3">
      <c r="A93" s="4" t="s">
        <v>776</v>
      </c>
      <c r="B93" s="4" t="s">
        <v>777</v>
      </c>
      <c r="C93" s="4" t="s">
        <v>778</v>
      </c>
      <c r="D93" s="4" t="s">
        <v>779</v>
      </c>
      <c r="E93" s="4" t="s">
        <v>780</v>
      </c>
      <c r="F93" s="4" t="s">
        <v>781</v>
      </c>
      <c r="G93" s="4" t="s">
        <v>282</v>
      </c>
      <c r="H93" s="4" t="s">
        <v>88</v>
      </c>
      <c r="I93" s="4" t="s">
        <v>31</v>
      </c>
      <c r="J93" s="4" t="s">
        <v>782</v>
      </c>
      <c r="K93" s="4" t="s">
        <v>122</v>
      </c>
      <c r="L93" s="4">
        <v>2</v>
      </c>
      <c r="M93" s="5">
        <v>93.98</v>
      </c>
      <c r="N93" s="4" t="s">
        <v>78</v>
      </c>
      <c r="O93" s="5">
        <v>9.4</v>
      </c>
      <c r="P93" s="5">
        <v>0</v>
      </c>
      <c r="Q93" s="5">
        <v>7.61</v>
      </c>
      <c r="R93" s="5">
        <v>92.19</v>
      </c>
      <c r="S93" s="4" t="s">
        <v>98</v>
      </c>
      <c r="T93" s="4" t="s">
        <v>99</v>
      </c>
      <c r="U93" s="4" t="s">
        <v>66</v>
      </c>
      <c r="V93" s="4" t="s">
        <v>342</v>
      </c>
      <c r="W93" s="5">
        <v>0</v>
      </c>
    </row>
    <row r="94" spans="1:23" x14ac:dyDescent="0.3">
      <c r="A94" s="2" t="s">
        <v>783</v>
      </c>
      <c r="B94" s="2" t="s">
        <v>164</v>
      </c>
      <c r="C94" s="2" t="s">
        <v>784</v>
      </c>
      <c r="D94" s="2" t="s">
        <v>785</v>
      </c>
      <c r="E94" s="2" t="s">
        <v>786</v>
      </c>
      <c r="F94" s="2" t="s">
        <v>787</v>
      </c>
      <c r="G94" s="2" t="s">
        <v>242</v>
      </c>
      <c r="H94" s="2" t="s">
        <v>243</v>
      </c>
      <c r="I94" s="2" t="s">
        <v>31</v>
      </c>
      <c r="J94" s="2" t="s">
        <v>788</v>
      </c>
      <c r="K94" s="2" t="s">
        <v>33</v>
      </c>
      <c r="L94" s="2">
        <v>3</v>
      </c>
      <c r="M94" s="3">
        <v>122.96</v>
      </c>
      <c r="N94" s="2" t="s">
        <v>78</v>
      </c>
      <c r="O94" s="3">
        <v>12.3</v>
      </c>
      <c r="P94" s="3">
        <v>0</v>
      </c>
      <c r="Q94" s="3">
        <v>8.85</v>
      </c>
      <c r="R94" s="3">
        <v>119.51</v>
      </c>
      <c r="S94" s="2" t="s">
        <v>123</v>
      </c>
      <c r="T94" s="2" t="s">
        <v>36</v>
      </c>
      <c r="U94" s="2" t="s">
        <v>66</v>
      </c>
      <c r="V94" s="2" t="s">
        <v>789</v>
      </c>
      <c r="W94" s="3">
        <v>0</v>
      </c>
    </row>
    <row r="95" spans="1:23" x14ac:dyDescent="0.3">
      <c r="A95" s="4" t="s">
        <v>790</v>
      </c>
      <c r="B95" s="4" t="s">
        <v>447</v>
      </c>
      <c r="C95" s="4" t="s">
        <v>791</v>
      </c>
      <c r="D95" s="4" t="s">
        <v>792</v>
      </c>
      <c r="E95" s="4" t="s">
        <v>793</v>
      </c>
      <c r="F95" s="4" t="s">
        <v>794</v>
      </c>
      <c r="G95" s="4" t="s">
        <v>140</v>
      </c>
      <c r="H95" s="4" t="s">
        <v>141</v>
      </c>
      <c r="I95" s="4" t="s">
        <v>31</v>
      </c>
      <c r="J95" s="4" t="s">
        <v>795</v>
      </c>
      <c r="K95" s="4" t="s">
        <v>122</v>
      </c>
      <c r="L95" s="4">
        <v>2</v>
      </c>
      <c r="M95" s="5">
        <v>99.98</v>
      </c>
      <c r="N95" s="4" t="s">
        <v>63</v>
      </c>
      <c r="O95" s="5">
        <v>25</v>
      </c>
      <c r="P95" s="5">
        <v>0</v>
      </c>
      <c r="Q95" s="5">
        <v>6.37</v>
      </c>
      <c r="R95" s="5">
        <v>81.349999999999994</v>
      </c>
      <c r="S95" s="4" t="s">
        <v>79</v>
      </c>
      <c r="T95" s="4" t="s">
        <v>99</v>
      </c>
      <c r="U95" s="4" t="s">
        <v>66</v>
      </c>
      <c r="V95" s="4" t="s">
        <v>453</v>
      </c>
      <c r="W95" s="5">
        <v>0</v>
      </c>
    </row>
    <row r="96" spans="1:23" x14ac:dyDescent="0.3">
      <c r="A96" s="2" t="s">
        <v>796</v>
      </c>
      <c r="B96" s="2" t="s">
        <v>797</v>
      </c>
      <c r="C96" s="2" t="s">
        <v>798</v>
      </c>
      <c r="D96" s="2" t="s">
        <v>799</v>
      </c>
      <c r="E96" s="2" t="s">
        <v>800</v>
      </c>
      <c r="F96" s="2" t="s">
        <v>801</v>
      </c>
      <c r="G96" s="2" t="s">
        <v>802</v>
      </c>
      <c r="H96" s="2" t="s">
        <v>88</v>
      </c>
      <c r="I96" s="2" t="s">
        <v>31</v>
      </c>
      <c r="J96" s="2" t="s">
        <v>803</v>
      </c>
      <c r="K96" s="2" t="s">
        <v>209</v>
      </c>
      <c r="L96" s="2">
        <v>2</v>
      </c>
      <c r="M96" s="3">
        <v>115.97</v>
      </c>
      <c r="N96" s="2" t="s">
        <v>78</v>
      </c>
      <c r="O96" s="3">
        <v>11.6</v>
      </c>
      <c r="P96" s="3">
        <v>0</v>
      </c>
      <c r="Q96" s="3">
        <v>10.44</v>
      </c>
      <c r="R96" s="3">
        <v>114.81</v>
      </c>
      <c r="S96" s="2" t="s">
        <v>35</v>
      </c>
      <c r="T96" s="2" t="s">
        <v>99</v>
      </c>
      <c r="U96" s="2" t="s">
        <v>37</v>
      </c>
      <c r="V96" s="2" t="s">
        <v>804</v>
      </c>
      <c r="W96" s="3">
        <v>114.81</v>
      </c>
    </row>
    <row r="97" spans="1:23" x14ac:dyDescent="0.3">
      <c r="A97" s="4" t="s">
        <v>805</v>
      </c>
      <c r="B97" s="4" t="s">
        <v>806</v>
      </c>
      <c r="C97" s="4" t="s">
        <v>807</v>
      </c>
      <c r="D97" s="4" t="s">
        <v>808</v>
      </c>
      <c r="E97" s="4" t="s">
        <v>809</v>
      </c>
      <c r="F97" s="4" t="s">
        <v>810</v>
      </c>
      <c r="G97" s="4" t="s">
        <v>640</v>
      </c>
      <c r="H97" s="4" t="s">
        <v>161</v>
      </c>
      <c r="I97" s="4" t="s">
        <v>31</v>
      </c>
      <c r="J97" s="4" t="s">
        <v>811</v>
      </c>
      <c r="K97" s="4" t="s">
        <v>122</v>
      </c>
      <c r="L97" s="4">
        <v>3</v>
      </c>
      <c r="M97" s="5">
        <v>232.97</v>
      </c>
      <c r="N97" s="4" t="s">
        <v>63</v>
      </c>
      <c r="O97" s="5">
        <v>58.24</v>
      </c>
      <c r="P97" s="5">
        <v>0</v>
      </c>
      <c r="Q97" s="5">
        <v>12.23</v>
      </c>
      <c r="R97" s="5">
        <v>186.96</v>
      </c>
      <c r="S97" s="4" t="s">
        <v>64</v>
      </c>
      <c r="T97" s="4" t="s">
        <v>99</v>
      </c>
      <c r="U97" s="4" t="s">
        <v>66</v>
      </c>
      <c r="V97" s="4" t="s">
        <v>366</v>
      </c>
      <c r="W97" s="5">
        <v>0</v>
      </c>
    </row>
    <row r="98" spans="1:23" x14ac:dyDescent="0.3">
      <c r="A98" s="2" t="s">
        <v>812</v>
      </c>
      <c r="B98" s="2" t="s">
        <v>601</v>
      </c>
      <c r="C98" s="2" t="s">
        <v>813</v>
      </c>
      <c r="D98" s="2" t="s">
        <v>814</v>
      </c>
      <c r="E98" s="2" t="s">
        <v>815</v>
      </c>
      <c r="F98" s="2" t="s">
        <v>816</v>
      </c>
      <c r="G98" s="2" t="s">
        <v>347</v>
      </c>
      <c r="H98" s="2" t="s">
        <v>60</v>
      </c>
      <c r="I98" s="2" t="s">
        <v>31</v>
      </c>
      <c r="J98" s="2" t="s">
        <v>817</v>
      </c>
      <c r="K98" s="2" t="s">
        <v>679</v>
      </c>
      <c r="L98" s="2">
        <v>2</v>
      </c>
      <c r="M98" s="3">
        <v>64.98</v>
      </c>
      <c r="N98" s="2" t="s">
        <v>63</v>
      </c>
      <c r="O98" s="3">
        <v>16.25</v>
      </c>
      <c r="P98" s="3">
        <v>5.99</v>
      </c>
      <c r="Q98" s="3">
        <v>3.41</v>
      </c>
      <c r="R98" s="3">
        <v>58.13</v>
      </c>
      <c r="S98" s="2" t="s">
        <v>123</v>
      </c>
      <c r="T98" s="2" t="s">
        <v>65</v>
      </c>
      <c r="U98" s="2" t="s">
        <v>66</v>
      </c>
      <c r="V98" s="2" t="s">
        <v>235</v>
      </c>
      <c r="W98" s="3">
        <v>0</v>
      </c>
    </row>
    <row r="99" spans="1:23" x14ac:dyDescent="0.3">
      <c r="A99" s="4" t="s">
        <v>818</v>
      </c>
      <c r="B99" s="4" t="s">
        <v>194</v>
      </c>
      <c r="C99" s="4" t="s">
        <v>819</v>
      </c>
      <c r="D99" s="4" t="s">
        <v>820</v>
      </c>
      <c r="E99" s="4" t="s">
        <v>821</v>
      </c>
      <c r="F99" s="4" t="s">
        <v>822</v>
      </c>
      <c r="G99" s="4" t="s">
        <v>131</v>
      </c>
      <c r="H99" s="4" t="s">
        <v>88</v>
      </c>
      <c r="I99" s="4" t="s">
        <v>31</v>
      </c>
      <c r="J99" s="4" t="s">
        <v>823</v>
      </c>
      <c r="K99" s="4" t="s">
        <v>77</v>
      </c>
      <c r="L99" s="4">
        <v>2</v>
      </c>
      <c r="M99" s="5">
        <v>89.98</v>
      </c>
      <c r="N99" s="4" t="s">
        <v>63</v>
      </c>
      <c r="O99" s="5">
        <v>22.5</v>
      </c>
      <c r="P99" s="5">
        <v>0</v>
      </c>
      <c r="Q99" s="5">
        <v>5.4</v>
      </c>
      <c r="R99" s="5">
        <v>72.88</v>
      </c>
      <c r="S99" s="4" t="s">
        <v>35</v>
      </c>
      <c r="T99" s="4" t="s">
        <v>99</v>
      </c>
      <c r="U99" s="4" t="s">
        <v>37</v>
      </c>
      <c r="V99" s="4" t="s">
        <v>824</v>
      </c>
      <c r="W99" s="5">
        <v>72.88</v>
      </c>
    </row>
    <row r="100" spans="1:23" x14ac:dyDescent="0.3">
      <c r="A100" s="2" t="s">
        <v>825</v>
      </c>
      <c r="B100" s="2" t="s">
        <v>342</v>
      </c>
      <c r="C100" s="2" t="s">
        <v>826</v>
      </c>
      <c r="D100" s="2" t="s">
        <v>827</v>
      </c>
      <c r="E100" s="2" t="s">
        <v>828</v>
      </c>
      <c r="F100" s="2" t="s">
        <v>829</v>
      </c>
      <c r="G100" s="2" t="s">
        <v>140</v>
      </c>
      <c r="H100" s="2" t="s">
        <v>141</v>
      </c>
      <c r="I100" s="2" t="s">
        <v>31</v>
      </c>
      <c r="J100" s="2" t="s">
        <v>61</v>
      </c>
      <c r="K100" s="2" t="s">
        <v>62</v>
      </c>
      <c r="L100" s="2">
        <v>1</v>
      </c>
      <c r="M100" s="3">
        <v>24.99</v>
      </c>
      <c r="N100" s="2" t="s">
        <v>34</v>
      </c>
      <c r="O100" s="3">
        <v>0</v>
      </c>
      <c r="P100" s="3">
        <v>4.99</v>
      </c>
      <c r="Q100" s="3">
        <v>1.5</v>
      </c>
      <c r="R100" s="3">
        <v>31.48</v>
      </c>
      <c r="S100" s="2" t="s">
        <v>79</v>
      </c>
      <c r="T100" s="2" t="s">
        <v>183</v>
      </c>
      <c r="U100" s="2" t="s">
        <v>66</v>
      </c>
      <c r="V100" s="2" t="s">
        <v>296</v>
      </c>
      <c r="W100" s="3">
        <v>0</v>
      </c>
    </row>
    <row r="101" spans="1:23" x14ac:dyDescent="0.3">
      <c r="A101" s="4" t="s">
        <v>830</v>
      </c>
      <c r="B101" s="4" t="s">
        <v>831</v>
      </c>
      <c r="C101" s="4" t="s">
        <v>832</v>
      </c>
      <c r="D101" s="4" t="s">
        <v>833</v>
      </c>
      <c r="E101" s="4" t="s">
        <v>834</v>
      </c>
      <c r="F101" s="4" t="s">
        <v>835</v>
      </c>
      <c r="G101" s="4" t="s">
        <v>323</v>
      </c>
      <c r="H101" s="4" t="s">
        <v>324</v>
      </c>
      <c r="I101" s="4" t="s">
        <v>31</v>
      </c>
      <c r="J101" s="4" t="s">
        <v>836</v>
      </c>
      <c r="K101" s="4" t="s">
        <v>48</v>
      </c>
      <c r="L101" s="4">
        <v>2</v>
      </c>
      <c r="M101" s="5">
        <v>92.98</v>
      </c>
      <c r="N101" s="4" t="s">
        <v>34</v>
      </c>
      <c r="O101" s="5">
        <v>0</v>
      </c>
      <c r="P101" s="5">
        <v>0</v>
      </c>
      <c r="Q101" s="5">
        <v>6.51</v>
      </c>
      <c r="R101" s="5">
        <v>99.49</v>
      </c>
      <c r="S101" s="4" t="s">
        <v>123</v>
      </c>
      <c r="T101" s="4" t="s">
        <v>173</v>
      </c>
      <c r="U101" s="4" t="s">
        <v>66</v>
      </c>
      <c r="V101" s="4" t="s">
        <v>764</v>
      </c>
      <c r="W101" s="5">
        <v>0</v>
      </c>
    </row>
    <row r="102" spans="1:23" x14ac:dyDescent="0.3">
      <c r="A102" s="2" t="s">
        <v>837</v>
      </c>
      <c r="B102" s="2" t="s">
        <v>838</v>
      </c>
      <c r="C102" s="2" t="s">
        <v>839</v>
      </c>
      <c r="D102" s="2" t="s">
        <v>840</v>
      </c>
      <c r="E102" s="2" t="s">
        <v>841</v>
      </c>
      <c r="F102" s="2" t="s">
        <v>842</v>
      </c>
      <c r="G102" s="2" t="s">
        <v>171</v>
      </c>
      <c r="H102" s="2" t="s">
        <v>88</v>
      </c>
      <c r="I102" s="2" t="s">
        <v>31</v>
      </c>
      <c r="J102" s="2" t="s">
        <v>678</v>
      </c>
      <c r="K102" s="2" t="s">
        <v>679</v>
      </c>
      <c r="L102" s="2">
        <v>1</v>
      </c>
      <c r="M102" s="3">
        <v>14.99</v>
      </c>
      <c r="N102" s="2" t="s">
        <v>163</v>
      </c>
      <c r="O102" s="3">
        <v>3</v>
      </c>
      <c r="P102" s="3">
        <v>5.99</v>
      </c>
      <c r="Q102" s="3">
        <v>0.84</v>
      </c>
      <c r="R102" s="3">
        <v>18.82</v>
      </c>
      <c r="S102" s="2" t="s">
        <v>35</v>
      </c>
      <c r="T102" s="2" t="s">
        <v>99</v>
      </c>
      <c r="U102" s="2" t="s">
        <v>317</v>
      </c>
      <c r="V102" s="2"/>
      <c r="W102" s="3">
        <v>0</v>
      </c>
    </row>
    <row r="103" spans="1:23" x14ac:dyDescent="0.3">
      <c r="A103" s="4" t="s">
        <v>843</v>
      </c>
      <c r="B103" s="4" t="s">
        <v>701</v>
      </c>
      <c r="C103" s="4" t="s">
        <v>844</v>
      </c>
      <c r="D103" s="4" t="s">
        <v>845</v>
      </c>
      <c r="E103" s="4" t="s">
        <v>846</v>
      </c>
      <c r="F103" s="4" t="s">
        <v>847</v>
      </c>
      <c r="G103" s="4" t="s">
        <v>207</v>
      </c>
      <c r="H103" s="4" t="s">
        <v>141</v>
      </c>
      <c r="I103" s="4" t="s">
        <v>31</v>
      </c>
      <c r="J103" s="4" t="s">
        <v>848</v>
      </c>
      <c r="K103" s="4" t="s">
        <v>143</v>
      </c>
      <c r="L103" s="4">
        <v>2</v>
      </c>
      <c r="M103" s="5">
        <v>94.98</v>
      </c>
      <c r="N103" s="4" t="s">
        <v>34</v>
      </c>
      <c r="O103" s="5">
        <v>0</v>
      </c>
      <c r="P103" s="5">
        <v>0</v>
      </c>
      <c r="Q103" s="5">
        <v>5.7</v>
      </c>
      <c r="R103" s="5">
        <v>100.68</v>
      </c>
      <c r="S103" s="4" t="s">
        <v>79</v>
      </c>
      <c r="T103" s="4" t="s">
        <v>173</v>
      </c>
      <c r="U103" s="4" t="s">
        <v>66</v>
      </c>
      <c r="V103" s="4" t="s">
        <v>849</v>
      </c>
      <c r="W103" s="5">
        <v>0</v>
      </c>
    </row>
    <row r="104" spans="1:23" x14ac:dyDescent="0.3">
      <c r="A104" s="2" t="s">
        <v>850</v>
      </c>
      <c r="B104" s="2" t="s">
        <v>851</v>
      </c>
      <c r="C104" s="2" t="s">
        <v>852</v>
      </c>
      <c r="D104" s="2" t="s">
        <v>853</v>
      </c>
      <c r="E104" s="2" t="s">
        <v>854</v>
      </c>
      <c r="F104" s="2" t="s">
        <v>855</v>
      </c>
      <c r="G104" s="2" t="s">
        <v>323</v>
      </c>
      <c r="H104" s="2" t="s">
        <v>324</v>
      </c>
      <c r="I104" s="2" t="s">
        <v>31</v>
      </c>
      <c r="J104" s="2" t="s">
        <v>856</v>
      </c>
      <c r="K104" s="2" t="s">
        <v>209</v>
      </c>
      <c r="L104" s="2">
        <v>1</v>
      </c>
      <c r="M104" s="3">
        <v>179.98</v>
      </c>
      <c r="N104" s="2" t="s">
        <v>49</v>
      </c>
      <c r="O104" s="3">
        <v>27</v>
      </c>
      <c r="P104" s="3">
        <v>0</v>
      </c>
      <c r="Q104" s="3">
        <v>10.71</v>
      </c>
      <c r="R104" s="3">
        <v>163.69</v>
      </c>
      <c r="S104" s="2" t="s">
        <v>111</v>
      </c>
      <c r="T104" s="2" t="s">
        <v>144</v>
      </c>
      <c r="U104" s="2" t="s">
        <v>317</v>
      </c>
      <c r="V104" s="2"/>
      <c r="W104" s="3">
        <v>0</v>
      </c>
    </row>
    <row r="105" spans="1:23" x14ac:dyDescent="0.3">
      <c r="A105" s="4" t="s">
        <v>857</v>
      </c>
      <c r="B105" s="4" t="s">
        <v>858</v>
      </c>
      <c r="C105" s="4" t="s">
        <v>859</v>
      </c>
      <c r="D105" s="4" t="s">
        <v>860</v>
      </c>
      <c r="E105" s="4" t="s">
        <v>861</v>
      </c>
      <c r="F105" s="4" t="s">
        <v>862</v>
      </c>
      <c r="G105" s="4" t="s">
        <v>428</v>
      </c>
      <c r="H105" s="4" t="s">
        <v>429</v>
      </c>
      <c r="I105" s="4" t="s">
        <v>31</v>
      </c>
      <c r="J105" s="4" t="s">
        <v>661</v>
      </c>
      <c r="K105" s="4" t="s">
        <v>143</v>
      </c>
      <c r="L105" s="4">
        <v>1</v>
      </c>
      <c r="M105" s="5">
        <v>79.989999999999995</v>
      </c>
      <c r="N105" s="4" t="s">
        <v>63</v>
      </c>
      <c r="O105" s="5">
        <v>20</v>
      </c>
      <c r="P105" s="5">
        <v>0</v>
      </c>
      <c r="Q105" s="5">
        <v>4.8</v>
      </c>
      <c r="R105" s="5">
        <v>64.790000000000006</v>
      </c>
      <c r="S105" s="4" t="s">
        <v>332</v>
      </c>
      <c r="T105" s="4" t="s">
        <v>36</v>
      </c>
      <c r="U105" s="4" t="s">
        <v>66</v>
      </c>
      <c r="V105" s="4" t="s">
        <v>863</v>
      </c>
      <c r="W105" s="5">
        <v>0</v>
      </c>
    </row>
    <row r="106" spans="1:23" x14ac:dyDescent="0.3">
      <c r="A106" s="2" t="s">
        <v>864</v>
      </c>
      <c r="B106" s="2" t="s">
        <v>865</v>
      </c>
      <c r="C106" s="2" t="s">
        <v>866</v>
      </c>
      <c r="D106" s="2" t="s">
        <v>867</v>
      </c>
      <c r="E106" s="2" t="s">
        <v>868</v>
      </c>
      <c r="F106" s="2" t="s">
        <v>869</v>
      </c>
      <c r="G106" s="2" t="s">
        <v>394</v>
      </c>
      <c r="H106" s="2" t="s">
        <v>395</v>
      </c>
      <c r="I106" s="2" t="s">
        <v>31</v>
      </c>
      <c r="J106" s="2" t="s">
        <v>870</v>
      </c>
      <c r="K106" s="2" t="s">
        <v>143</v>
      </c>
      <c r="L106" s="2">
        <v>2</v>
      </c>
      <c r="M106" s="3">
        <v>129.97999999999999</v>
      </c>
      <c r="N106" s="2" t="s">
        <v>78</v>
      </c>
      <c r="O106" s="3">
        <v>13</v>
      </c>
      <c r="P106" s="3">
        <v>0</v>
      </c>
      <c r="Q106" s="3">
        <v>9.94</v>
      </c>
      <c r="R106" s="3">
        <v>126.92</v>
      </c>
      <c r="S106" s="2" t="s">
        <v>123</v>
      </c>
      <c r="T106" s="2" t="s">
        <v>99</v>
      </c>
      <c r="U106" s="2" t="s">
        <v>37</v>
      </c>
      <c r="V106" s="2" t="s">
        <v>342</v>
      </c>
      <c r="W106" s="3">
        <v>126.92</v>
      </c>
    </row>
    <row r="107" spans="1:23" x14ac:dyDescent="0.3">
      <c r="A107" s="4" t="s">
        <v>871</v>
      </c>
      <c r="B107" s="4" t="s">
        <v>752</v>
      </c>
      <c r="C107" s="4" t="s">
        <v>872</v>
      </c>
      <c r="D107" s="4" t="s">
        <v>873</v>
      </c>
      <c r="E107" s="4" t="s">
        <v>874</v>
      </c>
      <c r="F107" s="4" t="s">
        <v>875</v>
      </c>
      <c r="G107" s="4" t="s">
        <v>59</v>
      </c>
      <c r="H107" s="4" t="s">
        <v>60</v>
      </c>
      <c r="I107" s="4" t="s">
        <v>31</v>
      </c>
      <c r="J107" s="4" t="s">
        <v>876</v>
      </c>
      <c r="K107" s="4" t="s">
        <v>143</v>
      </c>
      <c r="L107" s="4">
        <v>3</v>
      </c>
      <c r="M107" s="5">
        <v>203.97</v>
      </c>
      <c r="N107" s="4" t="s">
        <v>78</v>
      </c>
      <c r="O107" s="5">
        <v>20.399999999999999</v>
      </c>
      <c r="P107" s="5">
        <v>0</v>
      </c>
      <c r="Q107" s="5">
        <v>18.36</v>
      </c>
      <c r="R107" s="5">
        <v>201.93</v>
      </c>
      <c r="S107" s="4" t="s">
        <v>35</v>
      </c>
      <c r="T107" s="4" t="s">
        <v>173</v>
      </c>
      <c r="U107" s="4" t="s">
        <v>66</v>
      </c>
      <c r="V107" s="4" t="s">
        <v>877</v>
      </c>
      <c r="W107" s="5">
        <v>0</v>
      </c>
    </row>
    <row r="108" spans="1:23" x14ac:dyDescent="0.3">
      <c r="A108" s="2" t="s">
        <v>878</v>
      </c>
      <c r="B108" s="2" t="s">
        <v>579</v>
      </c>
      <c r="C108" s="2" t="s">
        <v>879</v>
      </c>
      <c r="D108" s="2" t="s">
        <v>880</v>
      </c>
      <c r="E108" s="2" t="s">
        <v>881</v>
      </c>
      <c r="F108" s="2" t="s">
        <v>882</v>
      </c>
      <c r="G108" s="2" t="s">
        <v>160</v>
      </c>
      <c r="H108" s="2" t="s">
        <v>161</v>
      </c>
      <c r="I108" s="2" t="s">
        <v>31</v>
      </c>
      <c r="J108" s="2" t="s">
        <v>883</v>
      </c>
      <c r="K108" s="2" t="s">
        <v>110</v>
      </c>
      <c r="L108" s="2">
        <v>1</v>
      </c>
      <c r="M108" s="3">
        <v>65.98</v>
      </c>
      <c r="N108" s="2" t="s">
        <v>49</v>
      </c>
      <c r="O108" s="3">
        <v>9.9</v>
      </c>
      <c r="P108" s="3">
        <v>5.99</v>
      </c>
      <c r="Q108" s="3">
        <v>5.61</v>
      </c>
      <c r="R108" s="3">
        <v>67.680000000000007</v>
      </c>
      <c r="S108" s="2" t="s">
        <v>35</v>
      </c>
      <c r="T108" s="2" t="s">
        <v>36</v>
      </c>
      <c r="U108" s="2" t="s">
        <v>66</v>
      </c>
      <c r="V108" s="2" t="s">
        <v>175</v>
      </c>
      <c r="W108" s="3">
        <v>0</v>
      </c>
    </row>
    <row r="109" spans="1:23" x14ac:dyDescent="0.3">
      <c r="A109" s="4" t="s">
        <v>884</v>
      </c>
      <c r="B109" s="4" t="s">
        <v>380</v>
      </c>
      <c r="C109" s="4" t="s">
        <v>885</v>
      </c>
      <c r="D109" s="4" t="s">
        <v>886</v>
      </c>
      <c r="E109" s="4" t="s">
        <v>887</v>
      </c>
      <c r="F109" s="4" t="s">
        <v>888</v>
      </c>
      <c r="G109" s="4" t="s">
        <v>119</v>
      </c>
      <c r="H109" s="4" t="s">
        <v>120</v>
      </c>
      <c r="I109" s="4" t="s">
        <v>31</v>
      </c>
      <c r="J109" s="4" t="s">
        <v>889</v>
      </c>
      <c r="K109" s="4" t="s">
        <v>62</v>
      </c>
      <c r="L109" s="4">
        <v>3</v>
      </c>
      <c r="M109" s="5">
        <v>419.94</v>
      </c>
      <c r="N109" s="4" t="s">
        <v>63</v>
      </c>
      <c r="O109" s="5">
        <v>104.99</v>
      </c>
      <c r="P109" s="5">
        <v>0</v>
      </c>
      <c r="Q109" s="5">
        <v>22.05</v>
      </c>
      <c r="R109" s="5">
        <v>337</v>
      </c>
      <c r="S109" s="4" t="s">
        <v>64</v>
      </c>
      <c r="T109" s="4" t="s">
        <v>325</v>
      </c>
      <c r="U109" s="4" t="s">
        <v>100</v>
      </c>
      <c r="V109" s="4"/>
      <c r="W109" s="5">
        <v>0</v>
      </c>
    </row>
    <row r="110" spans="1:23" x14ac:dyDescent="0.3">
      <c r="A110" s="2" t="s">
        <v>890</v>
      </c>
      <c r="B110" s="2" t="s">
        <v>891</v>
      </c>
      <c r="C110" s="2" t="s">
        <v>892</v>
      </c>
      <c r="D110" s="2" t="s">
        <v>893</v>
      </c>
      <c r="E110" s="2" t="s">
        <v>894</v>
      </c>
      <c r="F110" s="2" t="s">
        <v>895</v>
      </c>
      <c r="G110" s="2" t="s">
        <v>207</v>
      </c>
      <c r="H110" s="2" t="s">
        <v>141</v>
      </c>
      <c r="I110" s="2" t="s">
        <v>31</v>
      </c>
      <c r="J110" s="2" t="s">
        <v>896</v>
      </c>
      <c r="K110" s="2" t="s">
        <v>62</v>
      </c>
      <c r="L110" s="2">
        <v>2</v>
      </c>
      <c r="M110" s="3">
        <v>126.97</v>
      </c>
      <c r="N110" s="2" t="s">
        <v>78</v>
      </c>
      <c r="O110" s="3">
        <v>12.7</v>
      </c>
      <c r="P110" s="3">
        <v>0</v>
      </c>
      <c r="Q110" s="3">
        <v>10.28</v>
      </c>
      <c r="R110" s="3">
        <v>124.55</v>
      </c>
      <c r="S110" s="2" t="s">
        <v>123</v>
      </c>
      <c r="T110" s="2" t="s">
        <v>50</v>
      </c>
      <c r="U110" s="2" t="s">
        <v>66</v>
      </c>
      <c r="V110" s="2" t="s">
        <v>897</v>
      </c>
      <c r="W110" s="3">
        <v>0</v>
      </c>
    </row>
    <row r="111" spans="1:23" x14ac:dyDescent="0.3">
      <c r="A111" s="4" t="s">
        <v>898</v>
      </c>
      <c r="B111" s="4" t="s">
        <v>579</v>
      </c>
      <c r="C111" s="4" t="s">
        <v>899</v>
      </c>
      <c r="D111" s="4" t="s">
        <v>900</v>
      </c>
      <c r="E111" s="4" t="s">
        <v>901</v>
      </c>
      <c r="F111" s="4" t="s">
        <v>902</v>
      </c>
      <c r="G111" s="4" t="s">
        <v>692</v>
      </c>
      <c r="H111" s="4" t="s">
        <v>693</v>
      </c>
      <c r="I111" s="4" t="s">
        <v>31</v>
      </c>
      <c r="J111" s="4" t="s">
        <v>903</v>
      </c>
      <c r="K111" s="4" t="s">
        <v>62</v>
      </c>
      <c r="L111" s="4">
        <v>1</v>
      </c>
      <c r="M111" s="5">
        <v>74.97</v>
      </c>
      <c r="N111" s="4" t="s">
        <v>78</v>
      </c>
      <c r="O111" s="5">
        <v>7.5</v>
      </c>
      <c r="P111" s="5">
        <v>7.99</v>
      </c>
      <c r="Q111" s="5">
        <v>4.05</v>
      </c>
      <c r="R111" s="5">
        <v>79.510000000000005</v>
      </c>
      <c r="S111" s="4" t="s">
        <v>64</v>
      </c>
      <c r="T111" s="4" t="s">
        <v>173</v>
      </c>
      <c r="U111" s="4" t="s">
        <v>317</v>
      </c>
      <c r="V111" s="4"/>
      <c r="W111" s="5">
        <v>0</v>
      </c>
    </row>
    <row r="112" spans="1:23" x14ac:dyDescent="0.3">
      <c r="A112" s="2" t="s">
        <v>904</v>
      </c>
      <c r="B112" s="2" t="s">
        <v>609</v>
      </c>
      <c r="C112" s="2" t="s">
        <v>905</v>
      </c>
      <c r="D112" s="2" t="s">
        <v>906</v>
      </c>
      <c r="E112" s="2" t="s">
        <v>907</v>
      </c>
      <c r="F112" s="2" t="s">
        <v>908</v>
      </c>
      <c r="G112" s="2" t="s">
        <v>190</v>
      </c>
      <c r="H112" s="2" t="s">
        <v>161</v>
      </c>
      <c r="I112" s="2" t="s">
        <v>31</v>
      </c>
      <c r="J112" s="2" t="s">
        <v>909</v>
      </c>
      <c r="K112" s="2" t="s">
        <v>122</v>
      </c>
      <c r="L112" s="2">
        <v>1</v>
      </c>
      <c r="M112" s="3">
        <v>219.98</v>
      </c>
      <c r="N112" s="2" t="s">
        <v>34</v>
      </c>
      <c r="O112" s="3">
        <v>0</v>
      </c>
      <c r="P112" s="3">
        <v>0</v>
      </c>
      <c r="Q112" s="3">
        <v>15.4</v>
      </c>
      <c r="R112" s="3">
        <v>235.38</v>
      </c>
      <c r="S112" s="2" t="s">
        <v>332</v>
      </c>
      <c r="T112" s="2" t="s">
        <v>99</v>
      </c>
      <c r="U112" s="2" t="s">
        <v>37</v>
      </c>
      <c r="V112" s="2" t="s">
        <v>133</v>
      </c>
      <c r="W112" s="3">
        <v>235.38</v>
      </c>
    </row>
    <row r="113" spans="1:23" x14ac:dyDescent="0.3">
      <c r="A113" s="4" t="s">
        <v>910</v>
      </c>
      <c r="B113" s="4" t="s">
        <v>542</v>
      </c>
      <c r="C113" s="4" t="s">
        <v>911</v>
      </c>
      <c r="D113" s="4" t="s">
        <v>912</v>
      </c>
      <c r="E113" s="4" t="s">
        <v>913</v>
      </c>
      <c r="F113" s="4" t="s">
        <v>914</v>
      </c>
      <c r="G113" s="4" t="s">
        <v>282</v>
      </c>
      <c r="H113" s="4" t="s">
        <v>88</v>
      </c>
      <c r="I113" s="4" t="s">
        <v>31</v>
      </c>
      <c r="J113" s="4" t="s">
        <v>577</v>
      </c>
      <c r="K113" s="4" t="s">
        <v>364</v>
      </c>
      <c r="L113" s="4">
        <v>1</v>
      </c>
      <c r="M113" s="5">
        <v>19.989999999999998</v>
      </c>
      <c r="N113" s="4" t="s">
        <v>163</v>
      </c>
      <c r="O113" s="5">
        <v>4</v>
      </c>
      <c r="P113" s="5">
        <v>4.99</v>
      </c>
      <c r="Q113" s="5">
        <v>1.6</v>
      </c>
      <c r="R113" s="5">
        <v>22.58</v>
      </c>
      <c r="S113" s="4" t="s">
        <v>332</v>
      </c>
      <c r="T113" s="4" t="s">
        <v>99</v>
      </c>
      <c r="U113" s="4" t="s">
        <v>37</v>
      </c>
      <c r="V113" s="4" t="s">
        <v>915</v>
      </c>
      <c r="W113" s="5">
        <v>22.58</v>
      </c>
    </row>
    <row r="114" spans="1:23" x14ac:dyDescent="0.3">
      <c r="A114" s="2" t="s">
        <v>916</v>
      </c>
      <c r="B114" s="2" t="s">
        <v>917</v>
      </c>
      <c r="C114" s="2" t="s">
        <v>918</v>
      </c>
      <c r="D114" s="2" t="s">
        <v>919</v>
      </c>
      <c r="E114" s="2" t="s">
        <v>920</v>
      </c>
      <c r="F114" s="2" t="s">
        <v>921</v>
      </c>
      <c r="G114" s="2" t="s">
        <v>347</v>
      </c>
      <c r="H114" s="2" t="s">
        <v>60</v>
      </c>
      <c r="I114" s="2" t="s">
        <v>31</v>
      </c>
      <c r="J114" s="2" t="s">
        <v>316</v>
      </c>
      <c r="K114" s="2" t="s">
        <v>48</v>
      </c>
      <c r="L114" s="2">
        <v>1</v>
      </c>
      <c r="M114" s="3">
        <v>34.99</v>
      </c>
      <c r="N114" s="2" t="s">
        <v>152</v>
      </c>
      <c r="O114" s="3">
        <v>1.75</v>
      </c>
      <c r="P114" s="3">
        <v>5.99</v>
      </c>
      <c r="Q114" s="3">
        <v>2.99</v>
      </c>
      <c r="R114" s="3">
        <v>42.22</v>
      </c>
      <c r="S114" s="2" t="s">
        <v>332</v>
      </c>
      <c r="T114" s="2" t="s">
        <v>65</v>
      </c>
      <c r="U114" s="2" t="s">
        <v>66</v>
      </c>
      <c r="V114" s="2" t="s">
        <v>922</v>
      </c>
      <c r="W114" s="3">
        <v>0</v>
      </c>
    </row>
    <row r="115" spans="1:23" x14ac:dyDescent="0.3">
      <c r="A115" s="4" t="s">
        <v>923</v>
      </c>
      <c r="B115" s="4" t="s">
        <v>924</v>
      </c>
      <c r="C115" s="4" t="s">
        <v>925</v>
      </c>
      <c r="D115" s="4" t="s">
        <v>926</v>
      </c>
      <c r="E115" s="4" t="s">
        <v>927</v>
      </c>
      <c r="F115" s="4" t="s">
        <v>928</v>
      </c>
      <c r="G115" s="4" t="s">
        <v>242</v>
      </c>
      <c r="H115" s="4" t="s">
        <v>243</v>
      </c>
      <c r="I115" s="4" t="s">
        <v>31</v>
      </c>
      <c r="J115" s="4" t="s">
        <v>929</v>
      </c>
      <c r="K115" s="4" t="s">
        <v>62</v>
      </c>
      <c r="L115" s="4">
        <v>5</v>
      </c>
      <c r="M115" s="5">
        <v>289.93</v>
      </c>
      <c r="N115" s="4" t="s">
        <v>63</v>
      </c>
      <c r="O115" s="5">
        <v>72.48</v>
      </c>
      <c r="P115" s="5">
        <v>0</v>
      </c>
      <c r="Q115" s="5">
        <v>19.57</v>
      </c>
      <c r="R115" s="5">
        <v>237.02</v>
      </c>
      <c r="S115" s="4" t="s">
        <v>123</v>
      </c>
      <c r="T115" s="4" t="s">
        <v>50</v>
      </c>
      <c r="U115" s="4" t="s">
        <v>37</v>
      </c>
      <c r="V115" s="4" t="s">
        <v>930</v>
      </c>
      <c r="W115" s="5">
        <v>237.02</v>
      </c>
    </row>
    <row r="116" spans="1:23" x14ac:dyDescent="0.3">
      <c r="A116" s="2" t="s">
        <v>931</v>
      </c>
      <c r="B116" s="2" t="s">
        <v>932</v>
      </c>
      <c r="C116" s="2" t="s">
        <v>933</v>
      </c>
      <c r="D116" s="2" t="s">
        <v>934</v>
      </c>
      <c r="E116" s="2" t="s">
        <v>935</v>
      </c>
      <c r="F116" s="2" t="s">
        <v>936</v>
      </c>
      <c r="G116" s="2" t="s">
        <v>29</v>
      </c>
      <c r="H116" s="2" t="s">
        <v>30</v>
      </c>
      <c r="I116" s="2" t="s">
        <v>31</v>
      </c>
      <c r="J116" s="2" t="s">
        <v>937</v>
      </c>
      <c r="K116" s="2" t="s">
        <v>48</v>
      </c>
      <c r="L116" s="2">
        <v>3</v>
      </c>
      <c r="M116" s="3">
        <v>117.97</v>
      </c>
      <c r="N116" s="2" t="s">
        <v>49</v>
      </c>
      <c r="O116" s="3">
        <v>17.7</v>
      </c>
      <c r="P116" s="3">
        <v>0</v>
      </c>
      <c r="Q116" s="3">
        <v>8.52</v>
      </c>
      <c r="R116" s="3">
        <v>108.79</v>
      </c>
      <c r="S116" s="2" t="s">
        <v>123</v>
      </c>
      <c r="T116" s="2" t="s">
        <v>99</v>
      </c>
      <c r="U116" s="2" t="s">
        <v>66</v>
      </c>
      <c r="V116" s="2" t="s">
        <v>703</v>
      </c>
      <c r="W116" s="3">
        <v>0</v>
      </c>
    </row>
    <row r="117" spans="1:23" x14ac:dyDescent="0.3">
      <c r="A117" s="4" t="s">
        <v>938</v>
      </c>
      <c r="B117" s="4" t="s">
        <v>625</v>
      </c>
      <c r="C117" s="4" t="s">
        <v>939</v>
      </c>
      <c r="D117" s="4" t="s">
        <v>940</v>
      </c>
      <c r="E117" s="4" t="s">
        <v>941</v>
      </c>
      <c r="F117" s="4" t="s">
        <v>942</v>
      </c>
      <c r="G117" s="4" t="s">
        <v>87</v>
      </c>
      <c r="H117" s="4" t="s">
        <v>88</v>
      </c>
      <c r="I117" s="4" t="s">
        <v>31</v>
      </c>
      <c r="J117" s="4" t="s">
        <v>191</v>
      </c>
      <c r="K117" s="4" t="s">
        <v>77</v>
      </c>
      <c r="L117" s="4">
        <v>1</v>
      </c>
      <c r="M117" s="5">
        <v>24.99</v>
      </c>
      <c r="N117" s="4" t="s">
        <v>152</v>
      </c>
      <c r="O117" s="5">
        <v>1.25</v>
      </c>
      <c r="P117" s="5">
        <v>4.99</v>
      </c>
      <c r="Q117" s="5">
        <v>1.9</v>
      </c>
      <c r="R117" s="5">
        <v>30.63</v>
      </c>
      <c r="S117" s="4" t="s">
        <v>64</v>
      </c>
      <c r="T117" s="4" t="s">
        <v>144</v>
      </c>
      <c r="U117" s="4" t="s">
        <v>66</v>
      </c>
      <c r="V117" s="4" t="s">
        <v>943</v>
      </c>
      <c r="W117" s="5">
        <v>0</v>
      </c>
    </row>
    <row r="118" spans="1:23" x14ac:dyDescent="0.3">
      <c r="A118" s="2" t="s">
        <v>944</v>
      </c>
      <c r="B118" s="2" t="s">
        <v>945</v>
      </c>
      <c r="C118" s="2" t="s">
        <v>946</v>
      </c>
      <c r="D118" s="2" t="s">
        <v>947</v>
      </c>
      <c r="E118" s="2" t="s">
        <v>948</v>
      </c>
      <c r="F118" s="2" t="s">
        <v>949</v>
      </c>
      <c r="G118" s="2" t="s">
        <v>207</v>
      </c>
      <c r="H118" s="2" t="s">
        <v>141</v>
      </c>
      <c r="I118" s="2" t="s">
        <v>31</v>
      </c>
      <c r="J118" s="2" t="s">
        <v>950</v>
      </c>
      <c r="K118" s="2" t="s">
        <v>77</v>
      </c>
      <c r="L118" s="2">
        <v>4</v>
      </c>
      <c r="M118" s="3">
        <v>205.95</v>
      </c>
      <c r="N118" s="2" t="s">
        <v>152</v>
      </c>
      <c r="O118" s="3">
        <v>10.3</v>
      </c>
      <c r="P118" s="3">
        <v>0</v>
      </c>
      <c r="Q118" s="3">
        <v>15.65</v>
      </c>
      <c r="R118" s="3">
        <v>211.3</v>
      </c>
      <c r="S118" s="2" t="s">
        <v>123</v>
      </c>
      <c r="T118" s="2" t="s">
        <v>173</v>
      </c>
      <c r="U118" s="2" t="s">
        <v>100</v>
      </c>
      <c r="V118" s="2"/>
      <c r="W118" s="3">
        <v>0</v>
      </c>
    </row>
    <row r="119" spans="1:23" x14ac:dyDescent="0.3">
      <c r="A119" s="4" t="s">
        <v>951</v>
      </c>
      <c r="B119" s="4" t="s">
        <v>952</v>
      </c>
      <c r="C119" s="4" t="s">
        <v>953</v>
      </c>
      <c r="D119" s="4" t="s">
        <v>954</v>
      </c>
      <c r="E119" s="4" t="s">
        <v>955</v>
      </c>
      <c r="F119" s="4" t="s">
        <v>956</v>
      </c>
      <c r="G119" s="4" t="s">
        <v>74</v>
      </c>
      <c r="H119" s="4" t="s">
        <v>75</v>
      </c>
      <c r="I119" s="4" t="s">
        <v>31</v>
      </c>
      <c r="J119" s="4" t="s">
        <v>151</v>
      </c>
      <c r="K119" s="4" t="s">
        <v>110</v>
      </c>
      <c r="L119" s="4">
        <v>1</v>
      </c>
      <c r="M119" s="5">
        <v>39.99</v>
      </c>
      <c r="N119" s="4" t="s">
        <v>63</v>
      </c>
      <c r="O119" s="5">
        <v>10</v>
      </c>
      <c r="P119" s="5">
        <v>5.99</v>
      </c>
      <c r="Q119" s="5">
        <v>2.7</v>
      </c>
      <c r="R119" s="5">
        <v>38.68</v>
      </c>
      <c r="S119" s="4" t="s">
        <v>123</v>
      </c>
      <c r="T119" s="4" t="s">
        <v>99</v>
      </c>
      <c r="U119" s="4" t="s">
        <v>37</v>
      </c>
      <c r="V119" s="4" t="s">
        <v>957</v>
      </c>
      <c r="W119" s="5">
        <v>38.68</v>
      </c>
    </row>
    <row r="120" spans="1:23" x14ac:dyDescent="0.3">
      <c r="A120" s="2" t="s">
        <v>958</v>
      </c>
      <c r="B120" s="2" t="s">
        <v>959</v>
      </c>
      <c r="C120" s="2" t="s">
        <v>960</v>
      </c>
      <c r="D120" s="2" t="s">
        <v>637</v>
      </c>
      <c r="E120" s="2" t="s">
        <v>961</v>
      </c>
      <c r="F120" s="2" t="s">
        <v>962</v>
      </c>
      <c r="G120" s="2" t="s">
        <v>180</v>
      </c>
      <c r="H120" s="2" t="s">
        <v>181</v>
      </c>
      <c r="I120" s="2" t="s">
        <v>31</v>
      </c>
      <c r="J120" s="2" t="s">
        <v>963</v>
      </c>
      <c r="K120" s="2" t="s">
        <v>143</v>
      </c>
      <c r="L120" s="2">
        <v>2</v>
      </c>
      <c r="M120" s="3">
        <v>99.98</v>
      </c>
      <c r="N120" s="2" t="s">
        <v>163</v>
      </c>
      <c r="O120" s="3">
        <v>20</v>
      </c>
      <c r="P120" s="3">
        <v>0</v>
      </c>
      <c r="Q120" s="3">
        <v>8</v>
      </c>
      <c r="R120" s="3">
        <v>87.98</v>
      </c>
      <c r="S120" s="2" t="s">
        <v>332</v>
      </c>
      <c r="T120" s="2" t="s">
        <v>144</v>
      </c>
      <c r="U120" s="2" t="s">
        <v>317</v>
      </c>
      <c r="V120" s="2"/>
      <c r="W120" s="3">
        <v>0</v>
      </c>
    </row>
    <row r="121" spans="1:23" x14ac:dyDescent="0.3">
      <c r="A121" s="4" t="s">
        <v>964</v>
      </c>
      <c r="B121" s="4" t="s">
        <v>965</v>
      </c>
      <c r="C121" s="4" t="s">
        <v>966</v>
      </c>
      <c r="D121" s="4" t="s">
        <v>967</v>
      </c>
      <c r="E121" s="4" t="s">
        <v>968</v>
      </c>
      <c r="F121" s="4" t="s">
        <v>969</v>
      </c>
      <c r="G121" s="4" t="s">
        <v>180</v>
      </c>
      <c r="H121" s="4" t="s">
        <v>181</v>
      </c>
      <c r="I121" s="4" t="s">
        <v>31</v>
      </c>
      <c r="J121" s="4" t="s">
        <v>970</v>
      </c>
      <c r="K121" s="4" t="s">
        <v>209</v>
      </c>
      <c r="L121" s="4">
        <v>1</v>
      </c>
      <c r="M121" s="5">
        <v>149.97</v>
      </c>
      <c r="N121" s="4" t="s">
        <v>34</v>
      </c>
      <c r="O121" s="5">
        <v>0</v>
      </c>
      <c r="P121" s="5">
        <v>0</v>
      </c>
      <c r="Q121" s="5">
        <v>12.75</v>
      </c>
      <c r="R121" s="5">
        <v>162.72</v>
      </c>
      <c r="S121" s="4" t="s">
        <v>35</v>
      </c>
      <c r="T121" s="4" t="s">
        <v>173</v>
      </c>
      <c r="U121" s="4" t="s">
        <v>66</v>
      </c>
      <c r="V121" s="4" t="s">
        <v>971</v>
      </c>
      <c r="W121" s="5">
        <v>0</v>
      </c>
    </row>
    <row r="122" spans="1:23" x14ac:dyDescent="0.3">
      <c r="A122" s="2" t="s">
        <v>972</v>
      </c>
      <c r="B122" s="2" t="s">
        <v>155</v>
      </c>
      <c r="C122" s="2" t="s">
        <v>973</v>
      </c>
      <c r="D122" s="2" t="s">
        <v>974</v>
      </c>
      <c r="E122" s="2" t="s">
        <v>975</v>
      </c>
      <c r="F122" s="2" t="s">
        <v>976</v>
      </c>
      <c r="G122" s="2" t="s">
        <v>180</v>
      </c>
      <c r="H122" s="2" t="s">
        <v>181</v>
      </c>
      <c r="I122" s="2" t="s">
        <v>31</v>
      </c>
      <c r="J122" s="2" t="s">
        <v>977</v>
      </c>
      <c r="K122" s="2" t="s">
        <v>77</v>
      </c>
      <c r="L122" s="2">
        <v>2</v>
      </c>
      <c r="M122" s="3">
        <v>67.98</v>
      </c>
      <c r="N122" s="2" t="s">
        <v>63</v>
      </c>
      <c r="O122" s="3">
        <v>17</v>
      </c>
      <c r="P122" s="3">
        <v>5.99</v>
      </c>
      <c r="Q122" s="3">
        <v>5.0999999999999996</v>
      </c>
      <c r="R122" s="3">
        <v>62.07</v>
      </c>
      <c r="S122" s="2" t="s">
        <v>437</v>
      </c>
      <c r="T122" s="2" t="s">
        <v>183</v>
      </c>
      <c r="U122" s="2" t="s">
        <v>66</v>
      </c>
      <c r="V122" s="2" t="s">
        <v>24</v>
      </c>
      <c r="W122" s="3">
        <v>0</v>
      </c>
    </row>
    <row r="123" spans="1:23" x14ac:dyDescent="0.3">
      <c r="A123" s="4" t="s">
        <v>978</v>
      </c>
      <c r="B123" s="4" t="s">
        <v>227</v>
      </c>
      <c r="C123" s="4" t="s">
        <v>979</v>
      </c>
      <c r="D123" s="4" t="s">
        <v>980</v>
      </c>
      <c r="E123" s="4" t="s">
        <v>981</v>
      </c>
      <c r="F123" s="4" t="s">
        <v>982</v>
      </c>
      <c r="G123" s="4" t="s">
        <v>171</v>
      </c>
      <c r="H123" s="4" t="s">
        <v>88</v>
      </c>
      <c r="I123" s="4" t="s">
        <v>31</v>
      </c>
      <c r="J123" s="4" t="s">
        <v>983</v>
      </c>
      <c r="K123" s="4" t="s">
        <v>122</v>
      </c>
      <c r="L123" s="4">
        <v>1</v>
      </c>
      <c r="M123" s="5">
        <v>209.97</v>
      </c>
      <c r="N123" s="4" t="s">
        <v>34</v>
      </c>
      <c r="O123" s="5">
        <v>0</v>
      </c>
      <c r="P123" s="5">
        <v>0</v>
      </c>
      <c r="Q123" s="5">
        <v>12.6</v>
      </c>
      <c r="R123" s="5">
        <v>222.57</v>
      </c>
      <c r="S123" s="4" t="s">
        <v>332</v>
      </c>
      <c r="T123" s="4" t="s">
        <v>173</v>
      </c>
      <c r="U123" s="4" t="s">
        <v>66</v>
      </c>
      <c r="V123" s="4" t="s">
        <v>984</v>
      </c>
      <c r="W123" s="5">
        <v>0</v>
      </c>
    </row>
    <row r="124" spans="1:23" x14ac:dyDescent="0.3">
      <c r="A124" s="2" t="s">
        <v>985</v>
      </c>
      <c r="B124" s="2" t="s">
        <v>986</v>
      </c>
      <c r="C124" s="2" t="s">
        <v>987</v>
      </c>
      <c r="D124" s="2" t="s">
        <v>988</v>
      </c>
      <c r="E124" s="2" t="s">
        <v>989</v>
      </c>
      <c r="F124" s="2" t="s">
        <v>990</v>
      </c>
      <c r="G124" s="2" t="s">
        <v>45</v>
      </c>
      <c r="H124" s="2" t="s">
        <v>46</v>
      </c>
      <c r="I124" s="2" t="s">
        <v>31</v>
      </c>
      <c r="J124" s="2" t="s">
        <v>991</v>
      </c>
      <c r="K124" s="2" t="s">
        <v>364</v>
      </c>
      <c r="L124" s="2">
        <v>3</v>
      </c>
      <c r="M124" s="3">
        <v>194.95</v>
      </c>
      <c r="N124" s="2" t="s">
        <v>34</v>
      </c>
      <c r="O124" s="3">
        <v>0</v>
      </c>
      <c r="P124" s="3">
        <v>0</v>
      </c>
      <c r="Q124" s="3">
        <v>17.55</v>
      </c>
      <c r="R124" s="3">
        <v>212.5</v>
      </c>
      <c r="S124" s="2" t="s">
        <v>98</v>
      </c>
      <c r="T124" s="2" t="s">
        <v>99</v>
      </c>
      <c r="U124" s="2" t="s">
        <v>51</v>
      </c>
      <c r="V124" s="2" t="s">
        <v>992</v>
      </c>
      <c r="W124" s="3">
        <v>0</v>
      </c>
    </row>
    <row r="125" spans="1:23" x14ac:dyDescent="0.3">
      <c r="A125" s="4" t="s">
        <v>993</v>
      </c>
      <c r="B125" s="4" t="s">
        <v>994</v>
      </c>
      <c r="C125" s="4" t="s">
        <v>995</v>
      </c>
      <c r="D125" s="4" t="s">
        <v>996</v>
      </c>
      <c r="E125" s="4" t="s">
        <v>997</v>
      </c>
      <c r="F125" s="4" t="s">
        <v>998</v>
      </c>
      <c r="G125" s="4" t="s">
        <v>291</v>
      </c>
      <c r="H125" s="4" t="s">
        <v>292</v>
      </c>
      <c r="I125" s="4" t="s">
        <v>31</v>
      </c>
      <c r="J125" s="4" t="s">
        <v>283</v>
      </c>
      <c r="K125" s="4" t="s">
        <v>209</v>
      </c>
      <c r="L125" s="4">
        <v>1</v>
      </c>
      <c r="M125" s="5">
        <v>49.99</v>
      </c>
      <c r="N125" s="4" t="s">
        <v>152</v>
      </c>
      <c r="O125" s="5">
        <v>2.5</v>
      </c>
      <c r="P125" s="5">
        <v>5.99</v>
      </c>
      <c r="Q125" s="5">
        <v>4.75</v>
      </c>
      <c r="R125" s="5">
        <v>58.23</v>
      </c>
      <c r="S125" s="4" t="s">
        <v>64</v>
      </c>
      <c r="T125" s="4" t="s">
        <v>36</v>
      </c>
      <c r="U125" s="4" t="s">
        <v>66</v>
      </c>
      <c r="V125" s="4" t="s">
        <v>311</v>
      </c>
      <c r="W125" s="5">
        <v>0</v>
      </c>
    </row>
    <row r="126" spans="1:23" x14ac:dyDescent="0.3">
      <c r="A126" s="2" t="s">
        <v>999</v>
      </c>
      <c r="B126" s="2" t="s">
        <v>1000</v>
      </c>
      <c r="C126" s="2" t="s">
        <v>1001</v>
      </c>
      <c r="D126" s="2" t="s">
        <v>1002</v>
      </c>
      <c r="E126" s="2" t="s">
        <v>1003</v>
      </c>
      <c r="F126" s="2" t="s">
        <v>1004</v>
      </c>
      <c r="G126" s="2" t="s">
        <v>692</v>
      </c>
      <c r="H126" s="2" t="s">
        <v>693</v>
      </c>
      <c r="I126" s="2" t="s">
        <v>31</v>
      </c>
      <c r="J126" s="2" t="s">
        <v>316</v>
      </c>
      <c r="K126" s="2" t="s">
        <v>48</v>
      </c>
      <c r="L126" s="2">
        <v>1</v>
      </c>
      <c r="M126" s="3">
        <v>34.99</v>
      </c>
      <c r="N126" s="2" t="s">
        <v>34</v>
      </c>
      <c r="O126" s="3">
        <v>0</v>
      </c>
      <c r="P126" s="3">
        <v>5.99</v>
      </c>
      <c r="Q126" s="3">
        <v>2.8</v>
      </c>
      <c r="R126" s="3">
        <v>43.78</v>
      </c>
      <c r="S126" s="2" t="s">
        <v>111</v>
      </c>
      <c r="T126" s="2" t="s">
        <v>99</v>
      </c>
      <c r="U126" s="2" t="s">
        <v>100</v>
      </c>
      <c r="V126" s="2"/>
      <c r="W126" s="3">
        <v>0</v>
      </c>
    </row>
    <row r="127" spans="1:23" x14ac:dyDescent="0.3">
      <c r="A127" s="4" t="s">
        <v>1005</v>
      </c>
      <c r="B127" s="4" t="s">
        <v>1006</v>
      </c>
      <c r="C127" s="4" t="s">
        <v>1007</v>
      </c>
      <c r="D127" s="4" t="s">
        <v>1008</v>
      </c>
      <c r="E127" s="4" t="s">
        <v>1009</v>
      </c>
      <c r="F127" s="4" t="s">
        <v>1010</v>
      </c>
      <c r="G127" s="4" t="s">
        <v>640</v>
      </c>
      <c r="H127" s="4" t="s">
        <v>161</v>
      </c>
      <c r="I127" s="4" t="s">
        <v>31</v>
      </c>
      <c r="J127" s="4" t="s">
        <v>526</v>
      </c>
      <c r="K127" s="4" t="s">
        <v>110</v>
      </c>
      <c r="L127" s="4">
        <v>1</v>
      </c>
      <c r="M127" s="5">
        <v>32.99</v>
      </c>
      <c r="N127" s="4" t="s">
        <v>163</v>
      </c>
      <c r="O127" s="5">
        <v>6.6</v>
      </c>
      <c r="P127" s="5">
        <v>7.99</v>
      </c>
      <c r="Q127" s="5">
        <v>1.58</v>
      </c>
      <c r="R127" s="5">
        <v>35.96</v>
      </c>
      <c r="S127" s="4" t="s">
        <v>123</v>
      </c>
      <c r="T127" s="4" t="s">
        <v>183</v>
      </c>
      <c r="U127" s="4" t="s">
        <v>66</v>
      </c>
      <c r="V127" s="4" t="s">
        <v>333</v>
      </c>
      <c r="W127" s="5">
        <v>0</v>
      </c>
    </row>
    <row r="128" spans="1:23" x14ac:dyDescent="0.3">
      <c r="A128" s="2" t="s">
        <v>1011</v>
      </c>
      <c r="B128" s="2" t="s">
        <v>372</v>
      </c>
      <c r="C128" s="2" t="s">
        <v>1012</v>
      </c>
      <c r="D128" s="2" t="s">
        <v>1013</v>
      </c>
      <c r="E128" s="2" t="s">
        <v>1014</v>
      </c>
      <c r="F128" s="2" t="s">
        <v>1015</v>
      </c>
      <c r="G128" s="2" t="s">
        <v>242</v>
      </c>
      <c r="H128" s="2" t="s">
        <v>243</v>
      </c>
      <c r="I128" s="2" t="s">
        <v>31</v>
      </c>
      <c r="J128" s="2" t="s">
        <v>1016</v>
      </c>
      <c r="K128" s="2" t="s">
        <v>62</v>
      </c>
      <c r="L128" s="2">
        <v>2</v>
      </c>
      <c r="M128" s="3">
        <v>129.96</v>
      </c>
      <c r="N128" s="2" t="s">
        <v>34</v>
      </c>
      <c r="O128" s="3">
        <v>0</v>
      </c>
      <c r="P128" s="3">
        <v>0</v>
      </c>
      <c r="Q128" s="3">
        <v>9.1</v>
      </c>
      <c r="R128" s="3">
        <v>139.06</v>
      </c>
      <c r="S128" s="2" t="s">
        <v>79</v>
      </c>
      <c r="T128" s="2" t="s">
        <v>50</v>
      </c>
      <c r="U128" s="2" t="s">
        <v>66</v>
      </c>
      <c r="V128" s="2" t="s">
        <v>641</v>
      </c>
      <c r="W128" s="3">
        <v>0</v>
      </c>
    </row>
    <row r="129" spans="1:23" x14ac:dyDescent="0.3">
      <c r="A129" s="4" t="s">
        <v>1017</v>
      </c>
      <c r="B129" s="4" t="s">
        <v>489</v>
      </c>
      <c r="C129" s="4" t="s">
        <v>1018</v>
      </c>
      <c r="D129" s="4" t="s">
        <v>1019</v>
      </c>
      <c r="E129" s="4" t="s">
        <v>1020</v>
      </c>
      <c r="F129" s="4" t="s">
        <v>1021</v>
      </c>
      <c r="G129" s="4" t="s">
        <v>428</v>
      </c>
      <c r="H129" s="4" t="s">
        <v>429</v>
      </c>
      <c r="I129" s="4" t="s">
        <v>31</v>
      </c>
      <c r="J129" s="4" t="s">
        <v>1022</v>
      </c>
      <c r="K129" s="4" t="s">
        <v>77</v>
      </c>
      <c r="L129" s="4">
        <v>2</v>
      </c>
      <c r="M129" s="5">
        <v>254.97</v>
      </c>
      <c r="N129" s="4" t="s">
        <v>163</v>
      </c>
      <c r="O129" s="5">
        <v>50.99</v>
      </c>
      <c r="P129" s="5">
        <v>0</v>
      </c>
      <c r="Q129" s="5">
        <v>12.24</v>
      </c>
      <c r="R129" s="5">
        <v>216.22</v>
      </c>
      <c r="S129" s="4" t="s">
        <v>332</v>
      </c>
      <c r="T129" s="4" t="s">
        <v>144</v>
      </c>
      <c r="U129" s="4" t="s">
        <v>51</v>
      </c>
      <c r="V129" s="4" t="s">
        <v>67</v>
      </c>
      <c r="W129" s="5">
        <v>0</v>
      </c>
    </row>
    <row r="130" spans="1:23" x14ac:dyDescent="0.3">
      <c r="A130" s="2" t="s">
        <v>1023</v>
      </c>
      <c r="B130" s="2" t="s">
        <v>496</v>
      </c>
      <c r="C130" s="2" t="s">
        <v>1024</v>
      </c>
      <c r="D130" s="2" t="s">
        <v>1025</v>
      </c>
      <c r="E130" s="2" t="s">
        <v>1026</v>
      </c>
      <c r="F130" s="2" t="s">
        <v>1027</v>
      </c>
      <c r="G130" s="2" t="s">
        <v>74</v>
      </c>
      <c r="H130" s="2" t="s">
        <v>75</v>
      </c>
      <c r="I130" s="2" t="s">
        <v>31</v>
      </c>
      <c r="J130" s="2" t="s">
        <v>1028</v>
      </c>
      <c r="K130" s="2" t="s">
        <v>110</v>
      </c>
      <c r="L130" s="2">
        <v>4</v>
      </c>
      <c r="M130" s="3">
        <v>165.95</v>
      </c>
      <c r="N130" s="2" t="s">
        <v>163</v>
      </c>
      <c r="O130" s="3">
        <v>33.19</v>
      </c>
      <c r="P130" s="3">
        <v>0</v>
      </c>
      <c r="Q130" s="3">
        <v>11.95</v>
      </c>
      <c r="R130" s="3">
        <v>144.71</v>
      </c>
      <c r="S130" s="2" t="s">
        <v>64</v>
      </c>
      <c r="T130" s="2" t="s">
        <v>144</v>
      </c>
      <c r="U130" s="2" t="s">
        <v>66</v>
      </c>
      <c r="V130" s="2" t="s">
        <v>92</v>
      </c>
      <c r="W130" s="3">
        <v>0</v>
      </c>
    </row>
    <row r="131" spans="1:23" x14ac:dyDescent="0.3">
      <c r="A131" s="4" t="s">
        <v>1029</v>
      </c>
      <c r="B131" s="4" t="s">
        <v>397</v>
      </c>
      <c r="C131" s="4" t="s">
        <v>1030</v>
      </c>
      <c r="D131" s="4" t="s">
        <v>1031</v>
      </c>
      <c r="E131" s="4" t="s">
        <v>1032</v>
      </c>
      <c r="F131" s="4" t="s">
        <v>1033</v>
      </c>
      <c r="G131" s="4" t="s">
        <v>29</v>
      </c>
      <c r="H131" s="4" t="s">
        <v>30</v>
      </c>
      <c r="I131" s="4" t="s">
        <v>31</v>
      </c>
      <c r="J131" s="4" t="s">
        <v>1034</v>
      </c>
      <c r="K131" s="4" t="s">
        <v>122</v>
      </c>
      <c r="L131" s="4">
        <v>2</v>
      </c>
      <c r="M131" s="5">
        <v>224.95</v>
      </c>
      <c r="N131" s="4" t="s">
        <v>34</v>
      </c>
      <c r="O131" s="5">
        <v>0</v>
      </c>
      <c r="P131" s="5">
        <v>0</v>
      </c>
      <c r="Q131" s="5">
        <v>20.25</v>
      </c>
      <c r="R131" s="5">
        <v>245.2</v>
      </c>
      <c r="S131" s="4" t="s">
        <v>35</v>
      </c>
      <c r="T131" s="4" t="s">
        <v>183</v>
      </c>
      <c r="U131" s="4" t="s">
        <v>66</v>
      </c>
      <c r="V131" s="4" t="s">
        <v>114</v>
      </c>
      <c r="W131" s="5">
        <v>0</v>
      </c>
    </row>
    <row r="132" spans="1:23" x14ac:dyDescent="0.3">
      <c r="A132" s="2" t="s">
        <v>1035</v>
      </c>
      <c r="B132" s="2" t="s">
        <v>1036</v>
      </c>
      <c r="C132" s="2" t="s">
        <v>1037</v>
      </c>
      <c r="D132" s="2" t="s">
        <v>1038</v>
      </c>
      <c r="E132" s="2" t="s">
        <v>1039</v>
      </c>
      <c r="F132" s="2" t="s">
        <v>1040</v>
      </c>
      <c r="G132" s="2" t="s">
        <v>251</v>
      </c>
      <c r="H132" s="2" t="s">
        <v>252</v>
      </c>
      <c r="I132" s="2" t="s">
        <v>31</v>
      </c>
      <c r="J132" s="2" t="s">
        <v>1041</v>
      </c>
      <c r="K132" s="2" t="s">
        <v>62</v>
      </c>
      <c r="L132" s="2">
        <v>2</v>
      </c>
      <c r="M132" s="3">
        <v>72.97</v>
      </c>
      <c r="N132" s="2" t="s">
        <v>34</v>
      </c>
      <c r="O132" s="3">
        <v>0</v>
      </c>
      <c r="P132" s="3">
        <v>4.99</v>
      </c>
      <c r="Q132" s="3">
        <v>6.57</v>
      </c>
      <c r="R132" s="3">
        <v>84.53</v>
      </c>
      <c r="S132" s="2" t="s">
        <v>64</v>
      </c>
      <c r="T132" s="2" t="s">
        <v>99</v>
      </c>
      <c r="U132" s="2" t="s">
        <v>37</v>
      </c>
      <c r="V132" s="2" t="s">
        <v>210</v>
      </c>
      <c r="W132" s="3">
        <v>84.53</v>
      </c>
    </row>
    <row r="133" spans="1:23" x14ac:dyDescent="0.3">
      <c r="A133" s="4" t="s">
        <v>1042</v>
      </c>
      <c r="B133" s="4" t="s">
        <v>1043</v>
      </c>
      <c r="C133" s="4" t="s">
        <v>1044</v>
      </c>
      <c r="D133" s="4" t="s">
        <v>1045</v>
      </c>
      <c r="E133" s="4" t="s">
        <v>1046</v>
      </c>
      <c r="F133" s="4" t="s">
        <v>1047</v>
      </c>
      <c r="G133" s="4" t="s">
        <v>242</v>
      </c>
      <c r="H133" s="4" t="s">
        <v>243</v>
      </c>
      <c r="I133" s="4" t="s">
        <v>31</v>
      </c>
      <c r="J133" s="4" t="s">
        <v>1048</v>
      </c>
      <c r="K133" s="4" t="s">
        <v>122</v>
      </c>
      <c r="L133" s="4">
        <v>2</v>
      </c>
      <c r="M133" s="5">
        <v>129.97999999999999</v>
      </c>
      <c r="N133" s="4" t="s">
        <v>78</v>
      </c>
      <c r="O133" s="5">
        <v>13</v>
      </c>
      <c r="P133" s="5">
        <v>0</v>
      </c>
      <c r="Q133" s="5">
        <v>9.36</v>
      </c>
      <c r="R133" s="5">
        <v>126.34</v>
      </c>
      <c r="S133" s="4" t="s">
        <v>332</v>
      </c>
      <c r="T133" s="4" t="s">
        <v>99</v>
      </c>
      <c r="U133" s="4" t="s">
        <v>317</v>
      </c>
      <c r="V133" s="4"/>
      <c r="W133" s="5">
        <v>0</v>
      </c>
    </row>
    <row r="134" spans="1:23" x14ac:dyDescent="0.3">
      <c r="A134" s="2" t="s">
        <v>1049</v>
      </c>
      <c r="B134" s="2" t="s">
        <v>930</v>
      </c>
      <c r="C134" s="2" t="s">
        <v>1050</v>
      </c>
      <c r="D134" s="2" t="s">
        <v>1051</v>
      </c>
      <c r="E134" s="2" t="s">
        <v>1052</v>
      </c>
      <c r="F134" s="2" t="s">
        <v>1053</v>
      </c>
      <c r="G134" s="2" t="s">
        <v>282</v>
      </c>
      <c r="H134" s="2" t="s">
        <v>88</v>
      </c>
      <c r="I134" s="2" t="s">
        <v>31</v>
      </c>
      <c r="J134" s="2" t="s">
        <v>1054</v>
      </c>
      <c r="K134" s="2" t="s">
        <v>364</v>
      </c>
      <c r="L134" s="2">
        <v>1</v>
      </c>
      <c r="M134" s="3">
        <v>44.99</v>
      </c>
      <c r="N134" s="2" t="s">
        <v>63</v>
      </c>
      <c r="O134" s="3">
        <v>11.25</v>
      </c>
      <c r="P134" s="3">
        <v>9.99</v>
      </c>
      <c r="Q134" s="3">
        <v>2.02</v>
      </c>
      <c r="R134" s="3">
        <v>45.75</v>
      </c>
      <c r="S134" s="2" t="s">
        <v>64</v>
      </c>
      <c r="T134" s="2" t="s">
        <v>144</v>
      </c>
      <c r="U134" s="2" t="s">
        <v>66</v>
      </c>
      <c r="V134" s="2" t="s">
        <v>1055</v>
      </c>
      <c r="W134" s="3">
        <v>0</v>
      </c>
    </row>
    <row r="135" spans="1:23" x14ac:dyDescent="0.3">
      <c r="A135" s="4" t="s">
        <v>1056</v>
      </c>
      <c r="B135" s="4" t="s">
        <v>1057</v>
      </c>
      <c r="C135" s="4" t="s">
        <v>1058</v>
      </c>
      <c r="D135" s="4" t="s">
        <v>1059</v>
      </c>
      <c r="E135" s="4" t="s">
        <v>1060</v>
      </c>
      <c r="F135" s="4" t="s">
        <v>1061</v>
      </c>
      <c r="G135" s="4" t="s">
        <v>291</v>
      </c>
      <c r="H135" s="4" t="s">
        <v>292</v>
      </c>
      <c r="I135" s="4" t="s">
        <v>31</v>
      </c>
      <c r="J135" s="4" t="s">
        <v>1062</v>
      </c>
      <c r="K135" s="4" t="s">
        <v>62</v>
      </c>
      <c r="L135" s="4">
        <v>3</v>
      </c>
      <c r="M135" s="5">
        <v>279.95</v>
      </c>
      <c r="N135" s="4" t="s">
        <v>78</v>
      </c>
      <c r="O135" s="5">
        <v>28</v>
      </c>
      <c r="P135" s="5">
        <v>0</v>
      </c>
      <c r="Q135" s="5">
        <v>22.68</v>
      </c>
      <c r="R135" s="5">
        <v>274.63</v>
      </c>
      <c r="S135" s="4" t="s">
        <v>64</v>
      </c>
      <c r="T135" s="4" t="s">
        <v>99</v>
      </c>
      <c r="U135" s="4" t="s">
        <v>51</v>
      </c>
      <c r="V135" s="4" t="s">
        <v>1063</v>
      </c>
      <c r="W135" s="5">
        <v>0</v>
      </c>
    </row>
    <row r="136" spans="1:23" x14ac:dyDescent="0.3">
      <c r="A136" s="2" t="s">
        <v>1064</v>
      </c>
      <c r="B136" s="2" t="s">
        <v>1065</v>
      </c>
      <c r="C136" s="2" t="s">
        <v>1066</v>
      </c>
      <c r="D136" s="2" t="s">
        <v>1067</v>
      </c>
      <c r="E136" s="2" t="s">
        <v>1068</v>
      </c>
      <c r="F136" s="2" t="s">
        <v>1069</v>
      </c>
      <c r="G136" s="2" t="s">
        <v>190</v>
      </c>
      <c r="H136" s="2" t="s">
        <v>161</v>
      </c>
      <c r="I136" s="2" t="s">
        <v>31</v>
      </c>
      <c r="J136" s="2" t="s">
        <v>308</v>
      </c>
      <c r="K136" s="2" t="s">
        <v>62</v>
      </c>
      <c r="L136" s="2">
        <v>1</v>
      </c>
      <c r="M136" s="3">
        <v>29.99</v>
      </c>
      <c r="N136" s="2" t="s">
        <v>49</v>
      </c>
      <c r="O136" s="3">
        <v>4.5</v>
      </c>
      <c r="P136" s="3">
        <v>5.99</v>
      </c>
      <c r="Q136" s="3">
        <v>2.5499999999999998</v>
      </c>
      <c r="R136" s="3">
        <v>34.03</v>
      </c>
      <c r="S136" s="2" t="s">
        <v>64</v>
      </c>
      <c r="T136" s="2" t="s">
        <v>173</v>
      </c>
      <c r="U136" s="2" t="s">
        <v>51</v>
      </c>
      <c r="V136" s="2" t="s">
        <v>1070</v>
      </c>
      <c r="W136" s="3">
        <v>0</v>
      </c>
    </row>
    <row r="137" spans="1:23" x14ac:dyDescent="0.3">
      <c r="A137" s="4" t="s">
        <v>1071</v>
      </c>
      <c r="B137" s="4" t="s">
        <v>358</v>
      </c>
      <c r="C137" s="4" t="s">
        <v>1072</v>
      </c>
      <c r="D137" s="4" t="s">
        <v>1073</v>
      </c>
      <c r="E137" s="4" t="s">
        <v>1074</v>
      </c>
      <c r="F137" s="4" t="s">
        <v>1075</v>
      </c>
      <c r="G137" s="4" t="s">
        <v>59</v>
      </c>
      <c r="H137" s="4" t="s">
        <v>60</v>
      </c>
      <c r="I137" s="4" t="s">
        <v>31</v>
      </c>
      <c r="J137" s="4" t="s">
        <v>526</v>
      </c>
      <c r="K137" s="4" t="s">
        <v>110</v>
      </c>
      <c r="L137" s="4">
        <v>1</v>
      </c>
      <c r="M137" s="5">
        <v>32.99</v>
      </c>
      <c r="N137" s="4" t="s">
        <v>163</v>
      </c>
      <c r="O137" s="5">
        <v>6.6</v>
      </c>
      <c r="P137" s="5">
        <v>9.99</v>
      </c>
      <c r="Q137" s="5">
        <v>1.85</v>
      </c>
      <c r="R137" s="5">
        <v>38.229999999999997</v>
      </c>
      <c r="S137" s="4" t="s">
        <v>123</v>
      </c>
      <c r="T137" s="4" t="s">
        <v>50</v>
      </c>
      <c r="U137" s="4" t="s">
        <v>317</v>
      </c>
      <c r="V137" s="4"/>
      <c r="W137" s="5">
        <v>0</v>
      </c>
    </row>
    <row r="138" spans="1:23" x14ac:dyDescent="0.3">
      <c r="A138" s="2" t="s">
        <v>1076</v>
      </c>
      <c r="B138" s="2" t="s">
        <v>789</v>
      </c>
      <c r="C138" s="2" t="s">
        <v>1077</v>
      </c>
      <c r="D138" s="2" t="s">
        <v>1078</v>
      </c>
      <c r="E138" s="2" t="s">
        <v>1079</v>
      </c>
      <c r="F138" s="2" t="s">
        <v>1080</v>
      </c>
      <c r="G138" s="2" t="s">
        <v>190</v>
      </c>
      <c r="H138" s="2" t="s">
        <v>161</v>
      </c>
      <c r="I138" s="2" t="s">
        <v>31</v>
      </c>
      <c r="J138" s="2" t="s">
        <v>47</v>
      </c>
      <c r="K138" s="2" t="s">
        <v>48</v>
      </c>
      <c r="L138" s="2">
        <v>1</v>
      </c>
      <c r="M138" s="3">
        <v>42.99</v>
      </c>
      <c r="N138" s="2" t="s">
        <v>49</v>
      </c>
      <c r="O138" s="3">
        <v>6.45</v>
      </c>
      <c r="P138" s="3">
        <v>7.99</v>
      </c>
      <c r="Q138" s="3">
        <v>2.92</v>
      </c>
      <c r="R138" s="3">
        <v>47.45</v>
      </c>
      <c r="S138" s="2" t="s">
        <v>35</v>
      </c>
      <c r="T138" s="2" t="s">
        <v>99</v>
      </c>
      <c r="U138" s="2" t="s">
        <v>66</v>
      </c>
      <c r="V138" s="2" t="s">
        <v>849</v>
      </c>
      <c r="W138" s="3">
        <v>0</v>
      </c>
    </row>
    <row r="139" spans="1:23" x14ac:dyDescent="0.3">
      <c r="A139" s="4" t="s">
        <v>1081</v>
      </c>
      <c r="B139" s="4" t="s">
        <v>145</v>
      </c>
      <c r="C139" s="4" t="s">
        <v>1082</v>
      </c>
      <c r="D139" s="4" t="s">
        <v>214</v>
      </c>
      <c r="E139" s="4" t="s">
        <v>1083</v>
      </c>
      <c r="F139" s="4" t="s">
        <v>1084</v>
      </c>
      <c r="G139" s="4" t="s">
        <v>180</v>
      </c>
      <c r="H139" s="4" t="s">
        <v>181</v>
      </c>
      <c r="I139" s="4" t="s">
        <v>31</v>
      </c>
      <c r="J139" s="4" t="s">
        <v>1085</v>
      </c>
      <c r="K139" s="4" t="s">
        <v>364</v>
      </c>
      <c r="L139" s="4">
        <v>2</v>
      </c>
      <c r="M139" s="5">
        <v>59.98</v>
      </c>
      <c r="N139" s="4" t="s">
        <v>34</v>
      </c>
      <c r="O139" s="5">
        <v>0</v>
      </c>
      <c r="P139" s="5">
        <v>7.99</v>
      </c>
      <c r="Q139" s="5">
        <v>5.0999999999999996</v>
      </c>
      <c r="R139" s="5">
        <v>73.069999999999993</v>
      </c>
      <c r="S139" s="4" t="s">
        <v>35</v>
      </c>
      <c r="T139" s="4" t="s">
        <v>173</v>
      </c>
      <c r="U139" s="4" t="s">
        <v>66</v>
      </c>
      <c r="V139" s="4" t="s">
        <v>1086</v>
      </c>
      <c r="W139" s="5">
        <v>0</v>
      </c>
    </row>
    <row r="140" spans="1:23" x14ac:dyDescent="0.3">
      <c r="A140" s="2" t="s">
        <v>1087</v>
      </c>
      <c r="B140" s="2" t="s">
        <v>1088</v>
      </c>
      <c r="C140" s="2" t="s">
        <v>1089</v>
      </c>
      <c r="D140" s="2" t="s">
        <v>1090</v>
      </c>
      <c r="E140" s="2" t="s">
        <v>1091</v>
      </c>
      <c r="F140" s="2" t="s">
        <v>1092</v>
      </c>
      <c r="G140" s="2" t="s">
        <v>403</v>
      </c>
      <c r="H140" s="2" t="s">
        <v>404</v>
      </c>
      <c r="I140" s="2" t="s">
        <v>31</v>
      </c>
      <c r="J140" s="2" t="s">
        <v>1093</v>
      </c>
      <c r="K140" s="2" t="s">
        <v>209</v>
      </c>
      <c r="L140" s="2">
        <v>2</v>
      </c>
      <c r="M140" s="3">
        <v>104.98</v>
      </c>
      <c r="N140" s="2" t="s">
        <v>163</v>
      </c>
      <c r="O140" s="3">
        <v>21</v>
      </c>
      <c r="P140" s="3">
        <v>0</v>
      </c>
      <c r="Q140" s="3">
        <v>5.04</v>
      </c>
      <c r="R140" s="3">
        <v>89.02</v>
      </c>
      <c r="S140" s="2" t="s">
        <v>123</v>
      </c>
      <c r="T140" s="2" t="s">
        <v>50</v>
      </c>
      <c r="U140" s="2" t="s">
        <v>100</v>
      </c>
      <c r="V140" s="2"/>
      <c r="W140" s="3">
        <v>0</v>
      </c>
    </row>
    <row r="141" spans="1:23" x14ac:dyDescent="0.3">
      <c r="A141" s="4" t="s">
        <v>1094</v>
      </c>
      <c r="B141" s="4" t="s">
        <v>1095</v>
      </c>
      <c r="C141" s="4" t="s">
        <v>1096</v>
      </c>
      <c r="D141" s="4" t="s">
        <v>1097</v>
      </c>
      <c r="E141" s="4" t="s">
        <v>1098</v>
      </c>
      <c r="F141" s="4" t="s">
        <v>1099</v>
      </c>
      <c r="G141" s="4" t="s">
        <v>140</v>
      </c>
      <c r="H141" s="4" t="s">
        <v>141</v>
      </c>
      <c r="I141" s="4" t="s">
        <v>31</v>
      </c>
      <c r="J141" s="4" t="s">
        <v>217</v>
      </c>
      <c r="K141" s="4" t="s">
        <v>110</v>
      </c>
      <c r="L141" s="4">
        <v>1</v>
      </c>
      <c r="M141" s="5">
        <v>22.99</v>
      </c>
      <c r="N141" s="4" t="s">
        <v>78</v>
      </c>
      <c r="O141" s="5">
        <v>2.2999999999999998</v>
      </c>
      <c r="P141" s="5">
        <v>9.99</v>
      </c>
      <c r="Q141" s="5">
        <v>1.66</v>
      </c>
      <c r="R141" s="5">
        <v>32.340000000000003</v>
      </c>
      <c r="S141" s="4" t="s">
        <v>123</v>
      </c>
      <c r="T141" s="4" t="s">
        <v>183</v>
      </c>
      <c r="U141" s="4" t="s">
        <v>66</v>
      </c>
      <c r="V141" s="4" t="s">
        <v>1100</v>
      </c>
      <c r="W141" s="5">
        <v>0</v>
      </c>
    </row>
    <row r="142" spans="1:23" x14ac:dyDescent="0.3">
      <c r="A142" s="2" t="s">
        <v>1101</v>
      </c>
      <c r="B142" s="2" t="s">
        <v>1102</v>
      </c>
      <c r="C142" s="2" t="s">
        <v>1103</v>
      </c>
      <c r="D142" s="2" t="s">
        <v>1104</v>
      </c>
      <c r="E142" s="2" t="s">
        <v>1105</v>
      </c>
      <c r="F142" s="2" t="s">
        <v>1106</v>
      </c>
      <c r="G142" s="2" t="s">
        <v>403</v>
      </c>
      <c r="H142" s="2" t="s">
        <v>404</v>
      </c>
      <c r="I142" s="2" t="s">
        <v>31</v>
      </c>
      <c r="J142" s="2" t="s">
        <v>1107</v>
      </c>
      <c r="K142" s="2" t="s">
        <v>110</v>
      </c>
      <c r="L142" s="2">
        <v>2</v>
      </c>
      <c r="M142" s="3">
        <v>82.98</v>
      </c>
      <c r="N142" s="2" t="s">
        <v>49</v>
      </c>
      <c r="O142" s="3">
        <v>12.45</v>
      </c>
      <c r="P142" s="3">
        <v>0</v>
      </c>
      <c r="Q142" s="3">
        <v>5.64</v>
      </c>
      <c r="R142" s="3">
        <v>76.17</v>
      </c>
      <c r="S142" s="2" t="s">
        <v>35</v>
      </c>
      <c r="T142" s="2" t="s">
        <v>36</v>
      </c>
      <c r="U142" s="2" t="s">
        <v>37</v>
      </c>
      <c r="V142" s="2" t="s">
        <v>1108</v>
      </c>
      <c r="W142" s="3">
        <v>76.17</v>
      </c>
    </row>
    <row r="143" spans="1:23" x14ac:dyDescent="0.3">
      <c r="A143" s="4" t="s">
        <v>1109</v>
      </c>
      <c r="B143" s="4" t="s">
        <v>1065</v>
      </c>
      <c r="C143" s="4" t="s">
        <v>1110</v>
      </c>
      <c r="D143" s="4" t="s">
        <v>1111</v>
      </c>
      <c r="E143" s="4" t="s">
        <v>1112</v>
      </c>
      <c r="F143" s="4" t="s">
        <v>1113</v>
      </c>
      <c r="G143" s="4" t="s">
        <v>45</v>
      </c>
      <c r="H143" s="4" t="s">
        <v>46</v>
      </c>
      <c r="I143" s="4" t="s">
        <v>31</v>
      </c>
      <c r="J143" s="4" t="s">
        <v>1114</v>
      </c>
      <c r="K143" s="4" t="s">
        <v>364</v>
      </c>
      <c r="L143" s="4">
        <v>3</v>
      </c>
      <c r="M143" s="5">
        <v>199.97</v>
      </c>
      <c r="N143" s="4" t="s">
        <v>34</v>
      </c>
      <c r="O143" s="5">
        <v>0</v>
      </c>
      <c r="P143" s="5">
        <v>0</v>
      </c>
      <c r="Q143" s="5">
        <v>20</v>
      </c>
      <c r="R143" s="5">
        <v>219.97</v>
      </c>
      <c r="S143" s="4" t="s">
        <v>123</v>
      </c>
      <c r="T143" s="4" t="s">
        <v>99</v>
      </c>
      <c r="U143" s="4" t="s">
        <v>100</v>
      </c>
      <c r="V143" s="4"/>
      <c r="W143" s="5">
        <v>0</v>
      </c>
    </row>
    <row r="144" spans="1:23" x14ac:dyDescent="0.3">
      <c r="A144" s="2" t="s">
        <v>1115</v>
      </c>
      <c r="B144" s="2" t="s">
        <v>1116</v>
      </c>
      <c r="C144" s="2" t="s">
        <v>1117</v>
      </c>
      <c r="D144" s="2" t="s">
        <v>1118</v>
      </c>
      <c r="E144" s="2" t="s">
        <v>1119</v>
      </c>
      <c r="F144" s="2" t="s">
        <v>1120</v>
      </c>
      <c r="G144" s="2" t="s">
        <v>207</v>
      </c>
      <c r="H144" s="2" t="s">
        <v>141</v>
      </c>
      <c r="I144" s="2" t="s">
        <v>31</v>
      </c>
      <c r="J144" s="2" t="s">
        <v>1121</v>
      </c>
      <c r="K144" s="2" t="s">
        <v>77</v>
      </c>
      <c r="L144" s="2">
        <v>3</v>
      </c>
      <c r="M144" s="3">
        <v>134.94999999999999</v>
      </c>
      <c r="N144" s="2" t="s">
        <v>34</v>
      </c>
      <c r="O144" s="3">
        <v>0</v>
      </c>
      <c r="P144" s="3">
        <v>0</v>
      </c>
      <c r="Q144" s="3">
        <v>9.4499999999999993</v>
      </c>
      <c r="R144" s="3">
        <v>144.4</v>
      </c>
      <c r="S144" s="2" t="s">
        <v>64</v>
      </c>
      <c r="T144" s="2" t="s">
        <v>99</v>
      </c>
      <c r="U144" s="2" t="s">
        <v>66</v>
      </c>
      <c r="V144" s="2" t="s">
        <v>1122</v>
      </c>
      <c r="W144" s="3">
        <v>0</v>
      </c>
    </row>
    <row r="145" spans="1:23" x14ac:dyDescent="0.3">
      <c r="A145" s="4" t="s">
        <v>1123</v>
      </c>
      <c r="B145" s="4" t="s">
        <v>1124</v>
      </c>
      <c r="C145" s="4" t="s">
        <v>1125</v>
      </c>
      <c r="D145" s="4" t="s">
        <v>1126</v>
      </c>
      <c r="E145" s="4" t="s">
        <v>1127</v>
      </c>
      <c r="F145" s="4" t="s">
        <v>1128</v>
      </c>
      <c r="G145" s="4" t="s">
        <v>802</v>
      </c>
      <c r="H145" s="4" t="s">
        <v>88</v>
      </c>
      <c r="I145" s="4" t="s">
        <v>31</v>
      </c>
      <c r="J145" s="4" t="s">
        <v>1129</v>
      </c>
      <c r="K145" s="4" t="s">
        <v>143</v>
      </c>
      <c r="L145" s="4">
        <v>2</v>
      </c>
      <c r="M145" s="5">
        <v>134.97999999999999</v>
      </c>
      <c r="N145" s="4" t="s">
        <v>163</v>
      </c>
      <c r="O145" s="5">
        <v>27</v>
      </c>
      <c r="P145" s="5">
        <v>0</v>
      </c>
      <c r="Q145" s="5">
        <v>8.64</v>
      </c>
      <c r="R145" s="5">
        <v>116.62</v>
      </c>
      <c r="S145" s="4" t="s">
        <v>123</v>
      </c>
      <c r="T145" s="4" t="s">
        <v>183</v>
      </c>
      <c r="U145" s="4" t="s">
        <v>37</v>
      </c>
      <c r="V145" s="4" t="s">
        <v>641</v>
      </c>
      <c r="W145" s="5">
        <v>116.62</v>
      </c>
    </row>
    <row r="146" spans="1:23" x14ac:dyDescent="0.3">
      <c r="A146" s="2" t="s">
        <v>1130</v>
      </c>
      <c r="B146" s="2" t="s">
        <v>194</v>
      </c>
      <c r="C146" s="2" t="s">
        <v>1131</v>
      </c>
      <c r="D146" s="2" t="s">
        <v>1132</v>
      </c>
      <c r="E146" s="2" t="s">
        <v>1133</v>
      </c>
      <c r="F146" s="2" t="s">
        <v>1134</v>
      </c>
      <c r="G146" s="2" t="s">
        <v>119</v>
      </c>
      <c r="H146" s="2" t="s">
        <v>120</v>
      </c>
      <c r="I146" s="2" t="s">
        <v>31</v>
      </c>
      <c r="J146" s="2" t="s">
        <v>1135</v>
      </c>
      <c r="K146" s="2" t="s">
        <v>77</v>
      </c>
      <c r="L146" s="2">
        <v>3</v>
      </c>
      <c r="M146" s="3">
        <v>87.97</v>
      </c>
      <c r="N146" s="2" t="s">
        <v>163</v>
      </c>
      <c r="O146" s="3">
        <v>17.59</v>
      </c>
      <c r="P146" s="3">
        <v>0</v>
      </c>
      <c r="Q146" s="3">
        <v>4.22</v>
      </c>
      <c r="R146" s="3">
        <v>74.599999999999994</v>
      </c>
      <c r="S146" s="2" t="s">
        <v>123</v>
      </c>
      <c r="T146" s="2" t="s">
        <v>144</v>
      </c>
      <c r="U146" s="2" t="s">
        <v>51</v>
      </c>
      <c r="V146" s="2" t="s">
        <v>824</v>
      </c>
      <c r="W146" s="3">
        <v>0</v>
      </c>
    </row>
    <row r="147" spans="1:23" x14ac:dyDescent="0.3">
      <c r="A147" s="4" t="s">
        <v>1136</v>
      </c>
      <c r="B147" s="4" t="s">
        <v>619</v>
      </c>
      <c r="C147" s="4" t="s">
        <v>1137</v>
      </c>
      <c r="D147" s="4" t="s">
        <v>1138</v>
      </c>
      <c r="E147" s="4" t="s">
        <v>1139</v>
      </c>
      <c r="F147" s="4" t="s">
        <v>1140</v>
      </c>
      <c r="G147" s="4" t="s">
        <v>107</v>
      </c>
      <c r="H147" s="4" t="s">
        <v>108</v>
      </c>
      <c r="I147" s="4" t="s">
        <v>31</v>
      </c>
      <c r="J147" s="4" t="s">
        <v>1141</v>
      </c>
      <c r="K147" s="4" t="s">
        <v>122</v>
      </c>
      <c r="L147" s="4">
        <v>1</v>
      </c>
      <c r="M147" s="5">
        <v>74.989999999999995</v>
      </c>
      <c r="N147" s="4" t="s">
        <v>78</v>
      </c>
      <c r="O147" s="5">
        <v>7.5</v>
      </c>
      <c r="P147" s="5">
        <v>9.99</v>
      </c>
      <c r="Q147" s="5">
        <v>5.74</v>
      </c>
      <c r="R147" s="5">
        <v>83.22</v>
      </c>
      <c r="S147" s="4" t="s">
        <v>35</v>
      </c>
      <c r="T147" s="4" t="s">
        <v>173</v>
      </c>
      <c r="U147" s="4" t="s">
        <v>66</v>
      </c>
      <c r="V147" s="4" t="s">
        <v>1142</v>
      </c>
      <c r="W147" s="5">
        <v>0</v>
      </c>
    </row>
    <row r="148" spans="1:23" x14ac:dyDescent="0.3">
      <c r="A148" s="2" t="s">
        <v>1143</v>
      </c>
      <c r="B148" s="2" t="s">
        <v>351</v>
      </c>
      <c r="C148" s="2" t="s">
        <v>1144</v>
      </c>
      <c r="D148" s="2" t="s">
        <v>1145</v>
      </c>
      <c r="E148" s="2" t="s">
        <v>1146</v>
      </c>
      <c r="F148" s="2" t="s">
        <v>1147</v>
      </c>
      <c r="G148" s="2" t="s">
        <v>29</v>
      </c>
      <c r="H148" s="2" t="s">
        <v>30</v>
      </c>
      <c r="I148" s="2" t="s">
        <v>31</v>
      </c>
      <c r="J148" s="2" t="s">
        <v>1148</v>
      </c>
      <c r="K148" s="2" t="s">
        <v>33</v>
      </c>
      <c r="L148" s="2">
        <v>1</v>
      </c>
      <c r="M148" s="3">
        <v>18.989999999999998</v>
      </c>
      <c r="N148" s="2" t="s">
        <v>78</v>
      </c>
      <c r="O148" s="3">
        <v>1.9</v>
      </c>
      <c r="P148" s="3">
        <v>4.99</v>
      </c>
      <c r="Q148" s="3">
        <v>1.54</v>
      </c>
      <c r="R148" s="3">
        <v>23.62</v>
      </c>
      <c r="S148" s="2" t="s">
        <v>35</v>
      </c>
      <c r="T148" s="2" t="s">
        <v>65</v>
      </c>
      <c r="U148" s="2" t="s">
        <v>66</v>
      </c>
      <c r="V148" s="2" t="s">
        <v>1149</v>
      </c>
      <c r="W148" s="3">
        <v>0</v>
      </c>
    </row>
    <row r="149" spans="1:23" x14ac:dyDescent="0.3">
      <c r="A149" s="4" t="s">
        <v>1150</v>
      </c>
      <c r="B149" s="4" t="s">
        <v>1151</v>
      </c>
      <c r="C149" s="4" t="s">
        <v>1152</v>
      </c>
      <c r="D149" s="4" t="s">
        <v>1153</v>
      </c>
      <c r="E149" s="4" t="s">
        <v>1154</v>
      </c>
      <c r="F149" s="4" t="s">
        <v>1155</v>
      </c>
      <c r="G149" s="4" t="s">
        <v>282</v>
      </c>
      <c r="H149" s="4" t="s">
        <v>88</v>
      </c>
      <c r="I149" s="4" t="s">
        <v>31</v>
      </c>
      <c r="J149" s="4" t="s">
        <v>1054</v>
      </c>
      <c r="K149" s="4" t="s">
        <v>364</v>
      </c>
      <c r="L149" s="4">
        <v>1</v>
      </c>
      <c r="M149" s="5">
        <v>44.99</v>
      </c>
      <c r="N149" s="4" t="s">
        <v>78</v>
      </c>
      <c r="O149" s="5">
        <v>4.5</v>
      </c>
      <c r="P149" s="5">
        <v>7.99</v>
      </c>
      <c r="Q149" s="5">
        <v>3.44</v>
      </c>
      <c r="R149" s="5">
        <v>51.92</v>
      </c>
      <c r="S149" s="4" t="s">
        <v>64</v>
      </c>
      <c r="T149" s="4" t="s">
        <v>183</v>
      </c>
      <c r="U149" s="4" t="s">
        <v>66</v>
      </c>
      <c r="V149" s="4" t="s">
        <v>349</v>
      </c>
      <c r="W149" s="5">
        <v>0</v>
      </c>
    </row>
    <row r="150" spans="1:23" x14ac:dyDescent="0.3">
      <c r="A150" s="2" t="s">
        <v>1156</v>
      </c>
      <c r="B150" s="2" t="s">
        <v>957</v>
      </c>
      <c r="C150" s="2" t="s">
        <v>1157</v>
      </c>
      <c r="D150" s="2" t="s">
        <v>1158</v>
      </c>
      <c r="E150" s="2" t="s">
        <v>1159</v>
      </c>
      <c r="F150" s="2" t="s">
        <v>1160</v>
      </c>
      <c r="G150" s="2" t="s">
        <v>160</v>
      </c>
      <c r="H150" s="2" t="s">
        <v>161</v>
      </c>
      <c r="I150" s="2" t="s">
        <v>31</v>
      </c>
      <c r="J150" s="2" t="s">
        <v>1161</v>
      </c>
      <c r="K150" s="2" t="s">
        <v>143</v>
      </c>
      <c r="L150" s="2">
        <v>2</v>
      </c>
      <c r="M150" s="3">
        <v>124.98</v>
      </c>
      <c r="N150" s="2" t="s">
        <v>49</v>
      </c>
      <c r="O150" s="3">
        <v>18.75</v>
      </c>
      <c r="P150" s="3">
        <v>0</v>
      </c>
      <c r="Q150" s="3">
        <v>9.0299999999999994</v>
      </c>
      <c r="R150" s="3">
        <v>115.26</v>
      </c>
      <c r="S150" s="2" t="s">
        <v>35</v>
      </c>
      <c r="T150" s="2" t="s">
        <v>36</v>
      </c>
      <c r="U150" s="2" t="s">
        <v>66</v>
      </c>
      <c r="V150" s="2" t="s">
        <v>513</v>
      </c>
      <c r="W150" s="3">
        <v>0</v>
      </c>
    </row>
    <row r="151" spans="1:23" x14ac:dyDescent="0.3">
      <c r="A151" s="4" t="s">
        <v>1162</v>
      </c>
      <c r="B151" s="4" t="s">
        <v>1163</v>
      </c>
      <c r="C151" s="4" t="s">
        <v>1164</v>
      </c>
      <c r="D151" s="4" t="s">
        <v>1165</v>
      </c>
      <c r="E151" s="4" t="s">
        <v>1166</v>
      </c>
      <c r="F151" s="4" t="s">
        <v>1167</v>
      </c>
      <c r="G151" s="4" t="s">
        <v>131</v>
      </c>
      <c r="H151" s="4" t="s">
        <v>88</v>
      </c>
      <c r="I151" s="4" t="s">
        <v>31</v>
      </c>
      <c r="J151" s="4" t="s">
        <v>1168</v>
      </c>
      <c r="K151" s="4" t="s">
        <v>122</v>
      </c>
      <c r="L151" s="4">
        <v>2</v>
      </c>
      <c r="M151" s="5">
        <v>134.97999999999999</v>
      </c>
      <c r="N151" s="4" t="s">
        <v>163</v>
      </c>
      <c r="O151" s="5">
        <v>27</v>
      </c>
      <c r="P151" s="5">
        <v>0</v>
      </c>
      <c r="Q151" s="5">
        <v>9.18</v>
      </c>
      <c r="R151" s="5">
        <v>117.16</v>
      </c>
      <c r="S151" s="4" t="s">
        <v>64</v>
      </c>
      <c r="T151" s="4" t="s">
        <v>173</v>
      </c>
      <c r="U151" s="4" t="s">
        <v>100</v>
      </c>
      <c r="V151" s="4"/>
      <c r="W151" s="5">
        <v>0</v>
      </c>
    </row>
    <row r="152" spans="1:23" x14ac:dyDescent="0.3">
      <c r="A152" s="2" t="s">
        <v>1169</v>
      </c>
      <c r="B152" s="2" t="s">
        <v>1170</v>
      </c>
      <c r="C152" s="2" t="s">
        <v>1171</v>
      </c>
      <c r="D152" s="2" t="s">
        <v>1172</v>
      </c>
      <c r="E152" s="2" t="s">
        <v>1173</v>
      </c>
      <c r="F152" s="2" t="s">
        <v>1174</v>
      </c>
      <c r="G152" s="2" t="s">
        <v>242</v>
      </c>
      <c r="H152" s="2" t="s">
        <v>243</v>
      </c>
      <c r="I152" s="2" t="s">
        <v>31</v>
      </c>
      <c r="J152" s="2" t="s">
        <v>1175</v>
      </c>
      <c r="K152" s="2" t="s">
        <v>143</v>
      </c>
      <c r="L152" s="2">
        <v>1</v>
      </c>
      <c r="M152" s="3">
        <v>54.99</v>
      </c>
      <c r="N152" s="2" t="s">
        <v>163</v>
      </c>
      <c r="O152" s="3">
        <v>11</v>
      </c>
      <c r="P152" s="3">
        <v>9.99</v>
      </c>
      <c r="Q152" s="3">
        <v>3.96</v>
      </c>
      <c r="R152" s="3">
        <v>57.94</v>
      </c>
      <c r="S152" s="2" t="s">
        <v>123</v>
      </c>
      <c r="T152" s="2" t="s">
        <v>36</v>
      </c>
      <c r="U152" s="2" t="s">
        <v>66</v>
      </c>
      <c r="V152" s="2" t="s">
        <v>1176</v>
      </c>
      <c r="W152" s="3">
        <v>0</v>
      </c>
    </row>
    <row r="153" spans="1:23" x14ac:dyDescent="0.3">
      <c r="A153" s="4" t="s">
        <v>1177</v>
      </c>
      <c r="B153" s="4" t="s">
        <v>1178</v>
      </c>
      <c r="C153" s="4" t="s">
        <v>1179</v>
      </c>
      <c r="D153" s="4" t="s">
        <v>1180</v>
      </c>
      <c r="E153" s="4" t="s">
        <v>1181</v>
      </c>
      <c r="F153" s="4" t="s">
        <v>1182</v>
      </c>
      <c r="G153" s="4" t="s">
        <v>1183</v>
      </c>
      <c r="H153" s="4" t="s">
        <v>88</v>
      </c>
      <c r="I153" s="4" t="s">
        <v>31</v>
      </c>
      <c r="J153" s="4" t="s">
        <v>1184</v>
      </c>
      <c r="K153" s="4" t="s">
        <v>122</v>
      </c>
      <c r="L153" s="4">
        <v>2</v>
      </c>
      <c r="M153" s="5">
        <v>154.97</v>
      </c>
      <c r="N153" s="4" t="s">
        <v>78</v>
      </c>
      <c r="O153" s="5">
        <v>15.5</v>
      </c>
      <c r="P153" s="5">
        <v>0</v>
      </c>
      <c r="Q153" s="5">
        <v>11.16</v>
      </c>
      <c r="R153" s="5">
        <v>150.63</v>
      </c>
      <c r="S153" s="4" t="s">
        <v>111</v>
      </c>
      <c r="T153" s="4" t="s">
        <v>99</v>
      </c>
      <c r="U153" s="4" t="s">
        <v>66</v>
      </c>
      <c r="V153" s="4" t="s">
        <v>1185</v>
      </c>
      <c r="W153" s="5">
        <v>0</v>
      </c>
    </row>
    <row r="154" spans="1:23" x14ac:dyDescent="0.3">
      <c r="A154" s="2" t="s">
        <v>1186</v>
      </c>
      <c r="B154" s="2" t="s">
        <v>1187</v>
      </c>
      <c r="C154" s="2" t="s">
        <v>1188</v>
      </c>
      <c r="D154" s="2" t="s">
        <v>1189</v>
      </c>
      <c r="E154" s="2" t="s">
        <v>1190</v>
      </c>
      <c r="F154" s="2" t="s">
        <v>1191</v>
      </c>
      <c r="G154" s="2" t="s">
        <v>403</v>
      </c>
      <c r="H154" s="2" t="s">
        <v>404</v>
      </c>
      <c r="I154" s="2" t="s">
        <v>31</v>
      </c>
      <c r="J154" s="2" t="s">
        <v>1192</v>
      </c>
      <c r="K154" s="2" t="s">
        <v>48</v>
      </c>
      <c r="L154" s="2">
        <v>3</v>
      </c>
      <c r="M154" s="3">
        <v>132.97</v>
      </c>
      <c r="N154" s="2" t="s">
        <v>78</v>
      </c>
      <c r="O154" s="3">
        <v>13.3</v>
      </c>
      <c r="P154" s="3">
        <v>0</v>
      </c>
      <c r="Q154" s="3">
        <v>11.97</v>
      </c>
      <c r="R154" s="3">
        <v>131.63999999999999</v>
      </c>
      <c r="S154" s="2" t="s">
        <v>35</v>
      </c>
      <c r="T154" s="2" t="s">
        <v>36</v>
      </c>
      <c r="U154" s="2" t="s">
        <v>37</v>
      </c>
      <c r="V154" s="2" t="s">
        <v>284</v>
      </c>
      <c r="W154" s="3">
        <v>131.63999999999999</v>
      </c>
    </row>
    <row r="155" spans="1:23" x14ac:dyDescent="0.3">
      <c r="A155" s="4" t="s">
        <v>1193</v>
      </c>
      <c r="B155" s="4" t="s">
        <v>1194</v>
      </c>
      <c r="C155" s="4" t="s">
        <v>1195</v>
      </c>
      <c r="D155" s="4" t="s">
        <v>1196</v>
      </c>
      <c r="E155" s="4" t="s">
        <v>1197</v>
      </c>
      <c r="F155" s="4" t="s">
        <v>1198</v>
      </c>
      <c r="G155" s="4" t="s">
        <v>74</v>
      </c>
      <c r="H155" s="4" t="s">
        <v>75</v>
      </c>
      <c r="I155" s="4" t="s">
        <v>31</v>
      </c>
      <c r="J155" s="4" t="s">
        <v>533</v>
      </c>
      <c r="K155" s="4" t="s">
        <v>209</v>
      </c>
      <c r="L155" s="4">
        <v>1</v>
      </c>
      <c r="M155" s="5">
        <v>239.98</v>
      </c>
      <c r="N155" s="4" t="s">
        <v>34</v>
      </c>
      <c r="O155" s="5">
        <v>0</v>
      </c>
      <c r="P155" s="5">
        <v>0</v>
      </c>
      <c r="Q155" s="5">
        <v>24</v>
      </c>
      <c r="R155" s="5">
        <v>263.98</v>
      </c>
      <c r="S155" s="4" t="s">
        <v>123</v>
      </c>
      <c r="T155" s="4" t="s">
        <v>99</v>
      </c>
      <c r="U155" s="4" t="s">
        <v>66</v>
      </c>
      <c r="V155" s="4" t="s">
        <v>1199</v>
      </c>
      <c r="W155" s="5">
        <v>0</v>
      </c>
    </row>
    <row r="156" spans="1:23" x14ac:dyDescent="0.3">
      <c r="A156" s="2" t="s">
        <v>1200</v>
      </c>
      <c r="B156" s="2" t="s">
        <v>1201</v>
      </c>
      <c r="C156" s="2" t="s">
        <v>1202</v>
      </c>
      <c r="D156" s="2" t="s">
        <v>1203</v>
      </c>
      <c r="E156" s="2" t="s">
        <v>1204</v>
      </c>
      <c r="F156" s="2" t="s">
        <v>1205</v>
      </c>
      <c r="G156" s="2" t="s">
        <v>640</v>
      </c>
      <c r="H156" s="2" t="s">
        <v>161</v>
      </c>
      <c r="I156" s="2" t="s">
        <v>31</v>
      </c>
      <c r="J156" s="2" t="s">
        <v>1206</v>
      </c>
      <c r="K156" s="2" t="s">
        <v>679</v>
      </c>
      <c r="L156" s="2">
        <v>3</v>
      </c>
      <c r="M156" s="3">
        <v>324.95</v>
      </c>
      <c r="N156" s="2" t="s">
        <v>34</v>
      </c>
      <c r="O156" s="3">
        <v>0</v>
      </c>
      <c r="P156" s="3">
        <v>0</v>
      </c>
      <c r="Q156" s="3">
        <v>32.5</v>
      </c>
      <c r="R156" s="3">
        <v>357.45</v>
      </c>
      <c r="S156" s="2" t="s">
        <v>437</v>
      </c>
      <c r="T156" s="2" t="s">
        <v>36</v>
      </c>
      <c r="U156" s="2" t="s">
        <v>51</v>
      </c>
      <c r="V156" s="2" t="s">
        <v>1207</v>
      </c>
      <c r="W156" s="3">
        <v>0</v>
      </c>
    </row>
    <row r="157" spans="1:23" x14ac:dyDescent="0.3">
      <c r="A157" s="4" t="s">
        <v>1208</v>
      </c>
      <c r="B157" s="4" t="s">
        <v>1209</v>
      </c>
      <c r="C157" s="4" t="s">
        <v>1210</v>
      </c>
      <c r="D157" s="4" t="s">
        <v>1211</v>
      </c>
      <c r="E157" s="4" t="s">
        <v>1212</v>
      </c>
      <c r="F157" s="4" t="s">
        <v>1213</v>
      </c>
      <c r="G157" s="4" t="s">
        <v>323</v>
      </c>
      <c r="H157" s="4" t="s">
        <v>324</v>
      </c>
      <c r="I157" s="4" t="s">
        <v>31</v>
      </c>
      <c r="J157" s="4" t="s">
        <v>151</v>
      </c>
      <c r="K157" s="4" t="s">
        <v>110</v>
      </c>
      <c r="L157" s="4">
        <v>1</v>
      </c>
      <c r="M157" s="5">
        <v>39.99</v>
      </c>
      <c r="N157" s="4" t="s">
        <v>163</v>
      </c>
      <c r="O157" s="5">
        <v>8</v>
      </c>
      <c r="P157" s="5">
        <v>7.99</v>
      </c>
      <c r="Q157" s="5">
        <v>3.2</v>
      </c>
      <c r="R157" s="5">
        <v>43.18</v>
      </c>
      <c r="S157" s="4" t="s">
        <v>332</v>
      </c>
      <c r="T157" s="4" t="s">
        <v>99</v>
      </c>
      <c r="U157" s="4" t="s">
        <v>100</v>
      </c>
      <c r="V157" s="4"/>
      <c r="W157" s="5">
        <v>0</v>
      </c>
    </row>
    <row r="158" spans="1:23" x14ac:dyDescent="0.3">
      <c r="A158" s="2" t="s">
        <v>1214</v>
      </c>
      <c r="B158" s="2" t="s">
        <v>1215</v>
      </c>
      <c r="C158" s="2" t="s">
        <v>1216</v>
      </c>
      <c r="D158" s="2" t="s">
        <v>1217</v>
      </c>
      <c r="E158" s="2" t="s">
        <v>1218</v>
      </c>
      <c r="F158" s="2" t="s">
        <v>1219</v>
      </c>
      <c r="G158" s="2" t="s">
        <v>251</v>
      </c>
      <c r="H158" s="2" t="s">
        <v>252</v>
      </c>
      <c r="I158" s="2" t="s">
        <v>31</v>
      </c>
      <c r="J158" s="2" t="s">
        <v>1220</v>
      </c>
      <c r="K158" s="2" t="s">
        <v>62</v>
      </c>
      <c r="L158" s="2">
        <v>4</v>
      </c>
      <c r="M158" s="3">
        <v>235.94</v>
      </c>
      <c r="N158" s="2" t="s">
        <v>34</v>
      </c>
      <c r="O158" s="3">
        <v>0</v>
      </c>
      <c r="P158" s="3">
        <v>0</v>
      </c>
      <c r="Q158" s="3">
        <v>18.88</v>
      </c>
      <c r="R158" s="3">
        <v>254.82</v>
      </c>
      <c r="S158" s="2" t="s">
        <v>64</v>
      </c>
      <c r="T158" s="2" t="s">
        <v>36</v>
      </c>
      <c r="U158" s="2" t="s">
        <v>66</v>
      </c>
      <c r="V158" s="2" t="s">
        <v>1108</v>
      </c>
      <c r="W158" s="3">
        <v>0</v>
      </c>
    </row>
    <row r="159" spans="1:23" x14ac:dyDescent="0.3">
      <c r="A159" s="4" t="s">
        <v>1221</v>
      </c>
      <c r="B159" s="4" t="s">
        <v>1222</v>
      </c>
      <c r="C159" s="4" t="s">
        <v>1223</v>
      </c>
      <c r="D159" s="4" t="s">
        <v>1224</v>
      </c>
      <c r="E159" s="4" t="s">
        <v>1225</v>
      </c>
      <c r="F159" s="4" t="s">
        <v>1226</v>
      </c>
      <c r="G159" s="4" t="s">
        <v>692</v>
      </c>
      <c r="H159" s="4" t="s">
        <v>693</v>
      </c>
      <c r="I159" s="4" t="s">
        <v>31</v>
      </c>
      <c r="J159" s="4" t="s">
        <v>151</v>
      </c>
      <c r="K159" s="4" t="s">
        <v>110</v>
      </c>
      <c r="L159" s="4">
        <v>1</v>
      </c>
      <c r="M159" s="5">
        <v>39.99</v>
      </c>
      <c r="N159" s="4" t="s">
        <v>163</v>
      </c>
      <c r="O159" s="5">
        <v>8</v>
      </c>
      <c r="P159" s="5">
        <v>4.99</v>
      </c>
      <c r="Q159" s="5">
        <v>1.92</v>
      </c>
      <c r="R159" s="5">
        <v>38.9</v>
      </c>
      <c r="S159" s="4" t="s">
        <v>64</v>
      </c>
      <c r="T159" s="4" t="s">
        <v>183</v>
      </c>
      <c r="U159" s="4" t="s">
        <v>317</v>
      </c>
      <c r="V159" s="4"/>
      <c r="W159" s="5">
        <v>0</v>
      </c>
    </row>
    <row r="160" spans="1:23" x14ac:dyDescent="0.3">
      <c r="A160" s="2" t="s">
        <v>1227</v>
      </c>
      <c r="B160" s="2" t="s">
        <v>595</v>
      </c>
      <c r="C160" s="2" t="s">
        <v>1228</v>
      </c>
      <c r="D160" s="2" t="s">
        <v>1229</v>
      </c>
      <c r="E160" s="2" t="s">
        <v>1230</v>
      </c>
      <c r="F160" s="2" t="s">
        <v>1231</v>
      </c>
      <c r="G160" s="2" t="s">
        <v>171</v>
      </c>
      <c r="H160" s="2" t="s">
        <v>88</v>
      </c>
      <c r="I160" s="2" t="s">
        <v>31</v>
      </c>
      <c r="J160" s="2" t="s">
        <v>1232</v>
      </c>
      <c r="K160" s="2" t="s">
        <v>77</v>
      </c>
      <c r="L160" s="2">
        <v>1</v>
      </c>
      <c r="M160" s="3">
        <v>34.99</v>
      </c>
      <c r="N160" s="2" t="s">
        <v>34</v>
      </c>
      <c r="O160" s="3">
        <v>0</v>
      </c>
      <c r="P160" s="3">
        <v>5.99</v>
      </c>
      <c r="Q160" s="3">
        <v>2.1</v>
      </c>
      <c r="R160" s="3">
        <v>43.08</v>
      </c>
      <c r="S160" s="2" t="s">
        <v>123</v>
      </c>
      <c r="T160" s="2" t="s">
        <v>99</v>
      </c>
      <c r="U160" s="2" t="s">
        <v>66</v>
      </c>
      <c r="V160" s="2" t="s">
        <v>82</v>
      </c>
      <c r="W160" s="3">
        <v>0</v>
      </c>
    </row>
    <row r="161" spans="1:23" x14ac:dyDescent="0.3">
      <c r="A161" s="4" t="s">
        <v>1233</v>
      </c>
      <c r="B161" s="4" t="s">
        <v>372</v>
      </c>
      <c r="C161" s="4" t="s">
        <v>1234</v>
      </c>
      <c r="D161" s="4" t="s">
        <v>1235</v>
      </c>
      <c r="E161" s="4" t="s">
        <v>1236</v>
      </c>
      <c r="F161" s="4" t="s">
        <v>1237</v>
      </c>
      <c r="G161" s="4" t="s">
        <v>59</v>
      </c>
      <c r="H161" s="4" t="s">
        <v>60</v>
      </c>
      <c r="I161" s="4" t="s">
        <v>31</v>
      </c>
      <c r="J161" s="4" t="s">
        <v>1238</v>
      </c>
      <c r="K161" s="4" t="s">
        <v>209</v>
      </c>
      <c r="L161" s="4">
        <v>1</v>
      </c>
      <c r="M161" s="5">
        <v>39.99</v>
      </c>
      <c r="N161" s="4" t="s">
        <v>34</v>
      </c>
      <c r="O161" s="5">
        <v>0</v>
      </c>
      <c r="P161" s="5">
        <v>9.99</v>
      </c>
      <c r="Q161" s="5">
        <v>3.2</v>
      </c>
      <c r="R161" s="5">
        <v>53.18</v>
      </c>
      <c r="S161" s="4" t="s">
        <v>437</v>
      </c>
      <c r="T161" s="4" t="s">
        <v>99</v>
      </c>
      <c r="U161" s="4" t="s">
        <v>66</v>
      </c>
      <c r="V161" s="4" t="s">
        <v>1124</v>
      </c>
      <c r="W161" s="5">
        <v>0</v>
      </c>
    </row>
    <row r="162" spans="1:23" x14ac:dyDescent="0.3">
      <c r="A162" s="2" t="s">
        <v>1239</v>
      </c>
      <c r="B162" s="2" t="s">
        <v>194</v>
      </c>
      <c r="C162" s="2" t="s">
        <v>1240</v>
      </c>
      <c r="D162" s="2" t="s">
        <v>1241</v>
      </c>
      <c r="E162" s="2" t="s">
        <v>1242</v>
      </c>
      <c r="F162" s="2" t="s">
        <v>1243</v>
      </c>
      <c r="G162" s="2" t="s">
        <v>59</v>
      </c>
      <c r="H162" s="2" t="s">
        <v>60</v>
      </c>
      <c r="I162" s="2" t="s">
        <v>31</v>
      </c>
      <c r="J162" s="2" t="s">
        <v>1244</v>
      </c>
      <c r="K162" s="2" t="s">
        <v>62</v>
      </c>
      <c r="L162" s="2">
        <v>2</v>
      </c>
      <c r="M162" s="3">
        <v>159.97</v>
      </c>
      <c r="N162" s="2" t="s">
        <v>152</v>
      </c>
      <c r="O162" s="3">
        <v>8</v>
      </c>
      <c r="P162" s="3">
        <v>0</v>
      </c>
      <c r="Q162" s="3">
        <v>13.68</v>
      </c>
      <c r="R162" s="3">
        <v>165.65</v>
      </c>
      <c r="S162" s="2" t="s">
        <v>35</v>
      </c>
      <c r="T162" s="2" t="s">
        <v>99</v>
      </c>
      <c r="U162" s="2" t="s">
        <v>66</v>
      </c>
      <c r="V162" s="2" t="s">
        <v>476</v>
      </c>
      <c r="W162" s="3">
        <v>0</v>
      </c>
    </row>
    <row r="163" spans="1:23" x14ac:dyDescent="0.3">
      <c r="A163" s="4" t="s">
        <v>1245</v>
      </c>
      <c r="B163" s="4" t="s">
        <v>1246</v>
      </c>
      <c r="C163" s="4" t="s">
        <v>1247</v>
      </c>
      <c r="D163" s="4" t="s">
        <v>1248</v>
      </c>
      <c r="E163" s="4" t="s">
        <v>1249</v>
      </c>
      <c r="F163" s="4" t="s">
        <v>1250</v>
      </c>
      <c r="G163" s="4" t="s">
        <v>107</v>
      </c>
      <c r="H163" s="4" t="s">
        <v>108</v>
      </c>
      <c r="I163" s="4" t="s">
        <v>31</v>
      </c>
      <c r="J163" s="4" t="s">
        <v>1251</v>
      </c>
      <c r="K163" s="4" t="s">
        <v>77</v>
      </c>
      <c r="L163" s="4">
        <v>5</v>
      </c>
      <c r="M163" s="5">
        <v>315.93</v>
      </c>
      <c r="N163" s="4" t="s">
        <v>34</v>
      </c>
      <c r="O163" s="5">
        <v>0</v>
      </c>
      <c r="P163" s="5">
        <v>0</v>
      </c>
      <c r="Q163" s="5">
        <v>18.96</v>
      </c>
      <c r="R163" s="5">
        <v>334.89</v>
      </c>
      <c r="S163" s="4" t="s">
        <v>64</v>
      </c>
      <c r="T163" s="4" t="s">
        <v>99</v>
      </c>
      <c r="U163" s="4" t="s">
        <v>66</v>
      </c>
      <c r="V163" s="4" t="s">
        <v>1252</v>
      </c>
      <c r="W163" s="5">
        <v>0</v>
      </c>
    </row>
    <row r="164" spans="1:23" x14ac:dyDescent="0.3">
      <c r="A164" s="2" t="s">
        <v>1253</v>
      </c>
      <c r="B164" s="2" t="s">
        <v>965</v>
      </c>
      <c r="C164" s="2" t="s">
        <v>1254</v>
      </c>
      <c r="D164" s="2" t="s">
        <v>1255</v>
      </c>
      <c r="E164" s="2" t="s">
        <v>1256</v>
      </c>
      <c r="F164" s="2" t="s">
        <v>1257</v>
      </c>
      <c r="G164" s="2" t="s">
        <v>107</v>
      </c>
      <c r="H164" s="2" t="s">
        <v>108</v>
      </c>
      <c r="I164" s="2" t="s">
        <v>31</v>
      </c>
      <c r="J164" s="2" t="s">
        <v>526</v>
      </c>
      <c r="K164" s="2" t="s">
        <v>110</v>
      </c>
      <c r="L164" s="2">
        <v>1</v>
      </c>
      <c r="M164" s="3">
        <v>32.99</v>
      </c>
      <c r="N164" s="2" t="s">
        <v>152</v>
      </c>
      <c r="O164" s="3">
        <v>1.65</v>
      </c>
      <c r="P164" s="3">
        <v>5.99</v>
      </c>
      <c r="Q164" s="3">
        <v>2.5099999999999998</v>
      </c>
      <c r="R164" s="3">
        <v>39.840000000000003</v>
      </c>
      <c r="S164" s="2" t="s">
        <v>35</v>
      </c>
      <c r="T164" s="2" t="s">
        <v>99</v>
      </c>
      <c r="U164" s="2" t="s">
        <v>66</v>
      </c>
      <c r="V164" s="2" t="s">
        <v>389</v>
      </c>
      <c r="W164" s="3">
        <v>0</v>
      </c>
    </row>
    <row r="165" spans="1:23" x14ac:dyDescent="0.3">
      <c r="A165" s="4" t="s">
        <v>1258</v>
      </c>
      <c r="B165" s="4" t="s">
        <v>1259</v>
      </c>
      <c r="C165" s="4" t="s">
        <v>1260</v>
      </c>
      <c r="D165" s="4" t="s">
        <v>1261</v>
      </c>
      <c r="E165" s="4" t="s">
        <v>1262</v>
      </c>
      <c r="F165" s="4" t="s">
        <v>1263</v>
      </c>
      <c r="G165" s="4" t="s">
        <v>190</v>
      </c>
      <c r="H165" s="4" t="s">
        <v>161</v>
      </c>
      <c r="I165" s="4" t="s">
        <v>31</v>
      </c>
      <c r="J165" s="4" t="s">
        <v>503</v>
      </c>
      <c r="K165" s="4" t="s">
        <v>122</v>
      </c>
      <c r="L165" s="4">
        <v>1</v>
      </c>
      <c r="M165" s="5">
        <v>59.99</v>
      </c>
      <c r="N165" s="4" t="s">
        <v>49</v>
      </c>
      <c r="O165" s="5">
        <v>9</v>
      </c>
      <c r="P165" s="5">
        <v>4.99</v>
      </c>
      <c r="Q165" s="5">
        <v>4.33</v>
      </c>
      <c r="R165" s="5">
        <v>60.31</v>
      </c>
      <c r="S165" s="4" t="s">
        <v>64</v>
      </c>
      <c r="T165" s="4" t="s">
        <v>99</v>
      </c>
      <c r="U165" s="4" t="s">
        <v>66</v>
      </c>
      <c r="V165" s="4" t="s">
        <v>1065</v>
      </c>
      <c r="W165" s="5">
        <v>0</v>
      </c>
    </row>
    <row r="166" spans="1:23" x14ac:dyDescent="0.3">
      <c r="A166" s="2" t="s">
        <v>1264</v>
      </c>
      <c r="B166" s="2" t="s">
        <v>397</v>
      </c>
      <c r="C166" s="2" t="s">
        <v>1265</v>
      </c>
      <c r="D166" s="2" t="s">
        <v>1266</v>
      </c>
      <c r="E166" s="2" t="s">
        <v>1267</v>
      </c>
      <c r="F166" s="2" t="s">
        <v>1268</v>
      </c>
      <c r="G166" s="2" t="s">
        <v>323</v>
      </c>
      <c r="H166" s="2" t="s">
        <v>324</v>
      </c>
      <c r="I166" s="2" t="s">
        <v>31</v>
      </c>
      <c r="J166" s="2" t="s">
        <v>1269</v>
      </c>
      <c r="K166" s="2" t="s">
        <v>77</v>
      </c>
      <c r="L166" s="2">
        <v>1</v>
      </c>
      <c r="M166" s="3">
        <v>27.99</v>
      </c>
      <c r="N166" s="2" t="s">
        <v>78</v>
      </c>
      <c r="O166" s="3">
        <v>2.8</v>
      </c>
      <c r="P166" s="3">
        <v>4.99</v>
      </c>
      <c r="Q166" s="3">
        <v>1.51</v>
      </c>
      <c r="R166" s="3">
        <v>31.69</v>
      </c>
      <c r="S166" s="2" t="s">
        <v>35</v>
      </c>
      <c r="T166" s="2" t="s">
        <v>173</v>
      </c>
      <c r="U166" s="2" t="s">
        <v>37</v>
      </c>
      <c r="V166" s="2" t="s">
        <v>114</v>
      </c>
      <c r="W166" s="3">
        <v>31.69</v>
      </c>
    </row>
    <row r="167" spans="1:23" x14ac:dyDescent="0.3">
      <c r="A167" s="4" t="s">
        <v>1270</v>
      </c>
      <c r="B167" s="4" t="s">
        <v>1271</v>
      </c>
      <c r="C167" s="4" t="s">
        <v>1272</v>
      </c>
      <c r="D167" s="4" t="s">
        <v>1273</v>
      </c>
      <c r="E167" s="4" t="s">
        <v>1274</v>
      </c>
      <c r="F167" s="4" t="s">
        <v>1275</v>
      </c>
      <c r="G167" s="4" t="s">
        <v>640</v>
      </c>
      <c r="H167" s="4" t="s">
        <v>161</v>
      </c>
      <c r="I167" s="4" t="s">
        <v>31</v>
      </c>
      <c r="J167" s="4" t="s">
        <v>76</v>
      </c>
      <c r="K167" s="4" t="s">
        <v>77</v>
      </c>
      <c r="L167" s="4">
        <v>2</v>
      </c>
      <c r="M167" s="5">
        <v>102.98</v>
      </c>
      <c r="N167" s="4" t="s">
        <v>152</v>
      </c>
      <c r="O167" s="5">
        <v>5.15</v>
      </c>
      <c r="P167" s="5">
        <v>0</v>
      </c>
      <c r="Q167" s="5">
        <v>9.7799999999999994</v>
      </c>
      <c r="R167" s="5">
        <v>107.61</v>
      </c>
      <c r="S167" s="4" t="s">
        <v>64</v>
      </c>
      <c r="T167" s="4" t="s">
        <v>99</v>
      </c>
      <c r="U167" s="4" t="s">
        <v>37</v>
      </c>
      <c r="V167" s="4" t="s">
        <v>166</v>
      </c>
      <c r="W167" s="5">
        <v>107.61</v>
      </c>
    </row>
    <row r="168" spans="1:23" x14ac:dyDescent="0.3">
      <c r="A168" s="2" t="s">
        <v>1276</v>
      </c>
      <c r="B168" s="2" t="s">
        <v>696</v>
      </c>
      <c r="C168" s="2" t="s">
        <v>1277</v>
      </c>
      <c r="D168" s="2" t="s">
        <v>1278</v>
      </c>
      <c r="E168" s="2" t="s">
        <v>1279</v>
      </c>
      <c r="F168" s="2" t="s">
        <v>1280</v>
      </c>
      <c r="G168" s="2" t="s">
        <v>323</v>
      </c>
      <c r="H168" s="2" t="s">
        <v>324</v>
      </c>
      <c r="I168" s="2" t="s">
        <v>31</v>
      </c>
      <c r="J168" s="2" t="s">
        <v>267</v>
      </c>
      <c r="K168" s="2" t="s">
        <v>62</v>
      </c>
      <c r="L168" s="2">
        <v>1</v>
      </c>
      <c r="M168" s="3">
        <v>54.99</v>
      </c>
      <c r="N168" s="2" t="s">
        <v>49</v>
      </c>
      <c r="O168" s="3">
        <v>8.25</v>
      </c>
      <c r="P168" s="3">
        <v>5.99</v>
      </c>
      <c r="Q168" s="3">
        <v>3.74</v>
      </c>
      <c r="R168" s="3">
        <v>56.47</v>
      </c>
      <c r="S168" s="2" t="s">
        <v>35</v>
      </c>
      <c r="T168" s="2" t="s">
        <v>65</v>
      </c>
      <c r="U168" s="2" t="s">
        <v>51</v>
      </c>
      <c r="V168" s="2" t="s">
        <v>701</v>
      </c>
      <c r="W168" s="3">
        <v>0</v>
      </c>
    </row>
    <row r="169" spans="1:23" x14ac:dyDescent="0.3">
      <c r="A169" s="4" t="s">
        <v>1281</v>
      </c>
      <c r="B169" s="4" t="s">
        <v>1282</v>
      </c>
      <c r="C169" s="4" t="s">
        <v>1283</v>
      </c>
      <c r="D169" s="4" t="s">
        <v>1284</v>
      </c>
      <c r="E169" s="4" t="s">
        <v>1285</v>
      </c>
      <c r="F169" s="4" t="s">
        <v>1286</v>
      </c>
      <c r="G169" s="4" t="s">
        <v>282</v>
      </c>
      <c r="H169" s="4" t="s">
        <v>88</v>
      </c>
      <c r="I169" s="4" t="s">
        <v>31</v>
      </c>
      <c r="J169" s="4" t="s">
        <v>1287</v>
      </c>
      <c r="K169" s="4" t="s">
        <v>209</v>
      </c>
      <c r="L169" s="4">
        <v>2</v>
      </c>
      <c r="M169" s="5">
        <v>94.98</v>
      </c>
      <c r="N169" s="4" t="s">
        <v>78</v>
      </c>
      <c r="O169" s="5">
        <v>9.5</v>
      </c>
      <c r="P169" s="5">
        <v>0</v>
      </c>
      <c r="Q169" s="5">
        <v>6.84</v>
      </c>
      <c r="R169" s="5">
        <v>92.32</v>
      </c>
      <c r="S169" s="4" t="s">
        <v>35</v>
      </c>
      <c r="T169" s="4" t="s">
        <v>36</v>
      </c>
      <c r="U169" s="4" t="s">
        <v>66</v>
      </c>
      <c r="V169" s="4" t="s">
        <v>564</v>
      </c>
      <c r="W169" s="5">
        <v>0</v>
      </c>
    </row>
    <row r="170" spans="1:23" x14ac:dyDescent="0.3">
      <c r="A170" s="2" t="s">
        <v>1288</v>
      </c>
      <c r="B170" s="2" t="s">
        <v>358</v>
      </c>
      <c r="C170" s="2" t="s">
        <v>1289</v>
      </c>
      <c r="D170" s="2" t="s">
        <v>1290</v>
      </c>
      <c r="E170" s="2" t="s">
        <v>1291</v>
      </c>
      <c r="F170" s="2" t="s">
        <v>1292</v>
      </c>
      <c r="G170" s="2" t="s">
        <v>45</v>
      </c>
      <c r="H170" s="2" t="s">
        <v>46</v>
      </c>
      <c r="I170" s="2" t="s">
        <v>31</v>
      </c>
      <c r="J170" s="2" t="s">
        <v>1293</v>
      </c>
      <c r="K170" s="2" t="s">
        <v>33</v>
      </c>
      <c r="L170" s="2">
        <v>3</v>
      </c>
      <c r="M170" s="3">
        <v>156.96</v>
      </c>
      <c r="N170" s="2" t="s">
        <v>49</v>
      </c>
      <c r="O170" s="3">
        <v>23.54</v>
      </c>
      <c r="P170" s="3">
        <v>0</v>
      </c>
      <c r="Q170" s="3">
        <v>8.01</v>
      </c>
      <c r="R170" s="3">
        <v>141.43</v>
      </c>
      <c r="S170" s="2" t="s">
        <v>35</v>
      </c>
      <c r="T170" s="2" t="s">
        <v>99</v>
      </c>
      <c r="U170" s="2" t="s">
        <v>66</v>
      </c>
      <c r="V170" s="2" t="s">
        <v>1294</v>
      </c>
      <c r="W170" s="3">
        <v>0</v>
      </c>
    </row>
    <row r="171" spans="1:23" x14ac:dyDescent="0.3">
      <c r="A171" s="4" t="s">
        <v>1295</v>
      </c>
      <c r="B171" s="4" t="s">
        <v>1296</v>
      </c>
      <c r="C171" s="4" t="s">
        <v>1297</v>
      </c>
      <c r="D171" s="4" t="s">
        <v>1298</v>
      </c>
      <c r="E171" s="4" t="s">
        <v>1299</v>
      </c>
      <c r="F171" s="4" t="s">
        <v>1300</v>
      </c>
      <c r="G171" s="4" t="s">
        <v>1183</v>
      </c>
      <c r="H171" s="4" t="s">
        <v>88</v>
      </c>
      <c r="I171" s="4" t="s">
        <v>31</v>
      </c>
      <c r="J171" s="4" t="s">
        <v>1301</v>
      </c>
      <c r="K171" s="4" t="s">
        <v>209</v>
      </c>
      <c r="L171" s="4">
        <v>5</v>
      </c>
      <c r="M171" s="5">
        <v>617.91</v>
      </c>
      <c r="N171" s="4" t="s">
        <v>34</v>
      </c>
      <c r="O171" s="5">
        <v>0</v>
      </c>
      <c r="P171" s="5">
        <v>0</v>
      </c>
      <c r="Q171" s="5">
        <v>55.61</v>
      </c>
      <c r="R171" s="5">
        <v>673.52</v>
      </c>
      <c r="S171" s="4" t="s">
        <v>35</v>
      </c>
      <c r="T171" s="4" t="s">
        <v>99</v>
      </c>
      <c r="U171" s="4" t="s">
        <v>317</v>
      </c>
      <c r="V171" s="4"/>
      <c r="W171" s="5">
        <v>0</v>
      </c>
    </row>
    <row r="172" spans="1:23" x14ac:dyDescent="0.3">
      <c r="A172" s="2" t="s">
        <v>1302</v>
      </c>
      <c r="B172" s="2" t="s">
        <v>447</v>
      </c>
      <c r="C172" s="2" t="s">
        <v>1303</v>
      </c>
      <c r="D172" s="2" t="s">
        <v>1304</v>
      </c>
      <c r="E172" s="2" t="s">
        <v>1305</v>
      </c>
      <c r="F172" s="2" t="s">
        <v>1306</v>
      </c>
      <c r="G172" s="2" t="s">
        <v>160</v>
      </c>
      <c r="H172" s="2" t="s">
        <v>161</v>
      </c>
      <c r="I172" s="2" t="s">
        <v>31</v>
      </c>
      <c r="J172" s="2" t="s">
        <v>1307</v>
      </c>
      <c r="K172" s="2" t="s">
        <v>364</v>
      </c>
      <c r="L172" s="2">
        <v>4</v>
      </c>
      <c r="M172" s="3">
        <v>236.94</v>
      </c>
      <c r="N172" s="2" t="s">
        <v>34</v>
      </c>
      <c r="O172" s="3">
        <v>0</v>
      </c>
      <c r="P172" s="3">
        <v>0</v>
      </c>
      <c r="Q172" s="3">
        <v>21.32</v>
      </c>
      <c r="R172" s="3">
        <v>258.26</v>
      </c>
      <c r="S172" s="2" t="s">
        <v>35</v>
      </c>
      <c r="T172" s="2" t="s">
        <v>99</v>
      </c>
      <c r="U172" s="2" t="s">
        <v>100</v>
      </c>
      <c r="V172" s="2"/>
      <c r="W172" s="3">
        <v>0</v>
      </c>
    </row>
    <row r="173" spans="1:23" x14ac:dyDescent="0.3">
      <c r="A173" s="4" t="s">
        <v>1308</v>
      </c>
      <c r="B173" s="4" t="s">
        <v>229</v>
      </c>
      <c r="C173" s="4" t="s">
        <v>1309</v>
      </c>
      <c r="D173" s="4" t="s">
        <v>1310</v>
      </c>
      <c r="E173" s="4" t="s">
        <v>1311</v>
      </c>
      <c r="F173" s="4" t="s">
        <v>1312</v>
      </c>
      <c r="G173" s="4" t="s">
        <v>394</v>
      </c>
      <c r="H173" s="4" t="s">
        <v>395</v>
      </c>
      <c r="I173" s="4" t="s">
        <v>31</v>
      </c>
      <c r="J173" s="4" t="s">
        <v>1313</v>
      </c>
      <c r="K173" s="4" t="s">
        <v>62</v>
      </c>
      <c r="L173" s="4">
        <v>2</v>
      </c>
      <c r="M173" s="5">
        <v>134.97</v>
      </c>
      <c r="N173" s="4" t="s">
        <v>78</v>
      </c>
      <c r="O173" s="5">
        <v>13.5</v>
      </c>
      <c r="P173" s="5">
        <v>0</v>
      </c>
      <c r="Q173" s="5">
        <v>12.15</v>
      </c>
      <c r="R173" s="5">
        <v>133.62</v>
      </c>
      <c r="S173" s="4" t="s">
        <v>64</v>
      </c>
      <c r="T173" s="4" t="s">
        <v>99</v>
      </c>
      <c r="U173" s="4" t="s">
        <v>51</v>
      </c>
      <c r="V173" s="4" t="s">
        <v>595</v>
      </c>
      <c r="W173" s="5">
        <v>0</v>
      </c>
    </row>
    <row r="174" spans="1:23" x14ac:dyDescent="0.3">
      <c r="A174" s="2" t="s">
        <v>1314</v>
      </c>
      <c r="B174" s="2" t="s">
        <v>1315</v>
      </c>
      <c r="C174" s="2" t="s">
        <v>1316</v>
      </c>
      <c r="D174" s="2" t="s">
        <v>1317</v>
      </c>
      <c r="E174" s="2" t="s">
        <v>1318</v>
      </c>
      <c r="F174" s="2" t="s">
        <v>1319</v>
      </c>
      <c r="G174" s="2" t="s">
        <v>640</v>
      </c>
      <c r="H174" s="2" t="s">
        <v>161</v>
      </c>
      <c r="I174" s="2" t="s">
        <v>31</v>
      </c>
      <c r="J174" s="2" t="s">
        <v>1320</v>
      </c>
      <c r="K174" s="2" t="s">
        <v>364</v>
      </c>
      <c r="L174" s="2">
        <v>1</v>
      </c>
      <c r="M174" s="3">
        <v>89.98</v>
      </c>
      <c r="N174" s="2" t="s">
        <v>63</v>
      </c>
      <c r="O174" s="3">
        <v>22.5</v>
      </c>
      <c r="P174" s="3">
        <v>0</v>
      </c>
      <c r="Q174" s="3">
        <v>6.75</v>
      </c>
      <c r="R174" s="3">
        <v>74.23</v>
      </c>
      <c r="S174" s="2" t="s">
        <v>64</v>
      </c>
      <c r="T174" s="2" t="s">
        <v>99</v>
      </c>
      <c r="U174" s="2" t="s">
        <v>66</v>
      </c>
      <c r="V174" s="2" t="s">
        <v>1321</v>
      </c>
      <c r="W174" s="3">
        <v>0</v>
      </c>
    </row>
    <row r="175" spans="1:23" x14ac:dyDescent="0.3">
      <c r="A175" s="4" t="s">
        <v>1322</v>
      </c>
      <c r="B175" s="4" t="s">
        <v>1323</v>
      </c>
      <c r="C175" s="4" t="s">
        <v>432</v>
      </c>
      <c r="D175" s="4" t="s">
        <v>1324</v>
      </c>
      <c r="E175" s="4" t="s">
        <v>1325</v>
      </c>
      <c r="F175" s="4" t="s">
        <v>1326</v>
      </c>
      <c r="G175" s="4" t="s">
        <v>1183</v>
      </c>
      <c r="H175" s="4" t="s">
        <v>88</v>
      </c>
      <c r="I175" s="4" t="s">
        <v>31</v>
      </c>
      <c r="J175" s="4" t="s">
        <v>1327</v>
      </c>
      <c r="K175" s="4" t="s">
        <v>209</v>
      </c>
      <c r="L175" s="4">
        <v>4</v>
      </c>
      <c r="M175" s="5">
        <v>259.94</v>
      </c>
      <c r="N175" s="4" t="s">
        <v>163</v>
      </c>
      <c r="O175" s="5">
        <v>51.99</v>
      </c>
      <c r="P175" s="5">
        <v>0</v>
      </c>
      <c r="Q175" s="5">
        <v>14.56</v>
      </c>
      <c r="R175" s="5">
        <v>222.51</v>
      </c>
      <c r="S175" s="4" t="s">
        <v>35</v>
      </c>
      <c r="T175" s="4" t="s">
        <v>183</v>
      </c>
      <c r="U175" s="4" t="s">
        <v>51</v>
      </c>
      <c r="V175" s="4" t="s">
        <v>656</v>
      </c>
      <c r="W175" s="5">
        <v>0</v>
      </c>
    </row>
    <row r="176" spans="1:23" x14ac:dyDescent="0.3">
      <c r="A176" s="2" t="s">
        <v>1328</v>
      </c>
      <c r="B176" s="2" t="s">
        <v>1329</v>
      </c>
      <c r="C176" s="2" t="s">
        <v>1330</v>
      </c>
      <c r="D176" s="2" t="s">
        <v>1331</v>
      </c>
      <c r="E176" s="2" t="s">
        <v>1332</v>
      </c>
      <c r="F176" s="2" t="s">
        <v>1333</v>
      </c>
      <c r="G176" s="2" t="s">
        <v>119</v>
      </c>
      <c r="H176" s="2" t="s">
        <v>120</v>
      </c>
      <c r="I176" s="2" t="s">
        <v>31</v>
      </c>
      <c r="J176" s="2" t="s">
        <v>577</v>
      </c>
      <c r="K176" s="2" t="s">
        <v>364</v>
      </c>
      <c r="L176" s="2">
        <v>1</v>
      </c>
      <c r="M176" s="3">
        <v>19.989999999999998</v>
      </c>
      <c r="N176" s="2" t="s">
        <v>34</v>
      </c>
      <c r="O176" s="3">
        <v>0</v>
      </c>
      <c r="P176" s="3">
        <v>5.99</v>
      </c>
      <c r="Q176" s="3">
        <v>1.6</v>
      </c>
      <c r="R176" s="3">
        <v>27.58</v>
      </c>
      <c r="S176" s="2" t="s">
        <v>35</v>
      </c>
      <c r="T176" s="2" t="s">
        <v>65</v>
      </c>
      <c r="U176" s="2" t="s">
        <v>66</v>
      </c>
      <c r="V176" s="2" t="s">
        <v>1334</v>
      </c>
      <c r="W176" s="3">
        <v>0</v>
      </c>
    </row>
    <row r="177" spans="1:23" x14ac:dyDescent="0.3">
      <c r="A177" s="4" t="s">
        <v>1335</v>
      </c>
      <c r="B177" s="4" t="s">
        <v>633</v>
      </c>
      <c r="C177" s="4" t="s">
        <v>1336</v>
      </c>
      <c r="D177" s="4" t="s">
        <v>1337</v>
      </c>
      <c r="E177" s="4" t="s">
        <v>1338</v>
      </c>
      <c r="F177" s="4" t="s">
        <v>1339</v>
      </c>
      <c r="G177" s="4" t="s">
        <v>119</v>
      </c>
      <c r="H177" s="4" t="s">
        <v>120</v>
      </c>
      <c r="I177" s="4" t="s">
        <v>31</v>
      </c>
      <c r="J177" s="4" t="s">
        <v>1340</v>
      </c>
      <c r="K177" s="4" t="s">
        <v>209</v>
      </c>
      <c r="L177" s="4">
        <v>1</v>
      </c>
      <c r="M177" s="5">
        <v>119.99</v>
      </c>
      <c r="N177" s="4" t="s">
        <v>63</v>
      </c>
      <c r="O177" s="5">
        <v>30</v>
      </c>
      <c r="P177" s="5">
        <v>0</v>
      </c>
      <c r="Q177" s="5">
        <v>6.3</v>
      </c>
      <c r="R177" s="5">
        <v>96.29</v>
      </c>
      <c r="S177" s="4" t="s">
        <v>64</v>
      </c>
      <c r="T177" s="4" t="s">
        <v>183</v>
      </c>
      <c r="U177" s="4" t="s">
        <v>66</v>
      </c>
      <c r="V177" s="4" t="s">
        <v>1341</v>
      </c>
      <c r="W177" s="5">
        <v>0</v>
      </c>
    </row>
    <row r="178" spans="1:23" x14ac:dyDescent="0.3">
      <c r="A178" s="2" t="s">
        <v>1342</v>
      </c>
      <c r="B178" s="2" t="s">
        <v>1321</v>
      </c>
      <c r="C178" s="2" t="s">
        <v>1343</v>
      </c>
      <c r="D178" s="2" t="s">
        <v>1344</v>
      </c>
      <c r="E178" s="2" t="s">
        <v>1345</v>
      </c>
      <c r="F178" s="2" t="s">
        <v>1346</v>
      </c>
      <c r="G178" s="2" t="s">
        <v>394</v>
      </c>
      <c r="H178" s="2" t="s">
        <v>395</v>
      </c>
      <c r="I178" s="2" t="s">
        <v>31</v>
      </c>
      <c r="J178" s="2" t="s">
        <v>217</v>
      </c>
      <c r="K178" s="2" t="s">
        <v>110</v>
      </c>
      <c r="L178" s="2">
        <v>1</v>
      </c>
      <c r="M178" s="3">
        <v>22.99</v>
      </c>
      <c r="N178" s="2" t="s">
        <v>78</v>
      </c>
      <c r="O178" s="3">
        <v>2.2999999999999998</v>
      </c>
      <c r="P178" s="3">
        <v>4.99</v>
      </c>
      <c r="Q178" s="3">
        <v>1.76</v>
      </c>
      <c r="R178" s="3">
        <v>27.44</v>
      </c>
      <c r="S178" s="2" t="s">
        <v>123</v>
      </c>
      <c r="T178" s="2" t="s">
        <v>144</v>
      </c>
      <c r="U178" s="2" t="s">
        <v>66</v>
      </c>
      <c r="V178" s="2" t="s">
        <v>1347</v>
      </c>
      <c r="W178" s="3">
        <v>0</v>
      </c>
    </row>
    <row r="179" spans="1:23" x14ac:dyDescent="0.3">
      <c r="A179" s="4" t="s">
        <v>1348</v>
      </c>
      <c r="B179" s="4" t="s">
        <v>635</v>
      </c>
      <c r="C179" s="4" t="s">
        <v>1349</v>
      </c>
      <c r="D179" s="4" t="s">
        <v>1350</v>
      </c>
      <c r="E179" s="4" t="s">
        <v>1351</v>
      </c>
      <c r="F179" s="4" t="s">
        <v>1352</v>
      </c>
      <c r="G179" s="4" t="s">
        <v>224</v>
      </c>
      <c r="H179" s="4" t="s">
        <v>225</v>
      </c>
      <c r="I179" s="4" t="s">
        <v>31</v>
      </c>
      <c r="J179" s="4" t="s">
        <v>1353</v>
      </c>
      <c r="K179" s="4" t="s">
        <v>48</v>
      </c>
      <c r="L179" s="4">
        <v>2</v>
      </c>
      <c r="M179" s="5">
        <v>132.97</v>
      </c>
      <c r="N179" s="4" t="s">
        <v>34</v>
      </c>
      <c r="O179" s="5">
        <v>0</v>
      </c>
      <c r="P179" s="5">
        <v>0</v>
      </c>
      <c r="Q179" s="5">
        <v>9.31</v>
      </c>
      <c r="R179" s="5">
        <v>142.28</v>
      </c>
      <c r="S179" s="4" t="s">
        <v>35</v>
      </c>
      <c r="T179" s="4" t="s">
        <v>99</v>
      </c>
      <c r="U179" s="4" t="s">
        <v>51</v>
      </c>
      <c r="V179" s="4" t="s">
        <v>542</v>
      </c>
      <c r="W179" s="5">
        <v>0</v>
      </c>
    </row>
    <row r="180" spans="1:23" x14ac:dyDescent="0.3">
      <c r="A180" s="2" t="s">
        <v>1354</v>
      </c>
      <c r="B180" s="2" t="s">
        <v>527</v>
      </c>
      <c r="C180" s="2" t="s">
        <v>1355</v>
      </c>
      <c r="D180" s="2" t="s">
        <v>1356</v>
      </c>
      <c r="E180" s="2" t="s">
        <v>1357</v>
      </c>
      <c r="F180" s="2" t="s">
        <v>1358</v>
      </c>
      <c r="G180" s="2" t="s">
        <v>140</v>
      </c>
      <c r="H180" s="2" t="s">
        <v>141</v>
      </c>
      <c r="I180" s="2" t="s">
        <v>31</v>
      </c>
      <c r="J180" s="2" t="s">
        <v>1359</v>
      </c>
      <c r="K180" s="2" t="s">
        <v>143</v>
      </c>
      <c r="L180" s="2">
        <v>4</v>
      </c>
      <c r="M180" s="3">
        <v>294.95999999999998</v>
      </c>
      <c r="N180" s="2" t="s">
        <v>63</v>
      </c>
      <c r="O180" s="3">
        <v>73.739999999999995</v>
      </c>
      <c r="P180" s="3">
        <v>0</v>
      </c>
      <c r="Q180" s="3">
        <v>18.8</v>
      </c>
      <c r="R180" s="3">
        <v>240.02</v>
      </c>
      <c r="S180" s="2" t="s">
        <v>35</v>
      </c>
      <c r="T180" s="2" t="s">
        <v>65</v>
      </c>
      <c r="U180" s="2" t="s">
        <v>66</v>
      </c>
      <c r="V180" s="2" t="s">
        <v>570</v>
      </c>
      <c r="W180" s="3">
        <v>0</v>
      </c>
    </row>
    <row r="181" spans="1:23" x14ac:dyDescent="0.3">
      <c r="A181" s="4" t="s">
        <v>1360</v>
      </c>
      <c r="B181" s="4" t="s">
        <v>358</v>
      </c>
      <c r="C181" s="4" t="s">
        <v>1361</v>
      </c>
      <c r="D181" s="4" t="s">
        <v>1362</v>
      </c>
      <c r="E181" s="4" t="s">
        <v>1363</v>
      </c>
      <c r="F181" s="4" t="s">
        <v>1364</v>
      </c>
      <c r="G181" s="4" t="s">
        <v>251</v>
      </c>
      <c r="H181" s="4" t="s">
        <v>252</v>
      </c>
      <c r="I181" s="4" t="s">
        <v>31</v>
      </c>
      <c r="J181" s="4" t="s">
        <v>142</v>
      </c>
      <c r="K181" s="4" t="s">
        <v>143</v>
      </c>
      <c r="L181" s="4">
        <v>1</v>
      </c>
      <c r="M181" s="5">
        <v>159.97999999999999</v>
      </c>
      <c r="N181" s="4" t="s">
        <v>34</v>
      </c>
      <c r="O181" s="5">
        <v>0</v>
      </c>
      <c r="P181" s="5">
        <v>0</v>
      </c>
      <c r="Q181" s="5">
        <v>12.8</v>
      </c>
      <c r="R181" s="5">
        <v>172.78</v>
      </c>
      <c r="S181" s="4" t="s">
        <v>64</v>
      </c>
      <c r="T181" s="4" t="s">
        <v>36</v>
      </c>
      <c r="U181" s="4" t="s">
        <v>66</v>
      </c>
      <c r="V181" s="4" t="s">
        <v>1294</v>
      </c>
      <c r="W181" s="5">
        <v>0</v>
      </c>
    </row>
    <row r="182" spans="1:23" x14ac:dyDescent="0.3">
      <c r="A182" s="2" t="s">
        <v>1365</v>
      </c>
      <c r="B182" s="2" t="s">
        <v>1315</v>
      </c>
      <c r="C182" s="2" t="s">
        <v>1366</v>
      </c>
      <c r="D182" s="2" t="s">
        <v>1367</v>
      </c>
      <c r="E182" s="2" t="s">
        <v>1368</v>
      </c>
      <c r="F182" s="2" t="s">
        <v>1369</v>
      </c>
      <c r="G182" s="2" t="s">
        <v>242</v>
      </c>
      <c r="H182" s="2" t="s">
        <v>243</v>
      </c>
      <c r="I182" s="2" t="s">
        <v>31</v>
      </c>
      <c r="J182" s="2" t="s">
        <v>1370</v>
      </c>
      <c r="K182" s="2" t="s">
        <v>143</v>
      </c>
      <c r="L182" s="2">
        <v>2</v>
      </c>
      <c r="M182" s="3">
        <v>128.97</v>
      </c>
      <c r="N182" s="2" t="s">
        <v>78</v>
      </c>
      <c r="O182" s="3">
        <v>12.9</v>
      </c>
      <c r="P182" s="3">
        <v>0</v>
      </c>
      <c r="Q182" s="3">
        <v>8.1199999999999992</v>
      </c>
      <c r="R182" s="3">
        <v>124.19</v>
      </c>
      <c r="S182" s="2" t="s">
        <v>64</v>
      </c>
      <c r="T182" s="2" t="s">
        <v>183</v>
      </c>
      <c r="U182" s="2" t="s">
        <v>317</v>
      </c>
      <c r="V182" s="2"/>
      <c r="W182" s="3">
        <v>0</v>
      </c>
    </row>
    <row r="183" spans="1:23" x14ac:dyDescent="0.3">
      <c r="A183" s="4" t="s">
        <v>1371</v>
      </c>
      <c r="B183" s="4" t="s">
        <v>482</v>
      </c>
      <c r="C183" s="4" t="s">
        <v>1372</v>
      </c>
      <c r="D183" s="4" t="s">
        <v>1165</v>
      </c>
      <c r="E183" s="4" t="s">
        <v>1373</v>
      </c>
      <c r="F183" s="4" t="s">
        <v>1374</v>
      </c>
      <c r="G183" s="4" t="s">
        <v>29</v>
      </c>
      <c r="H183" s="4" t="s">
        <v>30</v>
      </c>
      <c r="I183" s="4" t="s">
        <v>31</v>
      </c>
      <c r="J183" s="4" t="s">
        <v>1375</v>
      </c>
      <c r="K183" s="4" t="s">
        <v>48</v>
      </c>
      <c r="L183" s="4">
        <v>3</v>
      </c>
      <c r="M183" s="5">
        <v>174.96</v>
      </c>
      <c r="N183" s="4" t="s">
        <v>152</v>
      </c>
      <c r="O183" s="5">
        <v>8.75</v>
      </c>
      <c r="P183" s="5">
        <v>0</v>
      </c>
      <c r="Q183" s="5">
        <v>11.63</v>
      </c>
      <c r="R183" s="5">
        <v>177.84</v>
      </c>
      <c r="S183" s="4" t="s">
        <v>64</v>
      </c>
      <c r="T183" s="4" t="s">
        <v>99</v>
      </c>
      <c r="U183" s="4" t="s">
        <v>100</v>
      </c>
      <c r="V183" s="4"/>
      <c r="W183" s="5">
        <v>0</v>
      </c>
    </row>
    <row r="184" spans="1:23" x14ac:dyDescent="0.3">
      <c r="A184" s="2" t="s">
        <v>1376</v>
      </c>
      <c r="B184" s="2" t="s">
        <v>1377</v>
      </c>
      <c r="C184" s="2" t="s">
        <v>1378</v>
      </c>
      <c r="D184" s="2" t="s">
        <v>1379</v>
      </c>
      <c r="E184" s="2" t="s">
        <v>1380</v>
      </c>
      <c r="F184" s="2" t="s">
        <v>1381</v>
      </c>
      <c r="G184" s="2" t="s">
        <v>131</v>
      </c>
      <c r="H184" s="2" t="s">
        <v>88</v>
      </c>
      <c r="I184" s="2" t="s">
        <v>31</v>
      </c>
      <c r="J184" s="2" t="s">
        <v>1382</v>
      </c>
      <c r="K184" s="2" t="s">
        <v>110</v>
      </c>
      <c r="L184" s="2">
        <v>2</v>
      </c>
      <c r="M184" s="3">
        <v>101.97</v>
      </c>
      <c r="N184" s="2" t="s">
        <v>78</v>
      </c>
      <c r="O184" s="3">
        <v>10.199999999999999</v>
      </c>
      <c r="P184" s="3">
        <v>0</v>
      </c>
      <c r="Q184" s="3">
        <v>6.42</v>
      </c>
      <c r="R184" s="3">
        <v>98.19</v>
      </c>
      <c r="S184" s="2" t="s">
        <v>35</v>
      </c>
      <c r="T184" s="2" t="s">
        <v>99</v>
      </c>
      <c r="U184" s="2" t="s">
        <v>66</v>
      </c>
      <c r="V184" s="2" t="s">
        <v>617</v>
      </c>
      <c r="W184" s="3">
        <v>0</v>
      </c>
    </row>
    <row r="185" spans="1:23" x14ac:dyDescent="0.3">
      <c r="A185" s="4" t="s">
        <v>1383</v>
      </c>
      <c r="B185" s="4" t="s">
        <v>585</v>
      </c>
      <c r="C185" s="4" t="s">
        <v>1384</v>
      </c>
      <c r="D185" s="4" t="s">
        <v>1385</v>
      </c>
      <c r="E185" s="4" t="s">
        <v>1386</v>
      </c>
      <c r="F185" s="4" t="s">
        <v>1387</v>
      </c>
      <c r="G185" s="4" t="s">
        <v>29</v>
      </c>
      <c r="H185" s="4" t="s">
        <v>30</v>
      </c>
      <c r="I185" s="4" t="s">
        <v>31</v>
      </c>
      <c r="J185" s="4" t="s">
        <v>1388</v>
      </c>
      <c r="K185" s="4" t="s">
        <v>77</v>
      </c>
      <c r="L185" s="4">
        <v>4</v>
      </c>
      <c r="M185" s="5">
        <v>290.93</v>
      </c>
      <c r="N185" s="4" t="s">
        <v>34</v>
      </c>
      <c r="O185" s="5">
        <v>0</v>
      </c>
      <c r="P185" s="5">
        <v>0</v>
      </c>
      <c r="Q185" s="5">
        <v>20.37</v>
      </c>
      <c r="R185" s="5">
        <v>311.3</v>
      </c>
      <c r="S185" s="4" t="s">
        <v>123</v>
      </c>
      <c r="T185" s="4" t="s">
        <v>183</v>
      </c>
      <c r="U185" s="4" t="s">
        <v>66</v>
      </c>
      <c r="V185" s="4" t="s">
        <v>380</v>
      </c>
      <c r="W185" s="5">
        <v>0</v>
      </c>
    </row>
    <row r="186" spans="1:23" x14ac:dyDescent="0.3">
      <c r="A186" s="2" t="s">
        <v>1389</v>
      </c>
      <c r="B186" s="2" t="s">
        <v>112</v>
      </c>
      <c r="C186" s="2" t="s">
        <v>1390</v>
      </c>
      <c r="D186" s="2" t="s">
        <v>1391</v>
      </c>
      <c r="E186" s="2" t="s">
        <v>1392</v>
      </c>
      <c r="F186" s="2" t="s">
        <v>1393</v>
      </c>
      <c r="G186" s="2" t="s">
        <v>131</v>
      </c>
      <c r="H186" s="2" t="s">
        <v>88</v>
      </c>
      <c r="I186" s="2" t="s">
        <v>31</v>
      </c>
      <c r="J186" s="2" t="s">
        <v>1394</v>
      </c>
      <c r="K186" s="2" t="s">
        <v>62</v>
      </c>
      <c r="L186" s="2">
        <v>2</v>
      </c>
      <c r="M186" s="3">
        <v>119.96</v>
      </c>
      <c r="N186" s="2" t="s">
        <v>163</v>
      </c>
      <c r="O186" s="3">
        <v>23.99</v>
      </c>
      <c r="P186" s="3">
        <v>0</v>
      </c>
      <c r="Q186" s="3">
        <v>9.6</v>
      </c>
      <c r="R186" s="3">
        <v>105.57</v>
      </c>
      <c r="S186" s="2" t="s">
        <v>35</v>
      </c>
      <c r="T186" s="2" t="s">
        <v>50</v>
      </c>
      <c r="U186" s="2" t="s">
        <v>66</v>
      </c>
      <c r="V186" s="2" t="s">
        <v>633</v>
      </c>
      <c r="W186" s="3">
        <v>0</v>
      </c>
    </row>
    <row r="187" spans="1:23" x14ac:dyDescent="0.3">
      <c r="A187" s="4" t="s">
        <v>1395</v>
      </c>
      <c r="B187" s="4" t="s">
        <v>192</v>
      </c>
      <c r="C187" s="4" t="s">
        <v>1396</v>
      </c>
      <c r="D187" s="4" t="s">
        <v>1397</v>
      </c>
      <c r="E187" s="4" t="s">
        <v>1398</v>
      </c>
      <c r="F187" s="4" t="s">
        <v>1399</v>
      </c>
      <c r="G187" s="4" t="s">
        <v>1183</v>
      </c>
      <c r="H187" s="4" t="s">
        <v>88</v>
      </c>
      <c r="I187" s="4" t="s">
        <v>31</v>
      </c>
      <c r="J187" s="4" t="s">
        <v>1400</v>
      </c>
      <c r="K187" s="4" t="s">
        <v>33</v>
      </c>
      <c r="L187" s="4">
        <v>2</v>
      </c>
      <c r="M187" s="5">
        <v>90.98</v>
      </c>
      <c r="N187" s="4" t="s">
        <v>34</v>
      </c>
      <c r="O187" s="5">
        <v>0</v>
      </c>
      <c r="P187" s="5">
        <v>0</v>
      </c>
      <c r="Q187" s="5">
        <v>5.46</v>
      </c>
      <c r="R187" s="5">
        <v>96.44</v>
      </c>
      <c r="S187" s="4" t="s">
        <v>35</v>
      </c>
      <c r="T187" s="4" t="s">
        <v>36</v>
      </c>
      <c r="U187" s="4" t="s">
        <v>100</v>
      </c>
      <c r="V187" s="4"/>
      <c r="W187" s="5">
        <v>0</v>
      </c>
    </row>
    <row r="188" spans="1:23" x14ac:dyDescent="0.3">
      <c r="A188" s="2" t="s">
        <v>1401</v>
      </c>
      <c r="B188" s="2" t="s">
        <v>579</v>
      </c>
      <c r="C188" s="2" t="s">
        <v>1402</v>
      </c>
      <c r="D188" s="2" t="s">
        <v>1403</v>
      </c>
      <c r="E188" s="2" t="s">
        <v>1404</v>
      </c>
      <c r="F188" s="2" t="s">
        <v>1405</v>
      </c>
      <c r="G188" s="2" t="s">
        <v>180</v>
      </c>
      <c r="H188" s="2" t="s">
        <v>181</v>
      </c>
      <c r="I188" s="2" t="s">
        <v>31</v>
      </c>
      <c r="J188" s="2" t="s">
        <v>379</v>
      </c>
      <c r="K188" s="2" t="s">
        <v>209</v>
      </c>
      <c r="L188" s="2">
        <v>1</v>
      </c>
      <c r="M188" s="3">
        <v>89.99</v>
      </c>
      <c r="N188" s="2" t="s">
        <v>78</v>
      </c>
      <c r="O188" s="3">
        <v>9</v>
      </c>
      <c r="P188" s="3">
        <v>0</v>
      </c>
      <c r="Q188" s="3">
        <v>4.8600000000000003</v>
      </c>
      <c r="R188" s="3">
        <v>85.85</v>
      </c>
      <c r="S188" s="2" t="s">
        <v>123</v>
      </c>
      <c r="T188" s="2" t="s">
        <v>99</v>
      </c>
      <c r="U188" s="2" t="s">
        <v>317</v>
      </c>
      <c r="V188" s="2"/>
      <c r="W188" s="3">
        <v>0</v>
      </c>
    </row>
    <row r="189" spans="1:23" x14ac:dyDescent="0.3">
      <c r="A189" s="4" t="s">
        <v>1406</v>
      </c>
      <c r="B189" s="4" t="s">
        <v>478</v>
      </c>
      <c r="C189" s="4" t="s">
        <v>1407</v>
      </c>
      <c r="D189" s="4" t="s">
        <v>1408</v>
      </c>
      <c r="E189" s="4" t="s">
        <v>1409</v>
      </c>
      <c r="F189" s="4" t="s">
        <v>1410</v>
      </c>
      <c r="G189" s="4" t="s">
        <v>171</v>
      </c>
      <c r="H189" s="4" t="s">
        <v>88</v>
      </c>
      <c r="I189" s="4" t="s">
        <v>31</v>
      </c>
      <c r="J189" s="4" t="s">
        <v>678</v>
      </c>
      <c r="K189" s="4" t="s">
        <v>679</v>
      </c>
      <c r="L189" s="4">
        <v>1</v>
      </c>
      <c r="M189" s="5">
        <v>14.99</v>
      </c>
      <c r="N189" s="4" t="s">
        <v>163</v>
      </c>
      <c r="O189" s="5">
        <v>3</v>
      </c>
      <c r="P189" s="5">
        <v>9.99</v>
      </c>
      <c r="Q189" s="5">
        <v>0.96</v>
      </c>
      <c r="R189" s="5">
        <v>22.94</v>
      </c>
      <c r="S189" s="4" t="s">
        <v>35</v>
      </c>
      <c r="T189" s="4" t="s">
        <v>99</v>
      </c>
      <c r="U189" s="4" t="s">
        <v>66</v>
      </c>
      <c r="V189" s="4" t="s">
        <v>519</v>
      </c>
      <c r="W189" s="5">
        <v>0</v>
      </c>
    </row>
    <row r="190" spans="1:23" x14ac:dyDescent="0.3">
      <c r="A190" s="2" t="s">
        <v>1411</v>
      </c>
      <c r="B190" s="2" t="s">
        <v>943</v>
      </c>
      <c r="C190" s="2" t="s">
        <v>1412</v>
      </c>
      <c r="D190" s="2" t="s">
        <v>1413</v>
      </c>
      <c r="E190" s="2" t="s">
        <v>1414</v>
      </c>
      <c r="F190" s="2" t="s">
        <v>1415</v>
      </c>
      <c r="G190" s="2" t="s">
        <v>242</v>
      </c>
      <c r="H190" s="2" t="s">
        <v>243</v>
      </c>
      <c r="I190" s="2" t="s">
        <v>31</v>
      </c>
      <c r="J190" s="2" t="s">
        <v>1416</v>
      </c>
      <c r="K190" s="2" t="s">
        <v>143</v>
      </c>
      <c r="L190" s="2">
        <v>2</v>
      </c>
      <c r="M190" s="3">
        <v>209.96</v>
      </c>
      <c r="N190" s="2" t="s">
        <v>49</v>
      </c>
      <c r="O190" s="3">
        <v>31.49</v>
      </c>
      <c r="P190" s="3">
        <v>0</v>
      </c>
      <c r="Q190" s="3">
        <v>16.059999999999999</v>
      </c>
      <c r="R190" s="3">
        <v>194.53</v>
      </c>
      <c r="S190" s="2" t="s">
        <v>64</v>
      </c>
      <c r="T190" s="2" t="s">
        <v>50</v>
      </c>
      <c r="U190" s="2" t="s">
        <v>66</v>
      </c>
      <c r="V190" s="2" t="s">
        <v>1417</v>
      </c>
      <c r="W190" s="3">
        <v>0</v>
      </c>
    </row>
    <row r="191" spans="1:23" x14ac:dyDescent="0.3">
      <c r="A191" s="4" t="s">
        <v>1418</v>
      </c>
      <c r="B191" s="4" t="s">
        <v>649</v>
      </c>
      <c r="C191" s="4" t="s">
        <v>1419</v>
      </c>
      <c r="D191" s="4" t="s">
        <v>1420</v>
      </c>
      <c r="E191" s="4" t="s">
        <v>1421</v>
      </c>
      <c r="F191" s="4" t="s">
        <v>1422</v>
      </c>
      <c r="G191" s="4" t="s">
        <v>676</v>
      </c>
      <c r="H191" s="4" t="s">
        <v>677</v>
      </c>
      <c r="I191" s="4" t="s">
        <v>31</v>
      </c>
      <c r="J191" s="4" t="s">
        <v>316</v>
      </c>
      <c r="K191" s="4" t="s">
        <v>48</v>
      </c>
      <c r="L191" s="4">
        <v>1</v>
      </c>
      <c r="M191" s="5">
        <v>34.99</v>
      </c>
      <c r="N191" s="4" t="s">
        <v>34</v>
      </c>
      <c r="O191" s="5">
        <v>0</v>
      </c>
      <c r="P191" s="5">
        <v>5.99</v>
      </c>
      <c r="Q191" s="5">
        <v>2.4500000000000002</v>
      </c>
      <c r="R191" s="5">
        <v>43.43</v>
      </c>
      <c r="S191" s="4" t="s">
        <v>35</v>
      </c>
      <c r="T191" s="4" t="s">
        <v>173</v>
      </c>
      <c r="U191" s="4" t="s">
        <v>317</v>
      </c>
      <c r="V191" s="4"/>
      <c r="W191" s="5">
        <v>0</v>
      </c>
    </row>
    <row r="192" spans="1:23" x14ac:dyDescent="0.3">
      <c r="A192" s="2" t="s">
        <v>1423</v>
      </c>
      <c r="B192" s="2" t="s">
        <v>519</v>
      </c>
      <c r="C192" s="2" t="s">
        <v>1424</v>
      </c>
      <c r="D192" s="2" t="s">
        <v>1425</v>
      </c>
      <c r="E192" s="2" t="s">
        <v>1426</v>
      </c>
      <c r="F192" s="2" t="s">
        <v>1427</v>
      </c>
      <c r="G192" s="2" t="s">
        <v>131</v>
      </c>
      <c r="H192" s="2" t="s">
        <v>88</v>
      </c>
      <c r="I192" s="2" t="s">
        <v>31</v>
      </c>
      <c r="J192" s="2" t="s">
        <v>1428</v>
      </c>
      <c r="K192" s="2" t="s">
        <v>143</v>
      </c>
      <c r="L192" s="2">
        <v>2</v>
      </c>
      <c r="M192" s="3">
        <v>134.97</v>
      </c>
      <c r="N192" s="2" t="s">
        <v>34</v>
      </c>
      <c r="O192" s="3">
        <v>0</v>
      </c>
      <c r="P192" s="3">
        <v>0</v>
      </c>
      <c r="Q192" s="3">
        <v>13.5</v>
      </c>
      <c r="R192" s="3">
        <v>148.47</v>
      </c>
      <c r="S192" s="2" t="s">
        <v>64</v>
      </c>
      <c r="T192" s="2" t="s">
        <v>173</v>
      </c>
      <c r="U192" s="2" t="s">
        <v>317</v>
      </c>
      <c r="V192" s="2"/>
      <c r="W192" s="3">
        <v>0</v>
      </c>
    </row>
    <row r="193" spans="1:23" x14ac:dyDescent="0.3">
      <c r="A193" s="4" t="s">
        <v>1429</v>
      </c>
      <c r="B193" s="4" t="s">
        <v>1430</v>
      </c>
      <c r="C193" s="4" t="s">
        <v>1431</v>
      </c>
      <c r="D193" s="4" t="s">
        <v>621</v>
      </c>
      <c r="E193" s="4" t="s">
        <v>1432</v>
      </c>
      <c r="F193" s="4" t="s">
        <v>1433</v>
      </c>
      <c r="G193" s="4" t="s">
        <v>676</v>
      </c>
      <c r="H193" s="4" t="s">
        <v>677</v>
      </c>
      <c r="I193" s="4" t="s">
        <v>31</v>
      </c>
      <c r="J193" s="4" t="s">
        <v>316</v>
      </c>
      <c r="K193" s="4" t="s">
        <v>48</v>
      </c>
      <c r="L193" s="4">
        <v>1</v>
      </c>
      <c r="M193" s="5">
        <v>34.99</v>
      </c>
      <c r="N193" s="4" t="s">
        <v>78</v>
      </c>
      <c r="O193" s="5">
        <v>3.5</v>
      </c>
      <c r="P193" s="5">
        <v>7.99</v>
      </c>
      <c r="Q193" s="5">
        <v>2.68</v>
      </c>
      <c r="R193" s="5">
        <v>42.16</v>
      </c>
      <c r="S193" s="4" t="s">
        <v>35</v>
      </c>
      <c r="T193" s="4" t="s">
        <v>36</v>
      </c>
      <c r="U193" s="4" t="s">
        <v>100</v>
      </c>
      <c r="V193" s="4"/>
      <c r="W193" s="5">
        <v>0</v>
      </c>
    </row>
    <row r="194" spans="1:23" x14ac:dyDescent="0.3">
      <c r="A194" s="2" t="s">
        <v>1434</v>
      </c>
      <c r="B194" s="2" t="s">
        <v>1095</v>
      </c>
      <c r="C194" s="2" t="s">
        <v>1435</v>
      </c>
      <c r="D194" s="2" t="s">
        <v>1436</v>
      </c>
      <c r="E194" s="2" t="s">
        <v>1437</v>
      </c>
      <c r="F194" s="2" t="s">
        <v>1438</v>
      </c>
      <c r="G194" s="2" t="s">
        <v>59</v>
      </c>
      <c r="H194" s="2" t="s">
        <v>60</v>
      </c>
      <c r="I194" s="2" t="s">
        <v>31</v>
      </c>
      <c r="J194" s="2" t="s">
        <v>1439</v>
      </c>
      <c r="K194" s="2" t="s">
        <v>77</v>
      </c>
      <c r="L194" s="2">
        <v>4</v>
      </c>
      <c r="M194" s="3">
        <v>276.92</v>
      </c>
      <c r="N194" s="2" t="s">
        <v>78</v>
      </c>
      <c r="O194" s="3">
        <v>27.69</v>
      </c>
      <c r="P194" s="3">
        <v>0</v>
      </c>
      <c r="Q194" s="3">
        <v>19.940000000000001</v>
      </c>
      <c r="R194" s="3">
        <v>269.17</v>
      </c>
      <c r="S194" s="2" t="s">
        <v>35</v>
      </c>
      <c r="T194" s="2" t="s">
        <v>173</v>
      </c>
      <c r="U194" s="2" t="s">
        <v>66</v>
      </c>
      <c r="V194" s="2" t="s">
        <v>562</v>
      </c>
      <c r="W194" s="3">
        <v>0</v>
      </c>
    </row>
    <row r="195" spans="1:23" x14ac:dyDescent="0.3">
      <c r="A195" s="4" t="s">
        <v>1440</v>
      </c>
      <c r="B195" s="4" t="s">
        <v>455</v>
      </c>
      <c r="C195" s="4" t="s">
        <v>1441</v>
      </c>
      <c r="D195" s="4" t="s">
        <v>1442</v>
      </c>
      <c r="E195" s="4" t="s">
        <v>1443</v>
      </c>
      <c r="F195" s="4" t="s">
        <v>1444</v>
      </c>
      <c r="G195" s="4" t="s">
        <v>29</v>
      </c>
      <c r="H195" s="4" t="s">
        <v>30</v>
      </c>
      <c r="I195" s="4" t="s">
        <v>31</v>
      </c>
      <c r="J195" s="4" t="s">
        <v>444</v>
      </c>
      <c r="K195" s="4" t="s">
        <v>48</v>
      </c>
      <c r="L195" s="4">
        <v>1</v>
      </c>
      <c r="M195" s="5">
        <v>64.989999999999995</v>
      </c>
      <c r="N195" s="4" t="s">
        <v>163</v>
      </c>
      <c r="O195" s="5">
        <v>13</v>
      </c>
      <c r="P195" s="5">
        <v>7.99</v>
      </c>
      <c r="Q195" s="5">
        <v>3.12</v>
      </c>
      <c r="R195" s="5">
        <v>63.1</v>
      </c>
      <c r="S195" s="4" t="s">
        <v>123</v>
      </c>
      <c r="T195" s="4" t="s">
        <v>99</v>
      </c>
      <c r="U195" s="4" t="s">
        <v>66</v>
      </c>
      <c r="V195" s="4" t="s">
        <v>69</v>
      </c>
      <c r="W195" s="5">
        <v>0</v>
      </c>
    </row>
    <row r="196" spans="1:23" x14ac:dyDescent="0.3">
      <c r="A196" s="2" t="s">
        <v>1445</v>
      </c>
      <c r="B196" s="2" t="s">
        <v>1446</v>
      </c>
      <c r="C196" s="2" t="s">
        <v>1447</v>
      </c>
      <c r="D196" s="2" t="s">
        <v>1172</v>
      </c>
      <c r="E196" s="2" t="s">
        <v>1448</v>
      </c>
      <c r="F196" s="2" t="s">
        <v>1449</v>
      </c>
      <c r="G196" s="2" t="s">
        <v>403</v>
      </c>
      <c r="H196" s="2" t="s">
        <v>404</v>
      </c>
      <c r="I196" s="2" t="s">
        <v>31</v>
      </c>
      <c r="J196" s="2" t="s">
        <v>678</v>
      </c>
      <c r="K196" s="2" t="s">
        <v>679</v>
      </c>
      <c r="L196" s="2">
        <v>1</v>
      </c>
      <c r="M196" s="3">
        <v>14.99</v>
      </c>
      <c r="N196" s="2" t="s">
        <v>78</v>
      </c>
      <c r="O196" s="3">
        <v>1.5</v>
      </c>
      <c r="P196" s="3">
        <v>5.99</v>
      </c>
      <c r="Q196" s="3">
        <v>1.08</v>
      </c>
      <c r="R196" s="3">
        <v>20.56</v>
      </c>
      <c r="S196" s="2" t="s">
        <v>123</v>
      </c>
      <c r="T196" s="2" t="s">
        <v>173</v>
      </c>
      <c r="U196" s="2" t="s">
        <v>317</v>
      </c>
      <c r="V196" s="2"/>
      <c r="W196" s="3">
        <v>0</v>
      </c>
    </row>
    <row r="197" spans="1:23" x14ac:dyDescent="0.3">
      <c r="A197" s="4" t="s">
        <v>1450</v>
      </c>
      <c r="B197" s="4" t="s">
        <v>52</v>
      </c>
      <c r="C197" s="4" t="s">
        <v>1451</v>
      </c>
      <c r="D197" s="4" t="s">
        <v>1452</v>
      </c>
      <c r="E197" s="4" t="s">
        <v>1453</v>
      </c>
      <c r="F197" s="4" t="s">
        <v>1454</v>
      </c>
      <c r="G197" s="4" t="s">
        <v>323</v>
      </c>
      <c r="H197" s="4" t="s">
        <v>324</v>
      </c>
      <c r="I197" s="4" t="s">
        <v>31</v>
      </c>
      <c r="J197" s="4" t="s">
        <v>1455</v>
      </c>
      <c r="K197" s="4" t="s">
        <v>143</v>
      </c>
      <c r="L197" s="4">
        <v>2</v>
      </c>
      <c r="M197" s="5">
        <v>110.97</v>
      </c>
      <c r="N197" s="4" t="s">
        <v>78</v>
      </c>
      <c r="O197" s="5">
        <v>11.1</v>
      </c>
      <c r="P197" s="5">
        <v>0</v>
      </c>
      <c r="Q197" s="5">
        <v>9.99</v>
      </c>
      <c r="R197" s="5">
        <v>109.86</v>
      </c>
      <c r="S197" s="4" t="s">
        <v>111</v>
      </c>
      <c r="T197" s="4" t="s">
        <v>99</v>
      </c>
      <c r="U197" s="4" t="s">
        <v>66</v>
      </c>
      <c r="V197" s="4" t="s">
        <v>1456</v>
      </c>
      <c r="W197" s="5">
        <v>0</v>
      </c>
    </row>
    <row r="198" spans="1:23" x14ac:dyDescent="0.3">
      <c r="A198" s="2" t="s">
        <v>1457</v>
      </c>
      <c r="B198" s="2" t="s">
        <v>1458</v>
      </c>
      <c r="C198" s="2" t="s">
        <v>1459</v>
      </c>
      <c r="D198" s="2" t="s">
        <v>248</v>
      </c>
      <c r="E198" s="2" t="s">
        <v>1460</v>
      </c>
      <c r="F198" s="2" t="s">
        <v>1461</v>
      </c>
      <c r="G198" s="2" t="s">
        <v>282</v>
      </c>
      <c r="H198" s="2" t="s">
        <v>88</v>
      </c>
      <c r="I198" s="2" t="s">
        <v>31</v>
      </c>
      <c r="J198" s="2" t="s">
        <v>1462</v>
      </c>
      <c r="K198" s="2" t="s">
        <v>62</v>
      </c>
      <c r="L198" s="2">
        <v>2</v>
      </c>
      <c r="M198" s="3">
        <v>199.96</v>
      </c>
      <c r="N198" s="2" t="s">
        <v>163</v>
      </c>
      <c r="O198" s="3">
        <v>39.99</v>
      </c>
      <c r="P198" s="3">
        <v>0</v>
      </c>
      <c r="Q198" s="3">
        <v>11.2</v>
      </c>
      <c r="R198" s="3">
        <v>171.17</v>
      </c>
      <c r="S198" s="2" t="s">
        <v>64</v>
      </c>
      <c r="T198" s="2" t="s">
        <v>36</v>
      </c>
      <c r="U198" s="2" t="s">
        <v>66</v>
      </c>
      <c r="V198" s="2" t="s">
        <v>421</v>
      </c>
      <c r="W198" s="3">
        <v>0</v>
      </c>
    </row>
    <row r="199" spans="1:23" x14ac:dyDescent="0.3">
      <c r="A199" s="4" t="s">
        <v>1463</v>
      </c>
      <c r="B199" s="4" t="s">
        <v>372</v>
      </c>
      <c r="C199" s="4" t="s">
        <v>1464</v>
      </c>
      <c r="D199" s="4" t="s">
        <v>1465</v>
      </c>
      <c r="E199" s="4" t="s">
        <v>1466</v>
      </c>
      <c r="F199" s="4" t="s">
        <v>1467</v>
      </c>
      <c r="G199" s="4" t="s">
        <v>291</v>
      </c>
      <c r="H199" s="4" t="s">
        <v>292</v>
      </c>
      <c r="I199" s="4" t="s">
        <v>31</v>
      </c>
      <c r="J199" s="4" t="s">
        <v>1468</v>
      </c>
      <c r="K199" s="4" t="s">
        <v>33</v>
      </c>
      <c r="L199" s="4">
        <v>2</v>
      </c>
      <c r="M199" s="5">
        <v>179.97</v>
      </c>
      <c r="N199" s="4" t="s">
        <v>34</v>
      </c>
      <c r="O199" s="5">
        <v>0</v>
      </c>
      <c r="P199" s="5">
        <v>0</v>
      </c>
      <c r="Q199" s="5">
        <v>10.8</v>
      </c>
      <c r="R199" s="5">
        <v>190.77</v>
      </c>
      <c r="S199" s="4" t="s">
        <v>123</v>
      </c>
      <c r="T199" s="4" t="s">
        <v>36</v>
      </c>
      <c r="U199" s="4" t="s">
        <v>51</v>
      </c>
      <c r="V199" s="4" t="s">
        <v>1469</v>
      </c>
      <c r="W199" s="5">
        <v>0</v>
      </c>
    </row>
    <row r="200" spans="1:23" x14ac:dyDescent="0.3">
      <c r="A200" s="2" t="s">
        <v>1470</v>
      </c>
      <c r="B200" s="2" t="s">
        <v>1471</v>
      </c>
      <c r="C200" s="2" t="s">
        <v>1472</v>
      </c>
      <c r="D200" s="2" t="s">
        <v>1298</v>
      </c>
      <c r="E200" s="2" t="s">
        <v>1473</v>
      </c>
      <c r="F200" s="2" t="s">
        <v>1474</v>
      </c>
      <c r="G200" s="2" t="s">
        <v>323</v>
      </c>
      <c r="H200" s="2" t="s">
        <v>324</v>
      </c>
      <c r="I200" s="2" t="s">
        <v>31</v>
      </c>
      <c r="J200" s="2" t="s">
        <v>1475</v>
      </c>
      <c r="K200" s="2" t="s">
        <v>62</v>
      </c>
      <c r="L200" s="2">
        <v>2</v>
      </c>
      <c r="M200" s="3">
        <v>274.97000000000003</v>
      </c>
      <c r="N200" s="2" t="s">
        <v>78</v>
      </c>
      <c r="O200" s="3">
        <v>27.5</v>
      </c>
      <c r="P200" s="3">
        <v>0</v>
      </c>
      <c r="Q200" s="3">
        <v>17.32</v>
      </c>
      <c r="R200" s="3">
        <v>264.79000000000002</v>
      </c>
      <c r="S200" s="2" t="s">
        <v>35</v>
      </c>
      <c r="T200" s="2" t="s">
        <v>144</v>
      </c>
      <c r="U200" s="2" t="s">
        <v>66</v>
      </c>
      <c r="V200" s="2" t="s">
        <v>858</v>
      </c>
      <c r="W200" s="3">
        <v>0</v>
      </c>
    </row>
    <row r="201" spans="1:23" x14ac:dyDescent="0.3">
      <c r="A201" s="4" t="s">
        <v>1476</v>
      </c>
      <c r="B201" s="4" t="s">
        <v>1477</v>
      </c>
      <c r="C201" s="4" t="s">
        <v>1478</v>
      </c>
      <c r="D201" s="4" t="s">
        <v>1479</v>
      </c>
      <c r="E201" s="4" t="s">
        <v>1480</v>
      </c>
      <c r="F201" s="4" t="s">
        <v>1481</v>
      </c>
      <c r="G201" s="4" t="s">
        <v>107</v>
      </c>
      <c r="H201" s="4" t="s">
        <v>108</v>
      </c>
      <c r="I201" s="4" t="s">
        <v>31</v>
      </c>
      <c r="J201" s="4" t="s">
        <v>387</v>
      </c>
      <c r="K201" s="4" t="s">
        <v>33</v>
      </c>
      <c r="L201" s="4">
        <v>1</v>
      </c>
      <c r="M201" s="5">
        <v>35.99</v>
      </c>
      <c r="N201" s="4" t="s">
        <v>152</v>
      </c>
      <c r="O201" s="5">
        <v>1.8</v>
      </c>
      <c r="P201" s="5">
        <v>5.99</v>
      </c>
      <c r="Q201" s="5">
        <v>2.74</v>
      </c>
      <c r="R201" s="5">
        <v>42.92</v>
      </c>
      <c r="S201" s="4" t="s">
        <v>64</v>
      </c>
      <c r="T201" s="4" t="s">
        <v>99</v>
      </c>
      <c r="U201" s="4" t="s">
        <v>37</v>
      </c>
      <c r="V201" s="4" t="s">
        <v>351</v>
      </c>
      <c r="W201" s="5">
        <v>42.92</v>
      </c>
    </row>
    <row r="202" spans="1:23" x14ac:dyDescent="0.3">
      <c r="A202" s="2" t="s">
        <v>1482</v>
      </c>
      <c r="B202" s="2" t="s">
        <v>1043</v>
      </c>
      <c r="C202" s="2" t="s">
        <v>1483</v>
      </c>
      <c r="D202" s="2" t="s">
        <v>1484</v>
      </c>
      <c r="E202" s="2" t="s">
        <v>1485</v>
      </c>
      <c r="F202" s="2" t="s">
        <v>1486</v>
      </c>
      <c r="G202" s="2" t="s">
        <v>224</v>
      </c>
      <c r="H202" s="2" t="s">
        <v>225</v>
      </c>
      <c r="I202" s="2" t="s">
        <v>31</v>
      </c>
      <c r="J202" s="2" t="s">
        <v>1487</v>
      </c>
      <c r="K202" s="2" t="s">
        <v>33</v>
      </c>
      <c r="L202" s="2">
        <v>2</v>
      </c>
      <c r="M202" s="3">
        <v>181.97</v>
      </c>
      <c r="N202" s="2" t="s">
        <v>34</v>
      </c>
      <c r="O202" s="3">
        <v>0</v>
      </c>
      <c r="P202" s="3">
        <v>0</v>
      </c>
      <c r="Q202" s="3">
        <v>18.2</v>
      </c>
      <c r="R202" s="3">
        <v>200.17</v>
      </c>
      <c r="S202" s="2" t="s">
        <v>111</v>
      </c>
      <c r="T202" s="2" t="s">
        <v>36</v>
      </c>
      <c r="U202" s="2" t="s">
        <v>66</v>
      </c>
      <c r="V202" s="2" t="s">
        <v>1488</v>
      </c>
      <c r="W202" s="3">
        <v>0</v>
      </c>
    </row>
    <row r="203" spans="1:23" x14ac:dyDescent="0.3">
      <c r="A203" s="4" t="s">
        <v>1489</v>
      </c>
      <c r="B203" s="4" t="s">
        <v>1490</v>
      </c>
      <c r="C203" s="4" t="s">
        <v>1491</v>
      </c>
      <c r="D203" s="4" t="s">
        <v>1492</v>
      </c>
      <c r="E203" s="4" t="s">
        <v>1493</v>
      </c>
      <c r="F203" s="4" t="s">
        <v>1494</v>
      </c>
      <c r="G203" s="4" t="s">
        <v>394</v>
      </c>
      <c r="H203" s="4" t="s">
        <v>395</v>
      </c>
      <c r="I203" s="4" t="s">
        <v>31</v>
      </c>
      <c r="J203" s="4" t="s">
        <v>1495</v>
      </c>
      <c r="K203" s="4" t="s">
        <v>62</v>
      </c>
      <c r="L203" s="4">
        <v>2</v>
      </c>
      <c r="M203" s="5">
        <v>153.96</v>
      </c>
      <c r="N203" s="4" t="s">
        <v>34</v>
      </c>
      <c r="O203" s="5">
        <v>0</v>
      </c>
      <c r="P203" s="5">
        <v>0</v>
      </c>
      <c r="Q203" s="5">
        <v>13.09</v>
      </c>
      <c r="R203" s="5">
        <v>167.05</v>
      </c>
      <c r="S203" s="4" t="s">
        <v>111</v>
      </c>
      <c r="T203" s="4" t="s">
        <v>173</v>
      </c>
      <c r="U203" s="4" t="s">
        <v>317</v>
      </c>
      <c r="V203" s="4"/>
      <c r="W203" s="5">
        <v>0</v>
      </c>
    </row>
    <row r="204" spans="1:23" x14ac:dyDescent="0.3">
      <c r="A204" s="2" t="s">
        <v>1496</v>
      </c>
      <c r="B204" s="2" t="s">
        <v>1086</v>
      </c>
      <c r="C204" s="2" t="s">
        <v>1497</v>
      </c>
      <c r="D204" s="2" t="s">
        <v>1498</v>
      </c>
      <c r="E204" s="2" t="s">
        <v>1499</v>
      </c>
      <c r="F204" s="2" t="s">
        <v>1500</v>
      </c>
      <c r="G204" s="2" t="s">
        <v>140</v>
      </c>
      <c r="H204" s="2" t="s">
        <v>141</v>
      </c>
      <c r="I204" s="2" t="s">
        <v>31</v>
      </c>
      <c r="J204" s="2" t="s">
        <v>1501</v>
      </c>
      <c r="K204" s="2" t="s">
        <v>679</v>
      </c>
      <c r="L204" s="2">
        <v>4</v>
      </c>
      <c r="M204" s="3">
        <v>349.94</v>
      </c>
      <c r="N204" s="2" t="s">
        <v>34</v>
      </c>
      <c r="O204" s="3">
        <v>0</v>
      </c>
      <c r="P204" s="3">
        <v>0</v>
      </c>
      <c r="Q204" s="3">
        <v>28</v>
      </c>
      <c r="R204" s="3">
        <v>377.94</v>
      </c>
      <c r="S204" s="2" t="s">
        <v>64</v>
      </c>
      <c r="T204" s="2" t="s">
        <v>99</v>
      </c>
      <c r="U204" s="2" t="s">
        <v>66</v>
      </c>
      <c r="V204" s="2" t="s">
        <v>1502</v>
      </c>
      <c r="W204" s="3">
        <v>0</v>
      </c>
    </row>
    <row r="205" spans="1:23" x14ac:dyDescent="0.3">
      <c r="A205" s="4" t="s">
        <v>1503</v>
      </c>
      <c r="B205" s="4" t="s">
        <v>256</v>
      </c>
      <c r="C205" s="4" t="s">
        <v>1504</v>
      </c>
      <c r="D205" s="4" t="s">
        <v>1505</v>
      </c>
      <c r="E205" s="4" t="s">
        <v>1506</v>
      </c>
      <c r="F205" s="4" t="s">
        <v>1507</v>
      </c>
      <c r="G205" s="4" t="s">
        <v>323</v>
      </c>
      <c r="H205" s="4" t="s">
        <v>324</v>
      </c>
      <c r="I205" s="4" t="s">
        <v>31</v>
      </c>
      <c r="J205" s="4" t="s">
        <v>1508</v>
      </c>
      <c r="K205" s="4" t="s">
        <v>364</v>
      </c>
      <c r="L205" s="4">
        <v>2</v>
      </c>
      <c r="M205" s="5">
        <v>154.96</v>
      </c>
      <c r="N205" s="4" t="s">
        <v>34</v>
      </c>
      <c r="O205" s="5">
        <v>0</v>
      </c>
      <c r="P205" s="5">
        <v>0</v>
      </c>
      <c r="Q205" s="5">
        <v>13.95</v>
      </c>
      <c r="R205" s="5">
        <v>168.91</v>
      </c>
      <c r="S205" s="4" t="s">
        <v>35</v>
      </c>
      <c r="T205" s="4" t="s">
        <v>99</v>
      </c>
      <c r="U205" s="4" t="s">
        <v>66</v>
      </c>
      <c r="V205" s="4" t="s">
        <v>455</v>
      </c>
      <c r="W205" s="5">
        <v>0</v>
      </c>
    </row>
    <row r="206" spans="1:23" x14ac:dyDescent="0.3">
      <c r="A206" s="2" t="s">
        <v>1509</v>
      </c>
      <c r="B206" s="2" t="s">
        <v>1102</v>
      </c>
      <c r="C206" s="2" t="s">
        <v>1510</v>
      </c>
      <c r="D206" s="2" t="s">
        <v>1511</v>
      </c>
      <c r="E206" s="2" t="s">
        <v>1512</v>
      </c>
      <c r="F206" s="2" t="s">
        <v>1513</v>
      </c>
      <c r="G206" s="2" t="s">
        <v>282</v>
      </c>
      <c r="H206" s="2" t="s">
        <v>88</v>
      </c>
      <c r="I206" s="2" t="s">
        <v>31</v>
      </c>
      <c r="J206" s="2" t="s">
        <v>1514</v>
      </c>
      <c r="K206" s="2" t="s">
        <v>77</v>
      </c>
      <c r="L206" s="2">
        <v>3</v>
      </c>
      <c r="M206" s="3">
        <v>194.97</v>
      </c>
      <c r="N206" s="2" t="s">
        <v>34</v>
      </c>
      <c r="O206" s="3">
        <v>0</v>
      </c>
      <c r="P206" s="3">
        <v>0</v>
      </c>
      <c r="Q206" s="3">
        <v>15.6</v>
      </c>
      <c r="R206" s="3">
        <v>210.57</v>
      </c>
      <c r="S206" s="2" t="s">
        <v>79</v>
      </c>
      <c r="T206" s="2" t="s">
        <v>173</v>
      </c>
      <c r="U206" s="2" t="s">
        <v>37</v>
      </c>
      <c r="V206" s="2" t="s">
        <v>389</v>
      </c>
      <c r="W206" s="3">
        <v>210.57</v>
      </c>
    </row>
    <row r="207" spans="1:23" x14ac:dyDescent="0.3">
      <c r="A207" s="4" t="s">
        <v>1515</v>
      </c>
      <c r="B207" s="4" t="s">
        <v>1516</v>
      </c>
      <c r="C207" s="4" t="s">
        <v>1517</v>
      </c>
      <c r="D207" s="4" t="s">
        <v>1518</v>
      </c>
      <c r="E207" s="4" t="s">
        <v>1519</v>
      </c>
      <c r="F207" s="4" t="s">
        <v>1520</v>
      </c>
      <c r="G207" s="4" t="s">
        <v>291</v>
      </c>
      <c r="H207" s="4" t="s">
        <v>292</v>
      </c>
      <c r="I207" s="4" t="s">
        <v>31</v>
      </c>
      <c r="J207" s="4" t="s">
        <v>234</v>
      </c>
      <c r="K207" s="4" t="s">
        <v>62</v>
      </c>
      <c r="L207" s="4">
        <v>1</v>
      </c>
      <c r="M207" s="5">
        <v>49.98</v>
      </c>
      <c r="N207" s="4" t="s">
        <v>49</v>
      </c>
      <c r="O207" s="5">
        <v>7.5</v>
      </c>
      <c r="P207" s="5">
        <v>4.99</v>
      </c>
      <c r="Q207" s="5">
        <v>2.97</v>
      </c>
      <c r="R207" s="5">
        <v>50.44</v>
      </c>
      <c r="S207" s="4" t="s">
        <v>35</v>
      </c>
      <c r="T207" s="4" t="s">
        <v>325</v>
      </c>
      <c r="U207" s="4" t="s">
        <v>66</v>
      </c>
      <c r="V207" s="4" t="s">
        <v>1521</v>
      </c>
      <c r="W207" s="5">
        <v>0</v>
      </c>
    </row>
    <row r="208" spans="1:23" x14ac:dyDescent="0.3">
      <c r="A208" s="2" t="s">
        <v>1522</v>
      </c>
      <c r="B208" s="2" t="s">
        <v>945</v>
      </c>
      <c r="C208" s="2" t="s">
        <v>1523</v>
      </c>
      <c r="D208" s="2" t="s">
        <v>1524</v>
      </c>
      <c r="E208" s="2" t="s">
        <v>1525</v>
      </c>
      <c r="F208" s="2" t="s">
        <v>1526</v>
      </c>
      <c r="G208" s="2" t="s">
        <v>692</v>
      </c>
      <c r="H208" s="2" t="s">
        <v>693</v>
      </c>
      <c r="I208" s="2" t="s">
        <v>31</v>
      </c>
      <c r="J208" s="2" t="s">
        <v>1175</v>
      </c>
      <c r="K208" s="2" t="s">
        <v>143</v>
      </c>
      <c r="L208" s="2">
        <v>1</v>
      </c>
      <c r="M208" s="3">
        <v>54.99</v>
      </c>
      <c r="N208" s="2" t="s">
        <v>152</v>
      </c>
      <c r="O208" s="3">
        <v>2.75</v>
      </c>
      <c r="P208" s="3">
        <v>4.99</v>
      </c>
      <c r="Q208" s="3">
        <v>5.22</v>
      </c>
      <c r="R208" s="3">
        <v>62.45</v>
      </c>
      <c r="S208" s="2" t="s">
        <v>35</v>
      </c>
      <c r="T208" s="2" t="s">
        <v>183</v>
      </c>
      <c r="U208" s="2" t="s">
        <v>66</v>
      </c>
      <c r="V208" s="2" t="s">
        <v>1527</v>
      </c>
      <c r="W208" s="3">
        <v>0</v>
      </c>
    </row>
    <row r="209" spans="1:23" x14ac:dyDescent="0.3">
      <c r="A209" s="4" t="s">
        <v>1528</v>
      </c>
      <c r="B209" s="4" t="s">
        <v>1529</v>
      </c>
      <c r="C209" s="4" t="s">
        <v>1530</v>
      </c>
      <c r="D209" s="4" t="s">
        <v>1531</v>
      </c>
      <c r="E209" s="4" t="s">
        <v>1532</v>
      </c>
      <c r="F209" s="4" t="s">
        <v>1533</v>
      </c>
      <c r="G209" s="4" t="s">
        <v>87</v>
      </c>
      <c r="H209" s="4" t="s">
        <v>88</v>
      </c>
      <c r="I209" s="4" t="s">
        <v>31</v>
      </c>
      <c r="J209" s="4" t="s">
        <v>1534</v>
      </c>
      <c r="K209" s="4" t="s">
        <v>77</v>
      </c>
      <c r="L209" s="4">
        <v>2</v>
      </c>
      <c r="M209" s="5">
        <v>54.98</v>
      </c>
      <c r="N209" s="4" t="s">
        <v>78</v>
      </c>
      <c r="O209" s="5">
        <v>5.5</v>
      </c>
      <c r="P209" s="5">
        <v>5.99</v>
      </c>
      <c r="Q209" s="5">
        <v>4.21</v>
      </c>
      <c r="R209" s="5">
        <v>59.68</v>
      </c>
      <c r="S209" s="4" t="s">
        <v>111</v>
      </c>
      <c r="T209" s="4" t="s">
        <v>99</v>
      </c>
      <c r="U209" s="4" t="s">
        <v>66</v>
      </c>
      <c r="V209" s="4" t="s">
        <v>1102</v>
      </c>
      <c r="W209" s="5">
        <v>0</v>
      </c>
    </row>
    <row r="210" spans="1:23" x14ac:dyDescent="0.3">
      <c r="A210" s="2" t="s">
        <v>1535</v>
      </c>
      <c r="B210" s="2" t="s">
        <v>806</v>
      </c>
      <c r="C210" s="2" t="s">
        <v>1536</v>
      </c>
      <c r="D210" s="2" t="s">
        <v>799</v>
      </c>
      <c r="E210" s="2" t="s">
        <v>1537</v>
      </c>
      <c r="F210" s="2" t="s">
        <v>1538</v>
      </c>
      <c r="G210" s="2" t="s">
        <v>59</v>
      </c>
      <c r="H210" s="2" t="s">
        <v>60</v>
      </c>
      <c r="I210" s="2" t="s">
        <v>31</v>
      </c>
      <c r="J210" s="2" t="s">
        <v>577</v>
      </c>
      <c r="K210" s="2" t="s">
        <v>364</v>
      </c>
      <c r="L210" s="2">
        <v>1</v>
      </c>
      <c r="M210" s="3">
        <v>19.989999999999998</v>
      </c>
      <c r="N210" s="2" t="s">
        <v>34</v>
      </c>
      <c r="O210" s="3">
        <v>0</v>
      </c>
      <c r="P210" s="3">
        <v>9.99</v>
      </c>
      <c r="Q210" s="3">
        <v>1.4</v>
      </c>
      <c r="R210" s="3">
        <v>31.38</v>
      </c>
      <c r="S210" s="2" t="s">
        <v>64</v>
      </c>
      <c r="T210" s="2" t="s">
        <v>173</v>
      </c>
      <c r="U210" s="2" t="s">
        <v>66</v>
      </c>
      <c r="V210" s="2" t="s">
        <v>1539</v>
      </c>
      <c r="W210" s="3">
        <v>0</v>
      </c>
    </row>
    <row r="211" spans="1:23" x14ac:dyDescent="0.3">
      <c r="A211" s="4" t="s">
        <v>1540</v>
      </c>
      <c r="B211" s="4" t="s">
        <v>633</v>
      </c>
      <c r="C211" s="4" t="s">
        <v>1541</v>
      </c>
      <c r="D211" s="4" t="s">
        <v>1542</v>
      </c>
      <c r="E211" s="4" t="s">
        <v>1543</v>
      </c>
      <c r="F211" s="4" t="s">
        <v>1544</v>
      </c>
      <c r="G211" s="4" t="s">
        <v>282</v>
      </c>
      <c r="H211" s="4" t="s">
        <v>88</v>
      </c>
      <c r="I211" s="4" t="s">
        <v>31</v>
      </c>
      <c r="J211" s="4" t="s">
        <v>1545</v>
      </c>
      <c r="K211" s="4" t="s">
        <v>209</v>
      </c>
      <c r="L211" s="4">
        <v>3</v>
      </c>
      <c r="M211" s="5">
        <v>135.96</v>
      </c>
      <c r="N211" s="4" t="s">
        <v>78</v>
      </c>
      <c r="O211" s="5">
        <v>13.6</v>
      </c>
      <c r="P211" s="5">
        <v>0</v>
      </c>
      <c r="Q211" s="5">
        <v>9.7899999999999991</v>
      </c>
      <c r="R211" s="5">
        <v>132.15</v>
      </c>
      <c r="S211" s="4" t="s">
        <v>123</v>
      </c>
      <c r="T211" s="4" t="s">
        <v>99</v>
      </c>
      <c r="U211" s="4" t="s">
        <v>66</v>
      </c>
      <c r="V211" s="4" t="s">
        <v>1546</v>
      </c>
      <c r="W211" s="5">
        <v>0</v>
      </c>
    </row>
    <row r="212" spans="1:23" x14ac:dyDescent="0.3">
      <c r="A212" s="2" t="s">
        <v>1547</v>
      </c>
      <c r="B212" s="2" t="s">
        <v>1548</v>
      </c>
      <c r="C212" s="2" t="s">
        <v>1549</v>
      </c>
      <c r="D212" s="2" t="s">
        <v>425</v>
      </c>
      <c r="E212" s="2" t="s">
        <v>1550</v>
      </c>
      <c r="F212" s="2" t="s">
        <v>1551</v>
      </c>
      <c r="G212" s="2" t="s">
        <v>802</v>
      </c>
      <c r="H212" s="2" t="s">
        <v>88</v>
      </c>
      <c r="I212" s="2" t="s">
        <v>31</v>
      </c>
      <c r="J212" s="2" t="s">
        <v>1552</v>
      </c>
      <c r="K212" s="2" t="s">
        <v>122</v>
      </c>
      <c r="L212" s="2">
        <v>2</v>
      </c>
      <c r="M212" s="3">
        <v>99.98</v>
      </c>
      <c r="N212" s="2" t="s">
        <v>152</v>
      </c>
      <c r="O212" s="3">
        <v>5</v>
      </c>
      <c r="P212" s="3">
        <v>0</v>
      </c>
      <c r="Q212" s="3">
        <v>7.6</v>
      </c>
      <c r="R212" s="3">
        <v>102.58</v>
      </c>
      <c r="S212" s="2" t="s">
        <v>111</v>
      </c>
      <c r="T212" s="2" t="s">
        <v>99</v>
      </c>
      <c r="U212" s="2" t="s">
        <v>51</v>
      </c>
      <c r="V212" s="2" t="s">
        <v>164</v>
      </c>
      <c r="W212" s="3">
        <v>0</v>
      </c>
    </row>
    <row r="213" spans="1:23" x14ac:dyDescent="0.3">
      <c r="A213" s="4" t="s">
        <v>1553</v>
      </c>
      <c r="B213" s="4" t="s">
        <v>311</v>
      </c>
      <c r="C213" s="4" t="s">
        <v>1554</v>
      </c>
      <c r="D213" s="4" t="s">
        <v>1555</v>
      </c>
      <c r="E213" s="4" t="s">
        <v>1556</v>
      </c>
      <c r="F213" s="4" t="s">
        <v>1557</v>
      </c>
      <c r="G213" s="4" t="s">
        <v>224</v>
      </c>
      <c r="H213" s="4" t="s">
        <v>225</v>
      </c>
      <c r="I213" s="4" t="s">
        <v>31</v>
      </c>
      <c r="J213" s="4" t="s">
        <v>1558</v>
      </c>
      <c r="K213" s="4" t="s">
        <v>48</v>
      </c>
      <c r="L213" s="4">
        <v>2</v>
      </c>
      <c r="M213" s="5">
        <v>117.98</v>
      </c>
      <c r="N213" s="4" t="s">
        <v>34</v>
      </c>
      <c r="O213" s="5">
        <v>0</v>
      </c>
      <c r="P213" s="5">
        <v>0</v>
      </c>
      <c r="Q213" s="5">
        <v>8.26</v>
      </c>
      <c r="R213" s="5">
        <v>126.24</v>
      </c>
      <c r="S213" s="4" t="s">
        <v>35</v>
      </c>
      <c r="T213" s="4" t="s">
        <v>65</v>
      </c>
      <c r="U213" s="4" t="s">
        <v>100</v>
      </c>
      <c r="V213" s="4"/>
      <c r="W213" s="5">
        <v>0</v>
      </c>
    </row>
    <row r="214" spans="1:23" x14ac:dyDescent="0.3">
      <c r="A214" s="2" t="s">
        <v>1559</v>
      </c>
      <c r="B214" s="2" t="s">
        <v>1560</v>
      </c>
      <c r="C214" s="2" t="s">
        <v>1561</v>
      </c>
      <c r="D214" s="2" t="s">
        <v>1562</v>
      </c>
      <c r="E214" s="2" t="s">
        <v>1563</v>
      </c>
      <c r="F214" s="2" t="s">
        <v>1564</v>
      </c>
      <c r="G214" s="2" t="s">
        <v>171</v>
      </c>
      <c r="H214" s="2" t="s">
        <v>88</v>
      </c>
      <c r="I214" s="2" t="s">
        <v>31</v>
      </c>
      <c r="J214" s="2" t="s">
        <v>1565</v>
      </c>
      <c r="K214" s="2" t="s">
        <v>62</v>
      </c>
      <c r="L214" s="2">
        <v>3</v>
      </c>
      <c r="M214" s="3">
        <v>339.95</v>
      </c>
      <c r="N214" s="2" t="s">
        <v>34</v>
      </c>
      <c r="O214" s="3">
        <v>0</v>
      </c>
      <c r="P214" s="3">
        <v>0</v>
      </c>
      <c r="Q214" s="3">
        <v>20.399999999999999</v>
      </c>
      <c r="R214" s="3">
        <v>360.35</v>
      </c>
      <c r="S214" s="2" t="s">
        <v>35</v>
      </c>
      <c r="T214" s="2" t="s">
        <v>99</v>
      </c>
      <c r="U214" s="2" t="s">
        <v>37</v>
      </c>
      <c r="V214" s="2" t="s">
        <v>1252</v>
      </c>
      <c r="W214" s="3">
        <v>360.35</v>
      </c>
    </row>
    <row r="215" spans="1:23" x14ac:dyDescent="0.3">
      <c r="A215" s="4" t="s">
        <v>1566</v>
      </c>
      <c r="B215" s="4" t="s">
        <v>1567</v>
      </c>
      <c r="C215" s="4" t="s">
        <v>1568</v>
      </c>
      <c r="D215" s="4" t="s">
        <v>1569</v>
      </c>
      <c r="E215" s="4" t="s">
        <v>1570</v>
      </c>
      <c r="F215" s="4" t="s">
        <v>1571</v>
      </c>
      <c r="G215" s="4" t="s">
        <v>640</v>
      </c>
      <c r="H215" s="4" t="s">
        <v>161</v>
      </c>
      <c r="I215" s="4" t="s">
        <v>31</v>
      </c>
      <c r="J215" s="4" t="s">
        <v>1572</v>
      </c>
      <c r="K215" s="4" t="s">
        <v>143</v>
      </c>
      <c r="L215" s="4">
        <v>2</v>
      </c>
      <c r="M215" s="5">
        <v>157.97999999999999</v>
      </c>
      <c r="N215" s="4" t="s">
        <v>34</v>
      </c>
      <c r="O215" s="5">
        <v>0</v>
      </c>
      <c r="P215" s="5">
        <v>0</v>
      </c>
      <c r="Q215" s="5">
        <v>14.22</v>
      </c>
      <c r="R215" s="5">
        <v>172.2</v>
      </c>
      <c r="S215" s="4" t="s">
        <v>111</v>
      </c>
      <c r="T215" s="4" t="s">
        <v>36</v>
      </c>
      <c r="U215" s="4" t="s">
        <v>66</v>
      </c>
      <c r="V215" s="4" t="s">
        <v>1573</v>
      </c>
      <c r="W215" s="5">
        <v>0</v>
      </c>
    </row>
    <row r="216" spans="1:23" x14ac:dyDescent="0.3">
      <c r="A216" s="2" t="s">
        <v>1574</v>
      </c>
      <c r="B216" s="2" t="s">
        <v>1575</v>
      </c>
      <c r="C216" s="2" t="s">
        <v>1576</v>
      </c>
      <c r="D216" s="2" t="s">
        <v>1577</v>
      </c>
      <c r="E216" s="2" t="s">
        <v>1578</v>
      </c>
      <c r="F216" s="2" t="s">
        <v>1579</v>
      </c>
      <c r="G216" s="2" t="s">
        <v>180</v>
      </c>
      <c r="H216" s="2" t="s">
        <v>181</v>
      </c>
      <c r="I216" s="2" t="s">
        <v>31</v>
      </c>
      <c r="J216" s="2" t="s">
        <v>371</v>
      </c>
      <c r="K216" s="2" t="s">
        <v>122</v>
      </c>
      <c r="L216" s="2">
        <v>1</v>
      </c>
      <c r="M216" s="3">
        <v>109.99</v>
      </c>
      <c r="N216" s="2" t="s">
        <v>34</v>
      </c>
      <c r="O216" s="3">
        <v>0</v>
      </c>
      <c r="P216" s="3">
        <v>0</v>
      </c>
      <c r="Q216" s="3">
        <v>9.9</v>
      </c>
      <c r="R216" s="3">
        <v>119.89</v>
      </c>
      <c r="S216" s="2" t="s">
        <v>64</v>
      </c>
      <c r="T216" s="2" t="s">
        <v>173</v>
      </c>
      <c r="U216" s="2" t="s">
        <v>66</v>
      </c>
      <c r="V216" s="2" t="s">
        <v>1580</v>
      </c>
      <c r="W216" s="3">
        <v>0</v>
      </c>
    </row>
    <row r="217" spans="1:23" x14ac:dyDescent="0.3">
      <c r="A217" s="4" t="s">
        <v>1581</v>
      </c>
      <c r="B217" s="4" t="s">
        <v>1582</v>
      </c>
      <c r="C217" s="4" t="s">
        <v>1583</v>
      </c>
      <c r="D217" s="4" t="s">
        <v>1584</v>
      </c>
      <c r="E217" s="4" t="s">
        <v>1585</v>
      </c>
      <c r="F217" s="4" t="s">
        <v>1586</v>
      </c>
      <c r="G217" s="4" t="s">
        <v>45</v>
      </c>
      <c r="H217" s="4" t="s">
        <v>46</v>
      </c>
      <c r="I217" s="4" t="s">
        <v>31</v>
      </c>
      <c r="J217" s="4" t="s">
        <v>1587</v>
      </c>
      <c r="K217" s="4" t="s">
        <v>209</v>
      </c>
      <c r="L217" s="4">
        <v>3</v>
      </c>
      <c r="M217" s="5">
        <v>174.97</v>
      </c>
      <c r="N217" s="4" t="s">
        <v>34</v>
      </c>
      <c r="O217" s="5">
        <v>0</v>
      </c>
      <c r="P217" s="5">
        <v>0</v>
      </c>
      <c r="Q217" s="5">
        <v>15.75</v>
      </c>
      <c r="R217" s="5">
        <v>190.72</v>
      </c>
      <c r="S217" s="4" t="s">
        <v>437</v>
      </c>
      <c r="T217" s="4" t="s">
        <v>36</v>
      </c>
      <c r="U217" s="4" t="s">
        <v>37</v>
      </c>
      <c r="V217" s="4" t="s">
        <v>877</v>
      </c>
      <c r="W217" s="5">
        <v>190.72</v>
      </c>
    </row>
    <row r="218" spans="1:23" x14ac:dyDescent="0.3">
      <c r="A218" s="2" t="s">
        <v>1588</v>
      </c>
      <c r="B218" s="2" t="s">
        <v>1589</v>
      </c>
      <c r="C218" s="2" t="s">
        <v>1590</v>
      </c>
      <c r="D218" s="2" t="s">
        <v>1591</v>
      </c>
      <c r="E218" s="2" t="s">
        <v>1592</v>
      </c>
      <c r="F218" s="2" t="s">
        <v>1593</v>
      </c>
      <c r="G218" s="2" t="s">
        <v>224</v>
      </c>
      <c r="H218" s="2" t="s">
        <v>225</v>
      </c>
      <c r="I218" s="2" t="s">
        <v>31</v>
      </c>
      <c r="J218" s="2" t="s">
        <v>1594</v>
      </c>
      <c r="K218" s="2" t="s">
        <v>110</v>
      </c>
      <c r="L218" s="2">
        <v>2</v>
      </c>
      <c r="M218" s="3">
        <v>175.97</v>
      </c>
      <c r="N218" s="2" t="s">
        <v>163</v>
      </c>
      <c r="O218" s="3">
        <v>35.19</v>
      </c>
      <c r="P218" s="3">
        <v>0</v>
      </c>
      <c r="Q218" s="3">
        <v>8.4499999999999993</v>
      </c>
      <c r="R218" s="3">
        <v>149.22999999999999</v>
      </c>
      <c r="S218" s="2" t="s">
        <v>35</v>
      </c>
      <c r="T218" s="2" t="s">
        <v>36</v>
      </c>
      <c r="U218" s="2" t="s">
        <v>66</v>
      </c>
      <c r="V218" s="2" t="s">
        <v>758</v>
      </c>
      <c r="W218" s="3">
        <v>0</v>
      </c>
    </row>
    <row r="219" spans="1:23" x14ac:dyDescent="0.3">
      <c r="A219" s="4" t="s">
        <v>1595</v>
      </c>
      <c r="B219" s="4" t="s">
        <v>1596</v>
      </c>
      <c r="C219" s="4" t="s">
        <v>1597</v>
      </c>
      <c r="D219" s="4" t="s">
        <v>1598</v>
      </c>
      <c r="E219" s="4" t="s">
        <v>1599</v>
      </c>
      <c r="F219" s="4" t="s">
        <v>1600</v>
      </c>
      <c r="G219" s="4" t="s">
        <v>394</v>
      </c>
      <c r="H219" s="4" t="s">
        <v>395</v>
      </c>
      <c r="I219" s="4" t="s">
        <v>31</v>
      </c>
      <c r="J219" s="4" t="s">
        <v>533</v>
      </c>
      <c r="K219" s="4" t="s">
        <v>209</v>
      </c>
      <c r="L219" s="4">
        <v>1</v>
      </c>
      <c r="M219" s="5">
        <v>239.98</v>
      </c>
      <c r="N219" s="4" t="s">
        <v>49</v>
      </c>
      <c r="O219" s="5">
        <v>36</v>
      </c>
      <c r="P219" s="5">
        <v>0</v>
      </c>
      <c r="Q219" s="5">
        <v>12.24</v>
      </c>
      <c r="R219" s="5">
        <v>216.22</v>
      </c>
      <c r="S219" s="4" t="s">
        <v>35</v>
      </c>
      <c r="T219" s="4" t="s">
        <v>99</v>
      </c>
      <c r="U219" s="4" t="s">
        <v>66</v>
      </c>
      <c r="V219" s="4" t="s">
        <v>804</v>
      </c>
      <c r="W219" s="5">
        <v>0</v>
      </c>
    </row>
    <row r="220" spans="1:23" x14ac:dyDescent="0.3">
      <c r="A220" s="2" t="s">
        <v>1601</v>
      </c>
      <c r="B220" s="2" t="s">
        <v>656</v>
      </c>
      <c r="C220" s="2" t="s">
        <v>1602</v>
      </c>
      <c r="D220" s="2" t="s">
        <v>1603</v>
      </c>
      <c r="E220" s="2" t="s">
        <v>1604</v>
      </c>
      <c r="F220" s="2" t="s">
        <v>1605</v>
      </c>
      <c r="G220" s="2" t="s">
        <v>347</v>
      </c>
      <c r="H220" s="2" t="s">
        <v>60</v>
      </c>
      <c r="I220" s="2" t="s">
        <v>31</v>
      </c>
      <c r="J220" s="2" t="s">
        <v>1606</v>
      </c>
      <c r="K220" s="2" t="s">
        <v>110</v>
      </c>
      <c r="L220" s="2">
        <v>3</v>
      </c>
      <c r="M220" s="3">
        <v>154.96</v>
      </c>
      <c r="N220" s="2" t="s">
        <v>63</v>
      </c>
      <c r="O220" s="3">
        <v>38.74</v>
      </c>
      <c r="P220" s="3">
        <v>0</v>
      </c>
      <c r="Q220" s="3">
        <v>8.14</v>
      </c>
      <c r="R220" s="3">
        <v>124.36</v>
      </c>
      <c r="S220" s="2" t="s">
        <v>437</v>
      </c>
      <c r="T220" s="2" t="s">
        <v>99</v>
      </c>
      <c r="U220" s="2" t="s">
        <v>66</v>
      </c>
      <c r="V220" s="2" t="s">
        <v>917</v>
      </c>
      <c r="W220" s="3">
        <v>0</v>
      </c>
    </row>
    <row r="221" spans="1:23" x14ac:dyDescent="0.3">
      <c r="A221" s="4" t="s">
        <v>1607</v>
      </c>
      <c r="B221" s="4" t="s">
        <v>570</v>
      </c>
      <c r="C221" s="4" t="s">
        <v>1608</v>
      </c>
      <c r="D221" s="4" t="s">
        <v>1609</v>
      </c>
      <c r="E221" s="4" t="s">
        <v>1610</v>
      </c>
      <c r="F221" s="4" t="s">
        <v>1611</v>
      </c>
      <c r="G221" s="4" t="s">
        <v>692</v>
      </c>
      <c r="H221" s="4" t="s">
        <v>693</v>
      </c>
      <c r="I221" s="4" t="s">
        <v>31</v>
      </c>
      <c r="J221" s="4" t="s">
        <v>1054</v>
      </c>
      <c r="K221" s="4" t="s">
        <v>364</v>
      </c>
      <c r="L221" s="4">
        <v>1</v>
      </c>
      <c r="M221" s="5">
        <v>44.99</v>
      </c>
      <c r="N221" s="4" t="s">
        <v>152</v>
      </c>
      <c r="O221" s="5">
        <v>2.25</v>
      </c>
      <c r="P221" s="5">
        <v>7.99</v>
      </c>
      <c r="Q221" s="5">
        <v>3.85</v>
      </c>
      <c r="R221" s="5">
        <v>54.58</v>
      </c>
      <c r="S221" s="4" t="s">
        <v>111</v>
      </c>
      <c r="T221" s="4" t="s">
        <v>173</v>
      </c>
      <c r="U221" s="4" t="s">
        <v>66</v>
      </c>
      <c r="V221" s="4" t="s">
        <v>1377</v>
      </c>
      <c r="W221" s="5">
        <v>0</v>
      </c>
    </row>
    <row r="222" spans="1:23" x14ac:dyDescent="0.3">
      <c r="A222" s="2" t="s">
        <v>1612</v>
      </c>
      <c r="B222" s="2" t="s">
        <v>877</v>
      </c>
      <c r="C222" s="2" t="s">
        <v>1613</v>
      </c>
      <c r="D222" s="2" t="s">
        <v>1614</v>
      </c>
      <c r="E222" s="2" t="s">
        <v>1615</v>
      </c>
      <c r="F222" s="2" t="s">
        <v>1616</v>
      </c>
      <c r="G222" s="2" t="s">
        <v>140</v>
      </c>
      <c r="H222" s="2" t="s">
        <v>141</v>
      </c>
      <c r="I222" s="2" t="s">
        <v>31</v>
      </c>
      <c r="J222" s="2" t="s">
        <v>1148</v>
      </c>
      <c r="K222" s="2" t="s">
        <v>33</v>
      </c>
      <c r="L222" s="2">
        <v>1</v>
      </c>
      <c r="M222" s="3">
        <v>18.989999999999998</v>
      </c>
      <c r="N222" s="2" t="s">
        <v>78</v>
      </c>
      <c r="O222" s="3">
        <v>1.9</v>
      </c>
      <c r="P222" s="3">
        <v>5.99</v>
      </c>
      <c r="Q222" s="3">
        <v>1.2</v>
      </c>
      <c r="R222" s="3">
        <v>24.28</v>
      </c>
      <c r="S222" s="2" t="s">
        <v>35</v>
      </c>
      <c r="T222" s="2" t="s">
        <v>144</v>
      </c>
      <c r="U222" s="2" t="s">
        <v>51</v>
      </c>
      <c r="V222" s="2" t="s">
        <v>593</v>
      </c>
      <c r="W222" s="3">
        <v>0</v>
      </c>
    </row>
    <row r="223" spans="1:23" x14ac:dyDescent="0.3">
      <c r="A223" s="4" t="s">
        <v>1617</v>
      </c>
      <c r="B223" s="4" t="s">
        <v>1618</v>
      </c>
      <c r="C223" s="4" t="s">
        <v>1619</v>
      </c>
      <c r="D223" s="4" t="s">
        <v>712</v>
      </c>
      <c r="E223" s="4" t="s">
        <v>1620</v>
      </c>
      <c r="F223" s="4" t="s">
        <v>1621</v>
      </c>
      <c r="G223" s="4" t="s">
        <v>692</v>
      </c>
      <c r="H223" s="4" t="s">
        <v>693</v>
      </c>
      <c r="I223" s="4" t="s">
        <v>31</v>
      </c>
      <c r="J223" s="4" t="s">
        <v>1622</v>
      </c>
      <c r="K223" s="4" t="s">
        <v>143</v>
      </c>
      <c r="L223" s="4">
        <v>3</v>
      </c>
      <c r="M223" s="5">
        <v>224.97</v>
      </c>
      <c r="N223" s="4" t="s">
        <v>63</v>
      </c>
      <c r="O223" s="5">
        <v>56.24</v>
      </c>
      <c r="P223" s="5">
        <v>0</v>
      </c>
      <c r="Q223" s="5">
        <v>13.5</v>
      </c>
      <c r="R223" s="5">
        <v>182.23</v>
      </c>
      <c r="S223" s="4" t="s">
        <v>111</v>
      </c>
      <c r="T223" s="4" t="s">
        <v>173</v>
      </c>
      <c r="U223" s="4" t="s">
        <v>66</v>
      </c>
      <c r="V223" s="4" t="s">
        <v>1623</v>
      </c>
      <c r="W223" s="5">
        <v>0</v>
      </c>
    </row>
    <row r="224" spans="1:23" x14ac:dyDescent="0.3">
      <c r="A224" s="2" t="s">
        <v>1624</v>
      </c>
      <c r="B224" s="2" t="s">
        <v>1625</v>
      </c>
      <c r="C224" s="2" t="s">
        <v>1626</v>
      </c>
      <c r="D224" s="2" t="s">
        <v>1627</v>
      </c>
      <c r="E224" s="2" t="s">
        <v>1628</v>
      </c>
      <c r="F224" s="2" t="s">
        <v>1629</v>
      </c>
      <c r="G224" s="2" t="s">
        <v>282</v>
      </c>
      <c r="H224" s="2" t="s">
        <v>88</v>
      </c>
      <c r="I224" s="2" t="s">
        <v>31</v>
      </c>
      <c r="J224" s="2" t="s">
        <v>1630</v>
      </c>
      <c r="K224" s="2" t="s">
        <v>77</v>
      </c>
      <c r="L224" s="2">
        <v>3</v>
      </c>
      <c r="M224" s="3">
        <v>304.95999999999998</v>
      </c>
      <c r="N224" s="2" t="s">
        <v>34</v>
      </c>
      <c r="O224" s="3">
        <v>0</v>
      </c>
      <c r="P224" s="3">
        <v>0</v>
      </c>
      <c r="Q224" s="3">
        <v>27.45</v>
      </c>
      <c r="R224" s="3">
        <v>332.41</v>
      </c>
      <c r="S224" s="2" t="s">
        <v>35</v>
      </c>
      <c r="T224" s="2" t="s">
        <v>183</v>
      </c>
      <c r="U224" s="2" t="s">
        <v>66</v>
      </c>
      <c r="V224" s="2" t="s">
        <v>1631</v>
      </c>
      <c r="W224" s="3">
        <v>0</v>
      </c>
    </row>
    <row r="225" spans="1:23" x14ac:dyDescent="0.3">
      <c r="A225" s="4" t="s">
        <v>1632</v>
      </c>
      <c r="B225" s="4" t="s">
        <v>1633</v>
      </c>
      <c r="C225" s="4" t="s">
        <v>1634</v>
      </c>
      <c r="D225" s="4" t="s">
        <v>1635</v>
      </c>
      <c r="E225" s="4" t="s">
        <v>1636</v>
      </c>
      <c r="F225" s="4" t="s">
        <v>1637</v>
      </c>
      <c r="G225" s="4" t="s">
        <v>160</v>
      </c>
      <c r="H225" s="4" t="s">
        <v>161</v>
      </c>
      <c r="I225" s="4" t="s">
        <v>31</v>
      </c>
      <c r="J225" s="4" t="s">
        <v>1638</v>
      </c>
      <c r="K225" s="4" t="s">
        <v>209</v>
      </c>
      <c r="L225" s="4">
        <v>2</v>
      </c>
      <c r="M225" s="5">
        <v>74.98</v>
      </c>
      <c r="N225" s="4" t="s">
        <v>78</v>
      </c>
      <c r="O225" s="5">
        <v>7.5</v>
      </c>
      <c r="P225" s="5">
        <v>4.99</v>
      </c>
      <c r="Q225" s="5">
        <v>4.05</v>
      </c>
      <c r="R225" s="5">
        <v>76.52</v>
      </c>
      <c r="S225" s="4" t="s">
        <v>332</v>
      </c>
      <c r="T225" s="4" t="s">
        <v>99</v>
      </c>
      <c r="U225" s="4" t="s">
        <v>100</v>
      </c>
      <c r="V225" s="4"/>
      <c r="W225" s="5">
        <v>0</v>
      </c>
    </row>
    <row r="226" spans="1:23" x14ac:dyDescent="0.3">
      <c r="A226" s="2" t="s">
        <v>1639</v>
      </c>
      <c r="B226" s="2" t="s">
        <v>1640</v>
      </c>
      <c r="C226" s="2" t="s">
        <v>1641</v>
      </c>
      <c r="D226" s="2" t="s">
        <v>1642</v>
      </c>
      <c r="E226" s="2" t="s">
        <v>1643</v>
      </c>
      <c r="F226" s="2" t="s">
        <v>1644</v>
      </c>
      <c r="G226" s="2" t="s">
        <v>29</v>
      </c>
      <c r="H226" s="2" t="s">
        <v>30</v>
      </c>
      <c r="I226" s="2" t="s">
        <v>31</v>
      </c>
      <c r="J226" s="2" t="s">
        <v>1645</v>
      </c>
      <c r="K226" s="2" t="s">
        <v>77</v>
      </c>
      <c r="L226" s="2">
        <v>5</v>
      </c>
      <c r="M226" s="3">
        <v>204.95</v>
      </c>
      <c r="N226" s="2" t="s">
        <v>63</v>
      </c>
      <c r="O226" s="3">
        <v>51.24</v>
      </c>
      <c r="P226" s="3">
        <v>0</v>
      </c>
      <c r="Q226" s="3">
        <v>12.3</v>
      </c>
      <c r="R226" s="3">
        <v>166.01</v>
      </c>
      <c r="S226" s="2" t="s">
        <v>35</v>
      </c>
      <c r="T226" s="2" t="s">
        <v>36</v>
      </c>
      <c r="U226" s="2" t="s">
        <v>66</v>
      </c>
      <c r="V226" s="2" t="s">
        <v>124</v>
      </c>
      <c r="W226" s="3">
        <v>0</v>
      </c>
    </row>
    <row r="227" spans="1:23" x14ac:dyDescent="0.3">
      <c r="A227" s="4" t="s">
        <v>1646</v>
      </c>
      <c r="B227" s="4" t="s">
        <v>210</v>
      </c>
      <c r="C227" s="4" t="s">
        <v>1647</v>
      </c>
      <c r="D227" s="4" t="s">
        <v>1648</v>
      </c>
      <c r="E227" s="4" t="s">
        <v>1649</v>
      </c>
      <c r="F227" s="4" t="s">
        <v>1650</v>
      </c>
      <c r="G227" s="4" t="s">
        <v>207</v>
      </c>
      <c r="H227" s="4" t="s">
        <v>141</v>
      </c>
      <c r="I227" s="4" t="s">
        <v>31</v>
      </c>
      <c r="J227" s="4" t="s">
        <v>1651</v>
      </c>
      <c r="K227" s="4" t="s">
        <v>33</v>
      </c>
      <c r="L227" s="4">
        <v>2</v>
      </c>
      <c r="M227" s="5">
        <v>84.98</v>
      </c>
      <c r="N227" s="4" t="s">
        <v>78</v>
      </c>
      <c r="O227" s="5">
        <v>8.5</v>
      </c>
      <c r="P227" s="5">
        <v>0</v>
      </c>
      <c r="Q227" s="5">
        <v>4.59</v>
      </c>
      <c r="R227" s="5">
        <v>81.069999999999993</v>
      </c>
      <c r="S227" s="4" t="s">
        <v>332</v>
      </c>
      <c r="T227" s="4" t="s">
        <v>99</v>
      </c>
      <c r="U227" s="4" t="s">
        <v>66</v>
      </c>
      <c r="V227" s="4" t="s">
        <v>1323</v>
      </c>
      <c r="W227" s="5">
        <v>0</v>
      </c>
    </row>
    <row r="228" spans="1:23" x14ac:dyDescent="0.3">
      <c r="A228" s="2" t="s">
        <v>1652</v>
      </c>
      <c r="B228" s="2" t="s">
        <v>1653</v>
      </c>
      <c r="C228" s="2" t="s">
        <v>1654</v>
      </c>
      <c r="D228" s="2" t="s">
        <v>1655</v>
      </c>
      <c r="E228" s="2" t="s">
        <v>1656</v>
      </c>
      <c r="F228" s="2" t="s">
        <v>1657</v>
      </c>
      <c r="G228" s="2" t="s">
        <v>428</v>
      </c>
      <c r="H228" s="2" t="s">
        <v>429</v>
      </c>
      <c r="I228" s="2" t="s">
        <v>31</v>
      </c>
      <c r="J228" s="2" t="s">
        <v>172</v>
      </c>
      <c r="K228" s="2" t="s">
        <v>122</v>
      </c>
      <c r="L228" s="2">
        <v>1</v>
      </c>
      <c r="M228" s="3">
        <v>69.989999999999995</v>
      </c>
      <c r="N228" s="2" t="s">
        <v>78</v>
      </c>
      <c r="O228" s="3">
        <v>7</v>
      </c>
      <c r="P228" s="3">
        <v>7.99</v>
      </c>
      <c r="Q228" s="3">
        <v>5.04</v>
      </c>
      <c r="R228" s="3">
        <v>76.02</v>
      </c>
      <c r="S228" s="2" t="s">
        <v>35</v>
      </c>
      <c r="T228" s="2" t="s">
        <v>144</v>
      </c>
      <c r="U228" s="2" t="s">
        <v>37</v>
      </c>
      <c r="V228" s="2" t="s">
        <v>1658</v>
      </c>
      <c r="W228" s="3">
        <v>76.02</v>
      </c>
    </row>
    <row r="229" spans="1:23" x14ac:dyDescent="0.3">
      <c r="A229" s="4" t="s">
        <v>1659</v>
      </c>
      <c r="B229" s="4" t="s">
        <v>202</v>
      </c>
      <c r="C229" s="4" t="s">
        <v>1660</v>
      </c>
      <c r="D229" s="4" t="s">
        <v>1661</v>
      </c>
      <c r="E229" s="4" t="s">
        <v>1662</v>
      </c>
      <c r="F229" s="4" t="s">
        <v>1663</v>
      </c>
      <c r="G229" s="4" t="s">
        <v>45</v>
      </c>
      <c r="H229" s="4" t="s">
        <v>46</v>
      </c>
      <c r="I229" s="4" t="s">
        <v>31</v>
      </c>
      <c r="J229" s="4" t="s">
        <v>283</v>
      </c>
      <c r="K229" s="4" t="s">
        <v>209</v>
      </c>
      <c r="L229" s="4">
        <v>1</v>
      </c>
      <c r="M229" s="5">
        <v>49.99</v>
      </c>
      <c r="N229" s="4" t="s">
        <v>78</v>
      </c>
      <c r="O229" s="5">
        <v>5</v>
      </c>
      <c r="P229" s="5">
        <v>9.99</v>
      </c>
      <c r="Q229" s="5">
        <v>2.7</v>
      </c>
      <c r="R229" s="5">
        <v>57.68</v>
      </c>
      <c r="S229" s="4" t="s">
        <v>123</v>
      </c>
      <c r="T229" s="4" t="s">
        <v>173</v>
      </c>
      <c r="U229" s="4" t="s">
        <v>66</v>
      </c>
      <c r="V229" s="4" t="s">
        <v>210</v>
      </c>
      <c r="W229" s="5">
        <v>0</v>
      </c>
    </row>
    <row r="230" spans="1:23" x14ac:dyDescent="0.3">
      <c r="A230" s="2" t="s">
        <v>1664</v>
      </c>
      <c r="B230" s="2" t="s">
        <v>1596</v>
      </c>
      <c r="C230" s="2" t="s">
        <v>1665</v>
      </c>
      <c r="D230" s="2" t="s">
        <v>1666</v>
      </c>
      <c r="E230" s="2" t="s">
        <v>1667</v>
      </c>
      <c r="F230" s="2" t="s">
        <v>1668</v>
      </c>
      <c r="G230" s="2" t="s">
        <v>45</v>
      </c>
      <c r="H230" s="2" t="s">
        <v>46</v>
      </c>
      <c r="I230" s="2" t="s">
        <v>31</v>
      </c>
      <c r="J230" s="2" t="s">
        <v>1669</v>
      </c>
      <c r="K230" s="2" t="s">
        <v>77</v>
      </c>
      <c r="L230" s="2">
        <v>2</v>
      </c>
      <c r="M230" s="3">
        <v>104.98</v>
      </c>
      <c r="N230" s="2" t="s">
        <v>63</v>
      </c>
      <c r="O230" s="3">
        <v>26.24</v>
      </c>
      <c r="P230" s="3">
        <v>0</v>
      </c>
      <c r="Q230" s="3">
        <v>7.09</v>
      </c>
      <c r="R230" s="3">
        <v>85.83</v>
      </c>
      <c r="S230" s="2" t="s">
        <v>35</v>
      </c>
      <c r="T230" s="2" t="s">
        <v>99</v>
      </c>
      <c r="U230" s="2" t="s">
        <v>66</v>
      </c>
      <c r="V230" s="2" t="s">
        <v>804</v>
      </c>
      <c r="W230" s="3">
        <v>0</v>
      </c>
    </row>
    <row r="231" spans="1:23" x14ac:dyDescent="0.3">
      <c r="A231" s="4" t="s">
        <v>1670</v>
      </c>
      <c r="B231" s="4" t="s">
        <v>1671</v>
      </c>
      <c r="C231" s="4" t="s">
        <v>1672</v>
      </c>
      <c r="D231" s="4" t="s">
        <v>1673</v>
      </c>
      <c r="E231" s="4" t="s">
        <v>1674</v>
      </c>
      <c r="F231" s="4" t="s">
        <v>1675</v>
      </c>
      <c r="G231" s="4" t="s">
        <v>29</v>
      </c>
      <c r="H231" s="4" t="s">
        <v>30</v>
      </c>
      <c r="I231" s="4" t="s">
        <v>31</v>
      </c>
      <c r="J231" s="4" t="s">
        <v>1676</v>
      </c>
      <c r="K231" s="4" t="s">
        <v>209</v>
      </c>
      <c r="L231" s="4">
        <v>2</v>
      </c>
      <c r="M231" s="5">
        <v>79.98</v>
      </c>
      <c r="N231" s="4" t="s">
        <v>78</v>
      </c>
      <c r="O231" s="5">
        <v>8</v>
      </c>
      <c r="P231" s="5">
        <v>0</v>
      </c>
      <c r="Q231" s="5">
        <v>6.48</v>
      </c>
      <c r="R231" s="5">
        <v>78.459999999999994</v>
      </c>
      <c r="S231" s="4" t="s">
        <v>35</v>
      </c>
      <c r="T231" s="4" t="s">
        <v>183</v>
      </c>
      <c r="U231" s="4" t="s">
        <v>66</v>
      </c>
      <c r="V231" s="4" t="s">
        <v>851</v>
      </c>
      <c r="W231" s="5">
        <v>0</v>
      </c>
    </row>
    <row r="232" spans="1:23" x14ac:dyDescent="0.3">
      <c r="A232" s="2" t="s">
        <v>1677</v>
      </c>
      <c r="B232" s="2" t="s">
        <v>1527</v>
      </c>
      <c r="C232" s="2" t="s">
        <v>1678</v>
      </c>
      <c r="D232" s="2" t="s">
        <v>1679</v>
      </c>
      <c r="E232" s="2" t="s">
        <v>1680</v>
      </c>
      <c r="F232" s="2" t="s">
        <v>1681</v>
      </c>
      <c r="G232" s="2" t="s">
        <v>251</v>
      </c>
      <c r="H232" s="2" t="s">
        <v>252</v>
      </c>
      <c r="I232" s="2" t="s">
        <v>31</v>
      </c>
      <c r="J232" s="2" t="s">
        <v>1682</v>
      </c>
      <c r="K232" s="2" t="s">
        <v>209</v>
      </c>
      <c r="L232" s="2">
        <v>2</v>
      </c>
      <c r="M232" s="3">
        <v>94.97</v>
      </c>
      <c r="N232" s="2" t="s">
        <v>34</v>
      </c>
      <c r="O232" s="3">
        <v>0</v>
      </c>
      <c r="P232" s="3">
        <v>0</v>
      </c>
      <c r="Q232" s="3">
        <v>7.6</v>
      </c>
      <c r="R232" s="3">
        <v>102.57</v>
      </c>
      <c r="S232" s="2" t="s">
        <v>79</v>
      </c>
      <c r="T232" s="2" t="s">
        <v>99</v>
      </c>
      <c r="U232" s="2" t="s">
        <v>66</v>
      </c>
      <c r="V232" s="2" t="s">
        <v>1683</v>
      </c>
      <c r="W232" s="3">
        <v>0</v>
      </c>
    </row>
    <row r="233" spans="1:23" x14ac:dyDescent="0.3">
      <c r="A233" s="4" t="s">
        <v>1684</v>
      </c>
      <c r="B233" s="4" t="s">
        <v>212</v>
      </c>
      <c r="C233" s="4" t="s">
        <v>1685</v>
      </c>
      <c r="D233" s="4" t="s">
        <v>1686</v>
      </c>
      <c r="E233" s="4" t="s">
        <v>1687</v>
      </c>
      <c r="F233" s="4" t="s">
        <v>1688</v>
      </c>
      <c r="G233" s="4" t="s">
        <v>224</v>
      </c>
      <c r="H233" s="4" t="s">
        <v>225</v>
      </c>
      <c r="I233" s="4" t="s">
        <v>31</v>
      </c>
      <c r="J233" s="4" t="s">
        <v>1689</v>
      </c>
      <c r="K233" s="4" t="s">
        <v>209</v>
      </c>
      <c r="L233" s="4">
        <v>2</v>
      </c>
      <c r="M233" s="5">
        <v>191.97</v>
      </c>
      <c r="N233" s="4" t="s">
        <v>63</v>
      </c>
      <c r="O233" s="5">
        <v>47.99</v>
      </c>
      <c r="P233" s="5">
        <v>0</v>
      </c>
      <c r="Q233" s="5">
        <v>11.52</v>
      </c>
      <c r="R233" s="5">
        <v>155.5</v>
      </c>
      <c r="S233" s="4" t="s">
        <v>437</v>
      </c>
      <c r="T233" s="4" t="s">
        <v>99</v>
      </c>
      <c r="U233" s="4" t="s">
        <v>51</v>
      </c>
      <c r="V233" s="4" t="s">
        <v>701</v>
      </c>
      <c r="W233" s="5">
        <v>0</v>
      </c>
    </row>
    <row r="234" spans="1:23" x14ac:dyDescent="0.3">
      <c r="A234" s="2" t="s">
        <v>1690</v>
      </c>
      <c r="B234" s="2" t="s">
        <v>680</v>
      </c>
      <c r="C234" s="2" t="s">
        <v>1691</v>
      </c>
      <c r="D234" s="2" t="s">
        <v>1692</v>
      </c>
      <c r="E234" s="2" t="s">
        <v>1693</v>
      </c>
      <c r="F234" s="2" t="s">
        <v>1694</v>
      </c>
      <c r="G234" s="2" t="s">
        <v>251</v>
      </c>
      <c r="H234" s="2" t="s">
        <v>252</v>
      </c>
      <c r="I234" s="2" t="s">
        <v>31</v>
      </c>
      <c r="J234" s="2" t="s">
        <v>1695</v>
      </c>
      <c r="K234" s="2" t="s">
        <v>33</v>
      </c>
      <c r="L234" s="2">
        <v>1</v>
      </c>
      <c r="M234" s="3">
        <v>71.98</v>
      </c>
      <c r="N234" s="2" t="s">
        <v>78</v>
      </c>
      <c r="O234" s="3">
        <v>7.2</v>
      </c>
      <c r="P234" s="3">
        <v>5.99</v>
      </c>
      <c r="Q234" s="3">
        <v>5.51</v>
      </c>
      <c r="R234" s="3">
        <v>76.28</v>
      </c>
      <c r="S234" s="2" t="s">
        <v>79</v>
      </c>
      <c r="T234" s="2" t="s">
        <v>65</v>
      </c>
      <c r="U234" s="2" t="s">
        <v>66</v>
      </c>
      <c r="V234" s="2" t="s">
        <v>1546</v>
      </c>
      <c r="W234" s="3">
        <v>0</v>
      </c>
    </row>
    <row r="235" spans="1:23" x14ac:dyDescent="0.3">
      <c r="A235" s="4" t="s">
        <v>1696</v>
      </c>
      <c r="B235" s="4" t="s">
        <v>1070</v>
      </c>
      <c r="C235" s="4" t="s">
        <v>1697</v>
      </c>
      <c r="D235" s="4" t="s">
        <v>1698</v>
      </c>
      <c r="E235" s="4" t="s">
        <v>1699</v>
      </c>
      <c r="F235" s="4" t="s">
        <v>1700</v>
      </c>
      <c r="G235" s="4" t="s">
        <v>403</v>
      </c>
      <c r="H235" s="4" t="s">
        <v>404</v>
      </c>
      <c r="I235" s="4" t="s">
        <v>31</v>
      </c>
      <c r="J235" s="4" t="s">
        <v>1701</v>
      </c>
      <c r="K235" s="4" t="s">
        <v>143</v>
      </c>
      <c r="L235" s="4">
        <v>3</v>
      </c>
      <c r="M235" s="5">
        <v>102.97</v>
      </c>
      <c r="N235" s="4" t="s">
        <v>34</v>
      </c>
      <c r="O235" s="5">
        <v>0</v>
      </c>
      <c r="P235" s="5">
        <v>0</v>
      </c>
      <c r="Q235" s="5">
        <v>7.21</v>
      </c>
      <c r="R235" s="5">
        <v>110.18</v>
      </c>
      <c r="S235" s="4" t="s">
        <v>64</v>
      </c>
      <c r="T235" s="4" t="s">
        <v>173</v>
      </c>
      <c r="U235" s="4" t="s">
        <v>51</v>
      </c>
      <c r="V235" s="4" t="s">
        <v>1271</v>
      </c>
      <c r="W235" s="5">
        <v>0</v>
      </c>
    </row>
    <row r="236" spans="1:23" x14ac:dyDescent="0.3">
      <c r="A236" s="2" t="s">
        <v>1702</v>
      </c>
      <c r="B236" s="2" t="s">
        <v>1703</v>
      </c>
      <c r="C236" s="2" t="s">
        <v>1704</v>
      </c>
      <c r="D236" s="2" t="s">
        <v>1132</v>
      </c>
      <c r="E236" s="2" t="s">
        <v>1705</v>
      </c>
      <c r="F236" s="2" t="s">
        <v>1706</v>
      </c>
      <c r="G236" s="2" t="s">
        <v>59</v>
      </c>
      <c r="H236" s="2" t="s">
        <v>60</v>
      </c>
      <c r="I236" s="2" t="s">
        <v>31</v>
      </c>
      <c r="J236" s="2" t="s">
        <v>632</v>
      </c>
      <c r="K236" s="2" t="s">
        <v>33</v>
      </c>
      <c r="L236" s="2">
        <v>1</v>
      </c>
      <c r="M236" s="3">
        <v>49.99</v>
      </c>
      <c r="N236" s="2" t="s">
        <v>152</v>
      </c>
      <c r="O236" s="3">
        <v>2.5</v>
      </c>
      <c r="P236" s="3">
        <v>5.99</v>
      </c>
      <c r="Q236" s="3">
        <v>4.2699999999999996</v>
      </c>
      <c r="R236" s="3">
        <v>57.75</v>
      </c>
      <c r="S236" s="2" t="s">
        <v>64</v>
      </c>
      <c r="T236" s="2" t="s">
        <v>183</v>
      </c>
      <c r="U236" s="2" t="s">
        <v>317</v>
      </c>
      <c r="V236" s="2"/>
      <c r="W236" s="3">
        <v>0</v>
      </c>
    </row>
    <row r="237" spans="1:23" x14ac:dyDescent="0.3">
      <c r="A237" s="4" t="s">
        <v>1707</v>
      </c>
      <c r="B237" s="4" t="s">
        <v>1658</v>
      </c>
      <c r="C237" s="4" t="s">
        <v>1708</v>
      </c>
      <c r="D237" s="4" t="s">
        <v>1709</v>
      </c>
      <c r="E237" s="4" t="s">
        <v>1710</v>
      </c>
      <c r="F237" s="4" t="s">
        <v>1711</v>
      </c>
      <c r="G237" s="4" t="s">
        <v>692</v>
      </c>
      <c r="H237" s="4" t="s">
        <v>693</v>
      </c>
      <c r="I237" s="4" t="s">
        <v>31</v>
      </c>
      <c r="J237" s="4" t="s">
        <v>387</v>
      </c>
      <c r="K237" s="4" t="s">
        <v>33</v>
      </c>
      <c r="L237" s="4">
        <v>1</v>
      </c>
      <c r="M237" s="5">
        <v>35.99</v>
      </c>
      <c r="N237" s="4" t="s">
        <v>163</v>
      </c>
      <c r="O237" s="5">
        <v>7.2</v>
      </c>
      <c r="P237" s="5">
        <v>9.99</v>
      </c>
      <c r="Q237" s="5">
        <v>2.4500000000000002</v>
      </c>
      <c r="R237" s="5">
        <v>41.23</v>
      </c>
      <c r="S237" s="4" t="s">
        <v>123</v>
      </c>
      <c r="T237" s="4" t="s">
        <v>99</v>
      </c>
      <c r="U237" s="4" t="s">
        <v>37</v>
      </c>
      <c r="V237" s="4" t="s">
        <v>952</v>
      </c>
      <c r="W237" s="5">
        <v>41.23</v>
      </c>
    </row>
    <row r="238" spans="1:23" x14ac:dyDescent="0.3">
      <c r="A238" s="2" t="s">
        <v>1712</v>
      </c>
      <c r="B238" s="2" t="s">
        <v>1713</v>
      </c>
      <c r="C238" s="2" t="s">
        <v>1714</v>
      </c>
      <c r="D238" s="2" t="s">
        <v>1715</v>
      </c>
      <c r="E238" s="2" t="s">
        <v>1716</v>
      </c>
      <c r="F238" s="2" t="s">
        <v>1717</v>
      </c>
      <c r="G238" s="2" t="s">
        <v>291</v>
      </c>
      <c r="H238" s="2" t="s">
        <v>292</v>
      </c>
      <c r="I238" s="2" t="s">
        <v>31</v>
      </c>
      <c r="J238" s="2" t="s">
        <v>1718</v>
      </c>
      <c r="K238" s="2" t="s">
        <v>209</v>
      </c>
      <c r="L238" s="2">
        <v>4</v>
      </c>
      <c r="M238" s="3">
        <v>245.94</v>
      </c>
      <c r="N238" s="2" t="s">
        <v>152</v>
      </c>
      <c r="O238" s="3">
        <v>12.3</v>
      </c>
      <c r="P238" s="3">
        <v>0</v>
      </c>
      <c r="Q238" s="3">
        <v>16.350000000000001</v>
      </c>
      <c r="R238" s="3">
        <v>249.99</v>
      </c>
      <c r="S238" s="2" t="s">
        <v>79</v>
      </c>
      <c r="T238" s="2" t="s">
        <v>36</v>
      </c>
      <c r="U238" s="2" t="s">
        <v>37</v>
      </c>
      <c r="V238" s="2" t="s">
        <v>1142</v>
      </c>
      <c r="W238" s="3">
        <v>249.99</v>
      </c>
    </row>
    <row r="239" spans="1:23" x14ac:dyDescent="0.3">
      <c r="A239" s="4" t="s">
        <v>1719</v>
      </c>
      <c r="B239" s="4" t="s">
        <v>155</v>
      </c>
      <c r="C239" s="4" t="s">
        <v>1720</v>
      </c>
      <c r="D239" s="4" t="s">
        <v>1721</v>
      </c>
      <c r="E239" s="4" t="s">
        <v>1722</v>
      </c>
      <c r="F239" s="4" t="s">
        <v>1723</v>
      </c>
      <c r="G239" s="4" t="s">
        <v>160</v>
      </c>
      <c r="H239" s="4" t="s">
        <v>161</v>
      </c>
      <c r="I239" s="4" t="s">
        <v>31</v>
      </c>
      <c r="J239" s="4" t="s">
        <v>1724</v>
      </c>
      <c r="K239" s="4" t="s">
        <v>143</v>
      </c>
      <c r="L239" s="4">
        <v>2</v>
      </c>
      <c r="M239" s="5">
        <v>109.98</v>
      </c>
      <c r="N239" s="4" t="s">
        <v>34</v>
      </c>
      <c r="O239" s="5">
        <v>0</v>
      </c>
      <c r="P239" s="5">
        <v>0</v>
      </c>
      <c r="Q239" s="5">
        <v>9.9</v>
      </c>
      <c r="R239" s="5">
        <v>119.88</v>
      </c>
      <c r="S239" s="4" t="s">
        <v>64</v>
      </c>
      <c r="T239" s="4" t="s">
        <v>144</v>
      </c>
      <c r="U239" s="4" t="s">
        <v>66</v>
      </c>
      <c r="V239" s="4" t="s">
        <v>164</v>
      </c>
      <c r="W239" s="5">
        <v>0</v>
      </c>
    </row>
    <row r="240" spans="1:23" x14ac:dyDescent="0.3">
      <c r="A240" s="2" t="s">
        <v>1725</v>
      </c>
      <c r="B240" s="2" t="s">
        <v>333</v>
      </c>
      <c r="C240" s="2" t="s">
        <v>1726</v>
      </c>
      <c r="D240" s="2" t="s">
        <v>1727</v>
      </c>
      <c r="E240" s="2" t="s">
        <v>1728</v>
      </c>
      <c r="F240" s="2" t="s">
        <v>1729</v>
      </c>
      <c r="G240" s="2" t="s">
        <v>1730</v>
      </c>
      <c r="H240" s="2" t="s">
        <v>161</v>
      </c>
      <c r="I240" s="2" t="s">
        <v>31</v>
      </c>
      <c r="J240" s="2" t="s">
        <v>283</v>
      </c>
      <c r="K240" s="2" t="s">
        <v>209</v>
      </c>
      <c r="L240" s="2">
        <v>1</v>
      </c>
      <c r="M240" s="3">
        <v>49.99</v>
      </c>
      <c r="N240" s="2" t="s">
        <v>63</v>
      </c>
      <c r="O240" s="3">
        <v>12.5</v>
      </c>
      <c r="P240" s="3">
        <v>7.99</v>
      </c>
      <c r="Q240" s="3">
        <v>3.19</v>
      </c>
      <c r="R240" s="3">
        <v>48.67</v>
      </c>
      <c r="S240" s="2" t="s">
        <v>123</v>
      </c>
      <c r="T240" s="2" t="s">
        <v>173</v>
      </c>
      <c r="U240" s="2" t="s">
        <v>66</v>
      </c>
      <c r="V240" s="2" t="s">
        <v>511</v>
      </c>
      <c r="W240" s="3">
        <v>0</v>
      </c>
    </row>
    <row r="241" spans="1:23" x14ac:dyDescent="0.3">
      <c r="A241" s="4" t="s">
        <v>1731</v>
      </c>
      <c r="B241" s="4" t="s">
        <v>1732</v>
      </c>
      <c r="C241" s="4" t="s">
        <v>1044</v>
      </c>
      <c r="D241" s="4" t="s">
        <v>1733</v>
      </c>
      <c r="E241" s="4" t="s">
        <v>1734</v>
      </c>
      <c r="F241" s="4" t="s">
        <v>1735</v>
      </c>
      <c r="G241" s="4" t="s">
        <v>224</v>
      </c>
      <c r="H241" s="4" t="s">
        <v>225</v>
      </c>
      <c r="I241" s="4" t="s">
        <v>31</v>
      </c>
      <c r="J241" s="4" t="s">
        <v>1736</v>
      </c>
      <c r="K241" s="4" t="s">
        <v>364</v>
      </c>
      <c r="L241" s="4">
        <v>2</v>
      </c>
      <c r="M241" s="5">
        <v>77.98</v>
      </c>
      <c r="N241" s="4" t="s">
        <v>34</v>
      </c>
      <c r="O241" s="5">
        <v>0</v>
      </c>
      <c r="P241" s="5">
        <v>0</v>
      </c>
      <c r="Q241" s="5">
        <v>7.02</v>
      </c>
      <c r="R241" s="5">
        <v>85</v>
      </c>
      <c r="S241" s="4" t="s">
        <v>35</v>
      </c>
      <c r="T241" s="4" t="s">
        <v>325</v>
      </c>
      <c r="U241" s="4" t="s">
        <v>66</v>
      </c>
      <c r="V241" s="4" t="s">
        <v>145</v>
      </c>
      <c r="W241" s="5">
        <v>0</v>
      </c>
    </row>
    <row r="242" spans="1:23" x14ac:dyDescent="0.3">
      <c r="A242" s="2" t="s">
        <v>1737</v>
      </c>
      <c r="B242" s="2" t="s">
        <v>1456</v>
      </c>
      <c r="C242" s="2" t="s">
        <v>1738</v>
      </c>
      <c r="D242" s="2" t="s">
        <v>1739</v>
      </c>
      <c r="E242" s="2" t="s">
        <v>1740</v>
      </c>
      <c r="F242" s="2" t="s">
        <v>1741</v>
      </c>
      <c r="G242" s="2" t="s">
        <v>291</v>
      </c>
      <c r="H242" s="2" t="s">
        <v>292</v>
      </c>
      <c r="I242" s="2" t="s">
        <v>31</v>
      </c>
      <c r="J242" s="2" t="s">
        <v>1141</v>
      </c>
      <c r="K242" s="2" t="s">
        <v>122</v>
      </c>
      <c r="L242" s="2">
        <v>1</v>
      </c>
      <c r="M242" s="3">
        <v>74.989999999999995</v>
      </c>
      <c r="N242" s="2" t="s">
        <v>63</v>
      </c>
      <c r="O242" s="3">
        <v>18.75</v>
      </c>
      <c r="P242" s="3">
        <v>7.99</v>
      </c>
      <c r="Q242" s="3">
        <v>3.94</v>
      </c>
      <c r="R242" s="3">
        <v>68.17</v>
      </c>
      <c r="S242" s="2" t="s">
        <v>35</v>
      </c>
      <c r="T242" s="2" t="s">
        <v>99</v>
      </c>
      <c r="U242" s="2" t="s">
        <v>66</v>
      </c>
      <c r="V242" s="2" t="s">
        <v>1742</v>
      </c>
      <c r="W242" s="3">
        <v>0</v>
      </c>
    </row>
    <row r="243" spans="1:23" x14ac:dyDescent="0.3">
      <c r="A243" s="4" t="s">
        <v>1743</v>
      </c>
      <c r="B243" s="4" t="s">
        <v>445</v>
      </c>
      <c r="C243" s="4" t="s">
        <v>1744</v>
      </c>
      <c r="D243" s="4" t="s">
        <v>1745</v>
      </c>
      <c r="E243" s="4" t="s">
        <v>1746</v>
      </c>
      <c r="F243" s="4" t="s">
        <v>1747</v>
      </c>
      <c r="G243" s="4" t="s">
        <v>282</v>
      </c>
      <c r="H243" s="4" t="s">
        <v>88</v>
      </c>
      <c r="I243" s="4" t="s">
        <v>31</v>
      </c>
      <c r="J243" s="4" t="s">
        <v>444</v>
      </c>
      <c r="K243" s="4" t="s">
        <v>48</v>
      </c>
      <c r="L243" s="4">
        <v>1</v>
      </c>
      <c r="M243" s="5">
        <v>64.989999999999995</v>
      </c>
      <c r="N243" s="4" t="s">
        <v>34</v>
      </c>
      <c r="O243" s="5">
        <v>0</v>
      </c>
      <c r="P243" s="5">
        <v>4.99</v>
      </c>
      <c r="Q243" s="5">
        <v>4.55</v>
      </c>
      <c r="R243" s="5">
        <v>74.53</v>
      </c>
      <c r="S243" s="4" t="s">
        <v>64</v>
      </c>
      <c r="T243" s="4" t="s">
        <v>99</v>
      </c>
      <c r="U243" s="4" t="s">
        <v>37</v>
      </c>
      <c r="V243" s="4" t="s">
        <v>1748</v>
      </c>
      <c r="W243" s="5">
        <v>74.53</v>
      </c>
    </row>
    <row r="244" spans="1:23" x14ac:dyDescent="0.3">
      <c r="A244" s="2" t="s">
        <v>1749</v>
      </c>
      <c r="B244" s="2" t="s">
        <v>92</v>
      </c>
      <c r="C244" s="2" t="s">
        <v>1750</v>
      </c>
      <c r="D244" s="2" t="s">
        <v>1751</v>
      </c>
      <c r="E244" s="2" t="s">
        <v>1752</v>
      </c>
      <c r="F244" s="2" t="s">
        <v>1753</v>
      </c>
      <c r="G244" s="2" t="s">
        <v>207</v>
      </c>
      <c r="H244" s="2" t="s">
        <v>141</v>
      </c>
      <c r="I244" s="2" t="s">
        <v>31</v>
      </c>
      <c r="J244" s="2" t="s">
        <v>1754</v>
      </c>
      <c r="K244" s="2" t="s">
        <v>62</v>
      </c>
      <c r="L244" s="2">
        <v>2</v>
      </c>
      <c r="M244" s="3">
        <v>131.96</v>
      </c>
      <c r="N244" s="2" t="s">
        <v>34</v>
      </c>
      <c r="O244" s="3">
        <v>0</v>
      </c>
      <c r="P244" s="3">
        <v>0</v>
      </c>
      <c r="Q244" s="3">
        <v>9.24</v>
      </c>
      <c r="R244" s="3">
        <v>141.19999999999999</v>
      </c>
      <c r="S244" s="2" t="s">
        <v>123</v>
      </c>
      <c r="T244" s="2" t="s">
        <v>325</v>
      </c>
      <c r="U244" s="2" t="s">
        <v>100</v>
      </c>
      <c r="V244" s="2"/>
      <c r="W244" s="3">
        <v>0</v>
      </c>
    </row>
    <row r="245" spans="1:23" x14ac:dyDescent="0.3">
      <c r="A245" s="4" t="s">
        <v>1755</v>
      </c>
      <c r="B245" s="4" t="s">
        <v>1567</v>
      </c>
      <c r="C245" s="4" t="s">
        <v>1756</v>
      </c>
      <c r="D245" s="4" t="s">
        <v>1757</v>
      </c>
      <c r="E245" s="4" t="s">
        <v>1758</v>
      </c>
      <c r="F245" s="4" t="s">
        <v>1759</v>
      </c>
      <c r="G245" s="4" t="s">
        <v>242</v>
      </c>
      <c r="H245" s="4" t="s">
        <v>243</v>
      </c>
      <c r="I245" s="4" t="s">
        <v>31</v>
      </c>
      <c r="J245" s="4" t="s">
        <v>1760</v>
      </c>
      <c r="K245" s="4" t="s">
        <v>122</v>
      </c>
      <c r="L245" s="4">
        <v>2</v>
      </c>
      <c r="M245" s="5">
        <v>182.96</v>
      </c>
      <c r="N245" s="4" t="s">
        <v>152</v>
      </c>
      <c r="O245" s="5">
        <v>9.15</v>
      </c>
      <c r="P245" s="5">
        <v>0</v>
      </c>
      <c r="Q245" s="5">
        <v>15.64</v>
      </c>
      <c r="R245" s="5">
        <v>189.45</v>
      </c>
      <c r="S245" s="4" t="s">
        <v>35</v>
      </c>
      <c r="T245" s="4" t="s">
        <v>99</v>
      </c>
      <c r="U245" s="4" t="s">
        <v>66</v>
      </c>
      <c r="V245" s="4" t="s">
        <v>1761</v>
      </c>
      <c r="W245" s="5">
        <v>0</v>
      </c>
    </row>
    <row r="246" spans="1:23" x14ac:dyDescent="0.3">
      <c r="A246" s="2" t="s">
        <v>1762</v>
      </c>
      <c r="B246" s="2" t="s">
        <v>1057</v>
      </c>
      <c r="C246" s="2" t="s">
        <v>1763</v>
      </c>
      <c r="D246" s="2" t="s">
        <v>1764</v>
      </c>
      <c r="E246" s="2" t="s">
        <v>1765</v>
      </c>
      <c r="F246" s="2" t="s">
        <v>1766</v>
      </c>
      <c r="G246" s="2" t="s">
        <v>224</v>
      </c>
      <c r="H246" s="2" t="s">
        <v>225</v>
      </c>
      <c r="I246" s="2" t="s">
        <v>31</v>
      </c>
      <c r="J246" s="2" t="s">
        <v>1767</v>
      </c>
      <c r="K246" s="2" t="s">
        <v>209</v>
      </c>
      <c r="L246" s="2">
        <v>2</v>
      </c>
      <c r="M246" s="3">
        <v>129.97</v>
      </c>
      <c r="N246" s="2" t="s">
        <v>34</v>
      </c>
      <c r="O246" s="3">
        <v>0</v>
      </c>
      <c r="P246" s="3">
        <v>0</v>
      </c>
      <c r="Q246" s="3">
        <v>7.8</v>
      </c>
      <c r="R246" s="3">
        <v>137.77000000000001</v>
      </c>
      <c r="S246" s="2" t="s">
        <v>123</v>
      </c>
      <c r="T246" s="2" t="s">
        <v>99</v>
      </c>
      <c r="U246" s="2" t="s">
        <v>37</v>
      </c>
      <c r="V246" s="2" t="s">
        <v>1063</v>
      </c>
      <c r="W246" s="3">
        <v>137.77000000000001</v>
      </c>
    </row>
    <row r="247" spans="1:23" x14ac:dyDescent="0.3">
      <c r="A247" s="4" t="s">
        <v>1768</v>
      </c>
      <c r="B247" s="4" t="s">
        <v>1207</v>
      </c>
      <c r="C247" s="4" t="s">
        <v>1769</v>
      </c>
      <c r="D247" s="4" t="s">
        <v>814</v>
      </c>
      <c r="E247" s="4" t="s">
        <v>1770</v>
      </c>
      <c r="F247" s="4" t="s">
        <v>1771</v>
      </c>
      <c r="G247" s="4" t="s">
        <v>394</v>
      </c>
      <c r="H247" s="4" t="s">
        <v>395</v>
      </c>
      <c r="I247" s="4" t="s">
        <v>31</v>
      </c>
      <c r="J247" s="4" t="s">
        <v>1772</v>
      </c>
      <c r="K247" s="4" t="s">
        <v>48</v>
      </c>
      <c r="L247" s="4">
        <v>3</v>
      </c>
      <c r="M247" s="5">
        <v>202.95</v>
      </c>
      <c r="N247" s="4" t="s">
        <v>152</v>
      </c>
      <c r="O247" s="5">
        <v>10.15</v>
      </c>
      <c r="P247" s="5">
        <v>0</v>
      </c>
      <c r="Q247" s="5">
        <v>11.57</v>
      </c>
      <c r="R247" s="5">
        <v>204.37</v>
      </c>
      <c r="S247" s="4" t="s">
        <v>123</v>
      </c>
      <c r="T247" s="4" t="s">
        <v>99</v>
      </c>
      <c r="U247" s="4" t="s">
        <v>66</v>
      </c>
      <c r="V247" s="4" t="s">
        <v>194</v>
      </c>
      <c r="W247" s="5">
        <v>0</v>
      </c>
    </row>
    <row r="248" spans="1:23" x14ac:dyDescent="0.3">
      <c r="A248" s="2" t="s">
        <v>1773</v>
      </c>
      <c r="B248" s="2" t="s">
        <v>1774</v>
      </c>
      <c r="C248" s="2" t="s">
        <v>1775</v>
      </c>
      <c r="D248" s="2" t="s">
        <v>1776</v>
      </c>
      <c r="E248" s="2" t="s">
        <v>1777</v>
      </c>
      <c r="F248" s="2" t="s">
        <v>1778</v>
      </c>
      <c r="G248" s="2" t="s">
        <v>1183</v>
      </c>
      <c r="H248" s="2" t="s">
        <v>88</v>
      </c>
      <c r="I248" s="2" t="s">
        <v>31</v>
      </c>
      <c r="J248" s="2" t="s">
        <v>1779</v>
      </c>
      <c r="K248" s="2" t="s">
        <v>143</v>
      </c>
      <c r="L248" s="2">
        <v>2</v>
      </c>
      <c r="M248" s="3">
        <v>169.98</v>
      </c>
      <c r="N248" s="2" t="s">
        <v>78</v>
      </c>
      <c r="O248" s="3">
        <v>17</v>
      </c>
      <c r="P248" s="3">
        <v>0</v>
      </c>
      <c r="Q248" s="3">
        <v>13</v>
      </c>
      <c r="R248" s="3">
        <v>165.98</v>
      </c>
      <c r="S248" s="2" t="s">
        <v>123</v>
      </c>
      <c r="T248" s="2" t="s">
        <v>99</v>
      </c>
      <c r="U248" s="2" t="s">
        <v>66</v>
      </c>
      <c r="V248" s="2" t="s">
        <v>439</v>
      </c>
      <c r="W248" s="3">
        <v>0</v>
      </c>
    </row>
    <row r="249" spans="1:23" x14ac:dyDescent="0.3">
      <c r="A249" s="4" t="s">
        <v>1780</v>
      </c>
      <c r="B249" s="4" t="s">
        <v>1781</v>
      </c>
      <c r="C249" s="4" t="s">
        <v>1782</v>
      </c>
      <c r="D249" s="4" t="s">
        <v>1783</v>
      </c>
      <c r="E249" s="4" t="s">
        <v>1784</v>
      </c>
      <c r="F249" s="4" t="s">
        <v>1785</v>
      </c>
      <c r="G249" s="4" t="s">
        <v>282</v>
      </c>
      <c r="H249" s="4" t="s">
        <v>88</v>
      </c>
      <c r="I249" s="4" t="s">
        <v>31</v>
      </c>
      <c r="J249" s="4" t="s">
        <v>1786</v>
      </c>
      <c r="K249" s="4" t="s">
        <v>122</v>
      </c>
      <c r="L249" s="4">
        <v>2</v>
      </c>
      <c r="M249" s="5">
        <v>102.98</v>
      </c>
      <c r="N249" s="4" t="s">
        <v>78</v>
      </c>
      <c r="O249" s="5">
        <v>10.3</v>
      </c>
      <c r="P249" s="5">
        <v>0</v>
      </c>
      <c r="Q249" s="5">
        <v>8.34</v>
      </c>
      <c r="R249" s="5">
        <v>101.02</v>
      </c>
      <c r="S249" s="4" t="s">
        <v>35</v>
      </c>
      <c r="T249" s="4" t="s">
        <v>144</v>
      </c>
      <c r="U249" s="4" t="s">
        <v>66</v>
      </c>
      <c r="V249" s="4" t="s">
        <v>1787</v>
      </c>
      <c r="W249" s="5">
        <v>0</v>
      </c>
    </row>
    <row r="250" spans="1:23" x14ac:dyDescent="0.3">
      <c r="A250" s="2" t="s">
        <v>1788</v>
      </c>
      <c r="B250" s="2" t="s">
        <v>758</v>
      </c>
      <c r="C250" s="2" t="s">
        <v>1789</v>
      </c>
      <c r="D250" s="2" t="s">
        <v>1790</v>
      </c>
      <c r="E250" s="2" t="s">
        <v>1791</v>
      </c>
      <c r="F250" s="2" t="s">
        <v>1792</v>
      </c>
      <c r="G250" s="2" t="s">
        <v>1183</v>
      </c>
      <c r="H250" s="2" t="s">
        <v>88</v>
      </c>
      <c r="I250" s="2" t="s">
        <v>31</v>
      </c>
      <c r="J250" s="2" t="s">
        <v>1793</v>
      </c>
      <c r="K250" s="2" t="s">
        <v>110</v>
      </c>
      <c r="L250" s="2">
        <v>3</v>
      </c>
      <c r="M250" s="3">
        <v>214.94</v>
      </c>
      <c r="N250" s="2" t="s">
        <v>34</v>
      </c>
      <c r="O250" s="3">
        <v>0</v>
      </c>
      <c r="P250" s="3">
        <v>0</v>
      </c>
      <c r="Q250" s="3">
        <v>12.9</v>
      </c>
      <c r="R250" s="3">
        <v>227.84</v>
      </c>
      <c r="S250" s="2" t="s">
        <v>332</v>
      </c>
      <c r="T250" s="2" t="s">
        <v>173</v>
      </c>
      <c r="U250" s="2" t="s">
        <v>317</v>
      </c>
      <c r="V250" s="2"/>
      <c r="W250" s="3">
        <v>0</v>
      </c>
    </row>
    <row r="251" spans="1:23" x14ac:dyDescent="0.3">
      <c r="A251" s="4" t="s">
        <v>1794</v>
      </c>
      <c r="B251" s="4" t="s">
        <v>513</v>
      </c>
      <c r="C251" s="4" t="s">
        <v>1795</v>
      </c>
      <c r="D251" s="4" t="s">
        <v>1796</v>
      </c>
      <c r="E251" s="4" t="s">
        <v>1797</v>
      </c>
      <c r="F251" s="4" t="s">
        <v>1798</v>
      </c>
      <c r="G251" s="4" t="s">
        <v>180</v>
      </c>
      <c r="H251" s="4" t="s">
        <v>181</v>
      </c>
      <c r="I251" s="4" t="s">
        <v>31</v>
      </c>
      <c r="J251" s="4" t="s">
        <v>1799</v>
      </c>
      <c r="K251" s="4" t="s">
        <v>364</v>
      </c>
      <c r="L251" s="4">
        <v>4</v>
      </c>
      <c r="M251" s="5">
        <v>306.93</v>
      </c>
      <c r="N251" s="4" t="s">
        <v>34</v>
      </c>
      <c r="O251" s="5">
        <v>0</v>
      </c>
      <c r="P251" s="5">
        <v>0</v>
      </c>
      <c r="Q251" s="5">
        <v>30.69</v>
      </c>
      <c r="R251" s="5">
        <v>337.62</v>
      </c>
      <c r="S251" s="4" t="s">
        <v>123</v>
      </c>
      <c r="T251" s="4" t="s">
        <v>99</v>
      </c>
      <c r="U251" s="4" t="s">
        <v>37</v>
      </c>
      <c r="V251" s="4" t="s">
        <v>482</v>
      </c>
      <c r="W251" s="5">
        <v>337.62</v>
      </c>
    </row>
    <row r="252" spans="1:23" x14ac:dyDescent="0.3">
      <c r="A252" s="2" t="s">
        <v>1800</v>
      </c>
      <c r="B252" s="2" t="s">
        <v>1683</v>
      </c>
      <c r="C252" s="2" t="s">
        <v>1801</v>
      </c>
      <c r="D252" s="2" t="s">
        <v>1802</v>
      </c>
      <c r="E252" s="2" t="s">
        <v>1803</v>
      </c>
      <c r="F252" s="2" t="s">
        <v>1804</v>
      </c>
      <c r="G252" s="2" t="s">
        <v>59</v>
      </c>
      <c r="H252" s="2" t="s">
        <v>60</v>
      </c>
      <c r="I252" s="2" t="s">
        <v>31</v>
      </c>
      <c r="J252" s="2" t="s">
        <v>1141</v>
      </c>
      <c r="K252" s="2" t="s">
        <v>122</v>
      </c>
      <c r="L252" s="2">
        <v>1</v>
      </c>
      <c r="M252" s="3">
        <v>74.989999999999995</v>
      </c>
      <c r="N252" s="2" t="s">
        <v>78</v>
      </c>
      <c r="O252" s="3">
        <v>7.5</v>
      </c>
      <c r="P252" s="3">
        <v>9.99</v>
      </c>
      <c r="Q252" s="3">
        <v>5.4</v>
      </c>
      <c r="R252" s="3">
        <v>82.88</v>
      </c>
      <c r="S252" s="2" t="s">
        <v>64</v>
      </c>
      <c r="T252" s="2" t="s">
        <v>173</v>
      </c>
      <c r="U252" s="2" t="s">
        <v>66</v>
      </c>
      <c r="V252" s="2" t="s">
        <v>1805</v>
      </c>
      <c r="W252" s="3">
        <v>0</v>
      </c>
    </row>
    <row r="253" spans="1:23" x14ac:dyDescent="0.3">
      <c r="A253" s="4" t="s">
        <v>1806</v>
      </c>
      <c r="B253" s="4" t="s">
        <v>1653</v>
      </c>
      <c r="C253" s="4" t="s">
        <v>1807</v>
      </c>
      <c r="D253" s="4" t="s">
        <v>1808</v>
      </c>
      <c r="E253" s="4" t="s">
        <v>1809</v>
      </c>
      <c r="F253" s="4" t="s">
        <v>1810</v>
      </c>
      <c r="G253" s="4" t="s">
        <v>190</v>
      </c>
      <c r="H253" s="4" t="s">
        <v>161</v>
      </c>
      <c r="I253" s="4" t="s">
        <v>31</v>
      </c>
      <c r="J253" s="4" t="s">
        <v>444</v>
      </c>
      <c r="K253" s="4" t="s">
        <v>48</v>
      </c>
      <c r="L253" s="4">
        <v>1</v>
      </c>
      <c r="M253" s="5">
        <v>64.989999999999995</v>
      </c>
      <c r="N253" s="4" t="s">
        <v>152</v>
      </c>
      <c r="O253" s="5">
        <v>3.25</v>
      </c>
      <c r="P253" s="5">
        <v>5.99</v>
      </c>
      <c r="Q253" s="5">
        <v>5.25</v>
      </c>
      <c r="R253" s="5">
        <v>72.98</v>
      </c>
      <c r="S253" s="4" t="s">
        <v>79</v>
      </c>
      <c r="T253" s="4" t="s">
        <v>36</v>
      </c>
      <c r="U253" s="4" t="s">
        <v>66</v>
      </c>
      <c r="V253" s="4" t="s">
        <v>891</v>
      </c>
      <c r="W253" s="5">
        <v>0</v>
      </c>
    </row>
    <row r="254" spans="1:23" x14ac:dyDescent="0.3">
      <c r="A254" s="2" t="s">
        <v>1811</v>
      </c>
      <c r="B254" s="2" t="s">
        <v>1490</v>
      </c>
      <c r="C254" s="2" t="s">
        <v>1812</v>
      </c>
      <c r="D254" s="2" t="s">
        <v>1813</v>
      </c>
      <c r="E254" s="2" t="s">
        <v>1814</v>
      </c>
      <c r="F254" s="2" t="s">
        <v>1815</v>
      </c>
      <c r="G254" s="2" t="s">
        <v>640</v>
      </c>
      <c r="H254" s="2" t="s">
        <v>161</v>
      </c>
      <c r="I254" s="2" t="s">
        <v>31</v>
      </c>
      <c r="J254" s="2" t="s">
        <v>1816</v>
      </c>
      <c r="K254" s="2" t="s">
        <v>122</v>
      </c>
      <c r="L254" s="2">
        <v>3</v>
      </c>
      <c r="M254" s="3">
        <v>304.95999999999998</v>
      </c>
      <c r="N254" s="2" t="s">
        <v>49</v>
      </c>
      <c r="O254" s="3">
        <v>45.74</v>
      </c>
      <c r="P254" s="3">
        <v>0</v>
      </c>
      <c r="Q254" s="3">
        <v>23.33</v>
      </c>
      <c r="R254" s="3">
        <v>282.55</v>
      </c>
      <c r="S254" s="2" t="s">
        <v>123</v>
      </c>
      <c r="T254" s="2" t="s">
        <v>99</v>
      </c>
      <c r="U254" s="2" t="s">
        <v>51</v>
      </c>
      <c r="V254" s="2" t="s">
        <v>1623</v>
      </c>
      <c r="W254" s="3">
        <v>0</v>
      </c>
    </row>
    <row r="255" spans="1:23" x14ac:dyDescent="0.3">
      <c r="A255" s="4" t="s">
        <v>1817</v>
      </c>
      <c r="B255" s="4" t="s">
        <v>294</v>
      </c>
      <c r="C255" s="4" t="s">
        <v>1818</v>
      </c>
      <c r="D255" s="4" t="s">
        <v>1819</v>
      </c>
      <c r="E255" s="4" t="s">
        <v>1820</v>
      </c>
      <c r="F255" s="4" t="s">
        <v>1821</v>
      </c>
      <c r="G255" s="4" t="s">
        <v>87</v>
      </c>
      <c r="H255" s="4" t="s">
        <v>88</v>
      </c>
      <c r="I255" s="4" t="s">
        <v>31</v>
      </c>
      <c r="J255" s="4" t="s">
        <v>1822</v>
      </c>
      <c r="K255" s="4" t="s">
        <v>33</v>
      </c>
      <c r="L255" s="4">
        <v>5</v>
      </c>
      <c r="M255" s="5">
        <v>239.94</v>
      </c>
      <c r="N255" s="4" t="s">
        <v>78</v>
      </c>
      <c r="O255" s="5">
        <v>23.99</v>
      </c>
      <c r="P255" s="5">
        <v>0</v>
      </c>
      <c r="Q255" s="5">
        <v>12.96</v>
      </c>
      <c r="R255" s="5">
        <v>228.91</v>
      </c>
      <c r="S255" s="4" t="s">
        <v>123</v>
      </c>
      <c r="T255" s="4" t="s">
        <v>144</v>
      </c>
      <c r="U255" s="4" t="s">
        <v>51</v>
      </c>
      <c r="V255" s="4" t="s">
        <v>1823</v>
      </c>
      <c r="W255" s="5">
        <v>0</v>
      </c>
    </row>
    <row r="256" spans="1:23" x14ac:dyDescent="0.3">
      <c r="A256" s="2" t="s">
        <v>1824</v>
      </c>
      <c r="B256" s="2" t="s">
        <v>1142</v>
      </c>
      <c r="C256" s="2" t="s">
        <v>1825</v>
      </c>
      <c r="D256" s="2" t="s">
        <v>840</v>
      </c>
      <c r="E256" s="2" t="s">
        <v>1826</v>
      </c>
      <c r="F256" s="2" t="s">
        <v>1827</v>
      </c>
      <c r="G256" s="2" t="s">
        <v>1183</v>
      </c>
      <c r="H256" s="2" t="s">
        <v>88</v>
      </c>
      <c r="I256" s="2" t="s">
        <v>31</v>
      </c>
      <c r="J256" s="2" t="s">
        <v>1828</v>
      </c>
      <c r="K256" s="2" t="s">
        <v>62</v>
      </c>
      <c r="L256" s="2">
        <v>2</v>
      </c>
      <c r="M256" s="3">
        <v>94.98</v>
      </c>
      <c r="N256" s="2" t="s">
        <v>34</v>
      </c>
      <c r="O256" s="3">
        <v>0</v>
      </c>
      <c r="P256" s="3">
        <v>0</v>
      </c>
      <c r="Q256" s="3">
        <v>7.6</v>
      </c>
      <c r="R256" s="3">
        <v>102.58</v>
      </c>
      <c r="S256" s="2" t="s">
        <v>35</v>
      </c>
      <c r="T256" s="2" t="s">
        <v>99</v>
      </c>
      <c r="U256" s="2" t="s">
        <v>66</v>
      </c>
      <c r="V256" s="2" t="s">
        <v>930</v>
      </c>
      <c r="W256" s="3">
        <v>0</v>
      </c>
    </row>
    <row r="257" spans="1:23" x14ac:dyDescent="0.3">
      <c r="A257" s="4" t="s">
        <v>1829</v>
      </c>
      <c r="B257" s="4" t="s">
        <v>1830</v>
      </c>
      <c r="C257" s="4" t="s">
        <v>1831</v>
      </c>
      <c r="D257" s="4" t="s">
        <v>1832</v>
      </c>
      <c r="E257" s="4" t="s">
        <v>1833</v>
      </c>
      <c r="F257" s="4" t="s">
        <v>1834</v>
      </c>
      <c r="G257" s="4" t="s">
        <v>282</v>
      </c>
      <c r="H257" s="4" t="s">
        <v>88</v>
      </c>
      <c r="I257" s="4" t="s">
        <v>31</v>
      </c>
      <c r="J257" s="4" t="s">
        <v>1835</v>
      </c>
      <c r="K257" s="4" t="s">
        <v>143</v>
      </c>
      <c r="L257" s="4">
        <v>3</v>
      </c>
      <c r="M257" s="5">
        <v>159.97</v>
      </c>
      <c r="N257" s="4" t="s">
        <v>152</v>
      </c>
      <c r="O257" s="5">
        <v>8</v>
      </c>
      <c r="P257" s="5">
        <v>0</v>
      </c>
      <c r="Q257" s="5">
        <v>12.16</v>
      </c>
      <c r="R257" s="5">
        <v>164.13</v>
      </c>
      <c r="S257" s="4" t="s">
        <v>123</v>
      </c>
      <c r="T257" s="4" t="s">
        <v>325</v>
      </c>
      <c r="U257" s="4" t="s">
        <v>37</v>
      </c>
      <c r="V257" s="4" t="s">
        <v>932</v>
      </c>
      <c r="W257" s="5">
        <v>164.13</v>
      </c>
    </row>
    <row r="258" spans="1:23" x14ac:dyDescent="0.3">
      <c r="A258" s="2" t="s">
        <v>1836</v>
      </c>
      <c r="B258" s="2" t="s">
        <v>185</v>
      </c>
      <c r="C258" s="2" t="s">
        <v>1837</v>
      </c>
      <c r="D258" s="2" t="s">
        <v>1838</v>
      </c>
      <c r="E258" s="2" t="s">
        <v>1839</v>
      </c>
      <c r="F258" s="2" t="s">
        <v>1840</v>
      </c>
      <c r="G258" s="2" t="s">
        <v>242</v>
      </c>
      <c r="H258" s="2" t="s">
        <v>243</v>
      </c>
      <c r="I258" s="2" t="s">
        <v>31</v>
      </c>
      <c r="J258" s="2" t="s">
        <v>1269</v>
      </c>
      <c r="K258" s="2" t="s">
        <v>77</v>
      </c>
      <c r="L258" s="2">
        <v>1</v>
      </c>
      <c r="M258" s="3">
        <v>27.99</v>
      </c>
      <c r="N258" s="2" t="s">
        <v>34</v>
      </c>
      <c r="O258" s="3">
        <v>0</v>
      </c>
      <c r="P258" s="3">
        <v>9.99</v>
      </c>
      <c r="Q258" s="3">
        <v>1.68</v>
      </c>
      <c r="R258" s="3">
        <v>39.659999999999997</v>
      </c>
      <c r="S258" s="2" t="s">
        <v>64</v>
      </c>
      <c r="T258" s="2" t="s">
        <v>173</v>
      </c>
      <c r="U258" s="2" t="s">
        <v>66</v>
      </c>
      <c r="V258" s="2" t="s">
        <v>1732</v>
      </c>
      <c r="W258" s="3">
        <v>0</v>
      </c>
    </row>
    <row r="259" spans="1:23" x14ac:dyDescent="0.3">
      <c r="A259" s="4" t="s">
        <v>1841</v>
      </c>
      <c r="B259" s="4" t="s">
        <v>135</v>
      </c>
      <c r="C259" s="4" t="s">
        <v>1842</v>
      </c>
      <c r="D259" s="4" t="s">
        <v>1843</v>
      </c>
      <c r="E259" s="4" t="s">
        <v>1844</v>
      </c>
      <c r="F259" s="4" t="s">
        <v>1845</v>
      </c>
      <c r="G259" s="4" t="s">
        <v>131</v>
      </c>
      <c r="H259" s="4" t="s">
        <v>88</v>
      </c>
      <c r="I259" s="4" t="s">
        <v>31</v>
      </c>
      <c r="J259" s="4" t="s">
        <v>371</v>
      </c>
      <c r="K259" s="4" t="s">
        <v>122</v>
      </c>
      <c r="L259" s="4">
        <v>1</v>
      </c>
      <c r="M259" s="5">
        <v>109.99</v>
      </c>
      <c r="N259" s="4" t="s">
        <v>152</v>
      </c>
      <c r="O259" s="5">
        <v>5.5</v>
      </c>
      <c r="P259" s="5">
        <v>0</v>
      </c>
      <c r="Q259" s="5">
        <v>8.36</v>
      </c>
      <c r="R259" s="5">
        <v>112.85</v>
      </c>
      <c r="S259" s="4" t="s">
        <v>123</v>
      </c>
      <c r="T259" s="4" t="s">
        <v>173</v>
      </c>
      <c r="U259" s="4" t="s">
        <v>66</v>
      </c>
      <c r="V259" s="4" t="s">
        <v>1846</v>
      </c>
      <c r="W259" s="5">
        <v>0</v>
      </c>
    </row>
    <row r="260" spans="1:23" x14ac:dyDescent="0.3">
      <c r="A260" s="2" t="s">
        <v>1847</v>
      </c>
      <c r="B260" s="2" t="s">
        <v>1848</v>
      </c>
      <c r="C260" s="2" t="s">
        <v>1849</v>
      </c>
      <c r="D260" s="2" t="s">
        <v>1721</v>
      </c>
      <c r="E260" s="2" t="s">
        <v>1850</v>
      </c>
      <c r="F260" s="2" t="s">
        <v>1851</v>
      </c>
      <c r="G260" s="2" t="s">
        <v>87</v>
      </c>
      <c r="H260" s="2" t="s">
        <v>88</v>
      </c>
      <c r="I260" s="2" t="s">
        <v>31</v>
      </c>
      <c r="J260" s="2" t="s">
        <v>1852</v>
      </c>
      <c r="K260" s="2" t="s">
        <v>33</v>
      </c>
      <c r="L260" s="2">
        <v>5</v>
      </c>
      <c r="M260" s="3">
        <v>250.95</v>
      </c>
      <c r="N260" s="2" t="s">
        <v>34</v>
      </c>
      <c r="O260" s="3">
        <v>0</v>
      </c>
      <c r="P260" s="3">
        <v>0</v>
      </c>
      <c r="Q260" s="3">
        <v>21.33</v>
      </c>
      <c r="R260" s="3">
        <v>272.27999999999997</v>
      </c>
      <c r="S260" s="2" t="s">
        <v>332</v>
      </c>
      <c r="T260" s="2" t="s">
        <v>99</v>
      </c>
      <c r="U260" s="2" t="s">
        <v>100</v>
      </c>
      <c r="V260" s="2"/>
      <c r="W260" s="3">
        <v>0</v>
      </c>
    </row>
    <row r="261" spans="1:23" x14ac:dyDescent="0.3">
      <c r="A261" s="4" t="s">
        <v>1853</v>
      </c>
      <c r="B261" s="4" t="s">
        <v>92</v>
      </c>
      <c r="C261" s="4" t="s">
        <v>1854</v>
      </c>
      <c r="D261" s="4" t="s">
        <v>1855</v>
      </c>
      <c r="E261" s="4" t="s">
        <v>1856</v>
      </c>
      <c r="F261" s="4" t="s">
        <v>1857</v>
      </c>
      <c r="G261" s="4" t="s">
        <v>242</v>
      </c>
      <c r="H261" s="4" t="s">
        <v>243</v>
      </c>
      <c r="I261" s="4" t="s">
        <v>31</v>
      </c>
      <c r="J261" s="4" t="s">
        <v>1858</v>
      </c>
      <c r="K261" s="4" t="s">
        <v>209</v>
      </c>
      <c r="L261" s="4">
        <v>3</v>
      </c>
      <c r="M261" s="5">
        <v>174.96</v>
      </c>
      <c r="N261" s="4" t="s">
        <v>163</v>
      </c>
      <c r="O261" s="5">
        <v>34.99</v>
      </c>
      <c r="P261" s="5">
        <v>0</v>
      </c>
      <c r="Q261" s="5">
        <v>14</v>
      </c>
      <c r="R261" s="5">
        <v>153.97</v>
      </c>
      <c r="S261" s="4" t="s">
        <v>35</v>
      </c>
      <c r="T261" s="4" t="s">
        <v>144</v>
      </c>
      <c r="U261" s="4" t="s">
        <v>66</v>
      </c>
      <c r="V261" s="4" t="s">
        <v>1086</v>
      </c>
      <c r="W261" s="5">
        <v>0</v>
      </c>
    </row>
    <row r="262" spans="1:23" x14ac:dyDescent="0.3">
      <c r="A262" s="2" t="s">
        <v>1859</v>
      </c>
      <c r="B262" s="2" t="s">
        <v>1860</v>
      </c>
      <c r="C262" s="2" t="s">
        <v>1861</v>
      </c>
      <c r="D262" s="2" t="s">
        <v>731</v>
      </c>
      <c r="E262" s="2" t="s">
        <v>1862</v>
      </c>
      <c r="F262" s="2" t="s">
        <v>1863</v>
      </c>
      <c r="G262" s="2" t="s">
        <v>119</v>
      </c>
      <c r="H262" s="2" t="s">
        <v>120</v>
      </c>
      <c r="I262" s="2" t="s">
        <v>31</v>
      </c>
      <c r="J262" s="2" t="s">
        <v>1864</v>
      </c>
      <c r="K262" s="2" t="s">
        <v>122</v>
      </c>
      <c r="L262" s="2">
        <v>5</v>
      </c>
      <c r="M262" s="3">
        <v>487.92</v>
      </c>
      <c r="N262" s="2" t="s">
        <v>163</v>
      </c>
      <c r="O262" s="3">
        <v>97.58</v>
      </c>
      <c r="P262" s="3">
        <v>0</v>
      </c>
      <c r="Q262" s="3">
        <v>23.42</v>
      </c>
      <c r="R262" s="3">
        <v>413.76</v>
      </c>
      <c r="S262" s="2" t="s">
        <v>123</v>
      </c>
      <c r="T262" s="2" t="s">
        <v>99</v>
      </c>
      <c r="U262" s="2" t="s">
        <v>66</v>
      </c>
      <c r="V262" s="2" t="s">
        <v>1865</v>
      </c>
      <c r="W262" s="3">
        <v>0</v>
      </c>
    </row>
    <row r="263" spans="1:23" x14ac:dyDescent="0.3">
      <c r="A263" s="4" t="s">
        <v>1866</v>
      </c>
      <c r="B263" s="4" t="s">
        <v>1867</v>
      </c>
      <c r="C263" s="4" t="s">
        <v>1868</v>
      </c>
      <c r="D263" s="4" t="s">
        <v>1869</v>
      </c>
      <c r="E263" s="4" t="s">
        <v>1870</v>
      </c>
      <c r="F263" s="4" t="s">
        <v>1871</v>
      </c>
      <c r="G263" s="4" t="s">
        <v>676</v>
      </c>
      <c r="H263" s="4" t="s">
        <v>677</v>
      </c>
      <c r="I263" s="4" t="s">
        <v>31</v>
      </c>
      <c r="J263" s="4" t="s">
        <v>191</v>
      </c>
      <c r="K263" s="4" t="s">
        <v>77</v>
      </c>
      <c r="L263" s="4">
        <v>1</v>
      </c>
      <c r="M263" s="5">
        <v>24.99</v>
      </c>
      <c r="N263" s="4" t="s">
        <v>78</v>
      </c>
      <c r="O263" s="5">
        <v>2.5</v>
      </c>
      <c r="P263" s="5">
        <v>7.99</v>
      </c>
      <c r="Q263" s="5">
        <v>2.02</v>
      </c>
      <c r="R263" s="5">
        <v>32.5</v>
      </c>
      <c r="S263" s="4" t="s">
        <v>64</v>
      </c>
      <c r="T263" s="4" t="s">
        <v>99</v>
      </c>
      <c r="U263" s="4" t="s">
        <v>100</v>
      </c>
      <c r="V263" s="4"/>
      <c r="W263" s="5">
        <v>0</v>
      </c>
    </row>
    <row r="264" spans="1:23" x14ac:dyDescent="0.3">
      <c r="A264" s="2" t="s">
        <v>1872</v>
      </c>
      <c r="B264" s="2" t="s">
        <v>1873</v>
      </c>
      <c r="C264" s="2" t="s">
        <v>1874</v>
      </c>
      <c r="D264" s="2" t="s">
        <v>1875</v>
      </c>
      <c r="E264" s="2" t="s">
        <v>1876</v>
      </c>
      <c r="F264" s="2" t="s">
        <v>1877</v>
      </c>
      <c r="G264" s="2" t="s">
        <v>45</v>
      </c>
      <c r="H264" s="2" t="s">
        <v>46</v>
      </c>
      <c r="I264" s="2" t="s">
        <v>31</v>
      </c>
      <c r="J264" s="2" t="s">
        <v>387</v>
      </c>
      <c r="K264" s="2" t="s">
        <v>33</v>
      </c>
      <c r="L264" s="2">
        <v>1</v>
      </c>
      <c r="M264" s="3">
        <v>35.99</v>
      </c>
      <c r="N264" s="2" t="s">
        <v>78</v>
      </c>
      <c r="O264" s="3">
        <v>3.6</v>
      </c>
      <c r="P264" s="3">
        <v>4.99</v>
      </c>
      <c r="Q264" s="3">
        <v>2.27</v>
      </c>
      <c r="R264" s="3">
        <v>39.65</v>
      </c>
      <c r="S264" s="2" t="s">
        <v>35</v>
      </c>
      <c r="T264" s="2" t="s">
        <v>99</v>
      </c>
      <c r="U264" s="2" t="s">
        <v>66</v>
      </c>
      <c r="V264" s="2" t="s">
        <v>406</v>
      </c>
      <c r="W264" s="3">
        <v>0</v>
      </c>
    </row>
    <row r="265" spans="1:23" x14ac:dyDescent="0.3">
      <c r="A265" s="4" t="s">
        <v>1878</v>
      </c>
      <c r="B265" s="4" t="s">
        <v>649</v>
      </c>
      <c r="C265" s="4" t="s">
        <v>1879</v>
      </c>
      <c r="D265" s="4" t="s">
        <v>1880</v>
      </c>
      <c r="E265" s="4" t="s">
        <v>1881</v>
      </c>
      <c r="F265" s="4" t="s">
        <v>1882</v>
      </c>
      <c r="G265" s="4" t="s">
        <v>347</v>
      </c>
      <c r="H265" s="4" t="s">
        <v>60</v>
      </c>
      <c r="I265" s="4" t="s">
        <v>31</v>
      </c>
      <c r="J265" s="4" t="s">
        <v>1883</v>
      </c>
      <c r="K265" s="4" t="s">
        <v>110</v>
      </c>
      <c r="L265" s="4">
        <v>1</v>
      </c>
      <c r="M265" s="5">
        <v>98.97</v>
      </c>
      <c r="N265" s="4" t="s">
        <v>49</v>
      </c>
      <c r="O265" s="5">
        <v>14.85</v>
      </c>
      <c r="P265" s="5">
        <v>0</v>
      </c>
      <c r="Q265" s="5">
        <v>6.73</v>
      </c>
      <c r="R265" s="5">
        <v>90.85</v>
      </c>
      <c r="S265" s="4" t="s">
        <v>35</v>
      </c>
      <c r="T265" s="4" t="s">
        <v>144</v>
      </c>
      <c r="U265" s="4" t="s">
        <v>100</v>
      </c>
      <c r="V265" s="4"/>
      <c r="W265" s="5">
        <v>0</v>
      </c>
    </row>
    <row r="266" spans="1:23" x14ac:dyDescent="0.3">
      <c r="A266" s="2" t="s">
        <v>1884</v>
      </c>
      <c r="B266" s="2" t="s">
        <v>453</v>
      </c>
      <c r="C266" s="2" t="s">
        <v>1885</v>
      </c>
      <c r="D266" s="2" t="s">
        <v>1886</v>
      </c>
      <c r="E266" s="2" t="s">
        <v>1887</v>
      </c>
      <c r="F266" s="2" t="s">
        <v>1888</v>
      </c>
      <c r="G266" s="2" t="s">
        <v>251</v>
      </c>
      <c r="H266" s="2" t="s">
        <v>252</v>
      </c>
      <c r="I266" s="2" t="s">
        <v>31</v>
      </c>
      <c r="J266" s="2" t="s">
        <v>1889</v>
      </c>
      <c r="K266" s="2" t="s">
        <v>679</v>
      </c>
      <c r="L266" s="2">
        <v>3</v>
      </c>
      <c r="M266" s="3">
        <v>154.94999999999999</v>
      </c>
      <c r="N266" s="2" t="s">
        <v>63</v>
      </c>
      <c r="O266" s="3">
        <v>38.74</v>
      </c>
      <c r="P266" s="3">
        <v>0</v>
      </c>
      <c r="Q266" s="3">
        <v>8.1300000000000008</v>
      </c>
      <c r="R266" s="3">
        <v>124.34</v>
      </c>
      <c r="S266" s="2" t="s">
        <v>64</v>
      </c>
      <c r="T266" s="2" t="s">
        <v>173</v>
      </c>
      <c r="U266" s="2" t="s">
        <v>317</v>
      </c>
      <c r="V266" s="2"/>
      <c r="W266" s="3">
        <v>0</v>
      </c>
    </row>
    <row r="267" spans="1:23" x14ac:dyDescent="0.3">
      <c r="A267" s="4" t="s">
        <v>1890</v>
      </c>
      <c r="B267" s="4" t="s">
        <v>633</v>
      </c>
      <c r="C267" s="4" t="s">
        <v>1891</v>
      </c>
      <c r="D267" s="4" t="s">
        <v>1892</v>
      </c>
      <c r="E267" s="4" t="s">
        <v>1893</v>
      </c>
      <c r="F267" s="4" t="s">
        <v>1894</v>
      </c>
      <c r="G267" s="4" t="s">
        <v>323</v>
      </c>
      <c r="H267" s="4" t="s">
        <v>324</v>
      </c>
      <c r="I267" s="4" t="s">
        <v>31</v>
      </c>
      <c r="J267" s="4" t="s">
        <v>1269</v>
      </c>
      <c r="K267" s="4" t="s">
        <v>77</v>
      </c>
      <c r="L267" s="4">
        <v>1</v>
      </c>
      <c r="M267" s="5">
        <v>27.99</v>
      </c>
      <c r="N267" s="4" t="s">
        <v>34</v>
      </c>
      <c r="O267" s="5">
        <v>0</v>
      </c>
      <c r="P267" s="5">
        <v>7.99</v>
      </c>
      <c r="Q267" s="5">
        <v>1.68</v>
      </c>
      <c r="R267" s="5">
        <v>37.659999999999997</v>
      </c>
      <c r="S267" s="4" t="s">
        <v>35</v>
      </c>
      <c r="T267" s="4" t="s">
        <v>183</v>
      </c>
      <c r="U267" s="4" t="s">
        <v>66</v>
      </c>
      <c r="V267" s="4" t="s">
        <v>1043</v>
      </c>
      <c r="W267" s="5">
        <v>0</v>
      </c>
    </row>
    <row r="268" spans="1:23" x14ac:dyDescent="0.3">
      <c r="A268" s="2" t="s">
        <v>1895</v>
      </c>
      <c r="B268" s="2" t="s">
        <v>1417</v>
      </c>
      <c r="C268" s="2" t="s">
        <v>1896</v>
      </c>
      <c r="D268" s="2" t="s">
        <v>1897</v>
      </c>
      <c r="E268" s="2" t="s">
        <v>1898</v>
      </c>
      <c r="F268" s="2" t="s">
        <v>1899</v>
      </c>
      <c r="G268" s="2" t="s">
        <v>347</v>
      </c>
      <c r="H268" s="2" t="s">
        <v>60</v>
      </c>
      <c r="I268" s="2" t="s">
        <v>31</v>
      </c>
      <c r="J268" s="2" t="s">
        <v>1232</v>
      </c>
      <c r="K268" s="2" t="s">
        <v>77</v>
      </c>
      <c r="L268" s="2">
        <v>1</v>
      </c>
      <c r="M268" s="3">
        <v>34.99</v>
      </c>
      <c r="N268" s="2" t="s">
        <v>34</v>
      </c>
      <c r="O268" s="3">
        <v>0</v>
      </c>
      <c r="P268" s="3">
        <v>7.99</v>
      </c>
      <c r="Q268" s="3">
        <v>2.4500000000000002</v>
      </c>
      <c r="R268" s="3">
        <v>45.43</v>
      </c>
      <c r="S268" s="2" t="s">
        <v>123</v>
      </c>
      <c r="T268" s="2" t="s">
        <v>36</v>
      </c>
      <c r="U268" s="2" t="s">
        <v>317</v>
      </c>
      <c r="V268" s="2"/>
      <c r="W268" s="3">
        <v>0</v>
      </c>
    </row>
    <row r="269" spans="1:23" x14ac:dyDescent="0.3">
      <c r="A269" s="4" t="s">
        <v>1900</v>
      </c>
      <c r="B269" s="4" t="s">
        <v>1575</v>
      </c>
      <c r="C269" s="4" t="s">
        <v>1901</v>
      </c>
      <c r="D269" s="4" t="s">
        <v>1902</v>
      </c>
      <c r="E269" s="4" t="s">
        <v>1903</v>
      </c>
      <c r="F269" s="4" t="s">
        <v>1904</v>
      </c>
      <c r="G269" s="4" t="s">
        <v>87</v>
      </c>
      <c r="H269" s="4" t="s">
        <v>88</v>
      </c>
      <c r="I269" s="4" t="s">
        <v>31</v>
      </c>
      <c r="J269" s="4" t="s">
        <v>1905</v>
      </c>
      <c r="K269" s="4" t="s">
        <v>48</v>
      </c>
      <c r="L269" s="4">
        <v>2</v>
      </c>
      <c r="M269" s="5">
        <v>67.98</v>
      </c>
      <c r="N269" s="4" t="s">
        <v>78</v>
      </c>
      <c r="O269" s="5">
        <v>6.8</v>
      </c>
      <c r="P269" s="5">
        <v>7.99</v>
      </c>
      <c r="Q269" s="5">
        <v>6.12</v>
      </c>
      <c r="R269" s="5">
        <v>75.290000000000006</v>
      </c>
      <c r="S269" s="4" t="s">
        <v>332</v>
      </c>
      <c r="T269" s="4" t="s">
        <v>183</v>
      </c>
      <c r="U269" s="4" t="s">
        <v>317</v>
      </c>
      <c r="V269" s="4"/>
      <c r="W269" s="5">
        <v>0</v>
      </c>
    </row>
    <row r="270" spans="1:23" x14ac:dyDescent="0.3">
      <c r="A270" s="2" t="s">
        <v>1906</v>
      </c>
      <c r="B270" s="2" t="s">
        <v>303</v>
      </c>
      <c r="C270" s="2" t="s">
        <v>1907</v>
      </c>
      <c r="D270" s="2" t="s">
        <v>1908</v>
      </c>
      <c r="E270" s="2" t="s">
        <v>1909</v>
      </c>
      <c r="F270" s="2" t="s">
        <v>1910</v>
      </c>
      <c r="G270" s="2" t="s">
        <v>190</v>
      </c>
      <c r="H270" s="2" t="s">
        <v>161</v>
      </c>
      <c r="I270" s="2" t="s">
        <v>31</v>
      </c>
      <c r="J270" s="2" t="s">
        <v>1911</v>
      </c>
      <c r="K270" s="2" t="s">
        <v>143</v>
      </c>
      <c r="L270" s="2">
        <v>2</v>
      </c>
      <c r="M270" s="3">
        <v>199.98</v>
      </c>
      <c r="N270" s="2" t="s">
        <v>63</v>
      </c>
      <c r="O270" s="3">
        <v>50</v>
      </c>
      <c r="P270" s="3">
        <v>0</v>
      </c>
      <c r="Q270" s="3">
        <v>9</v>
      </c>
      <c r="R270" s="3">
        <v>158.97999999999999</v>
      </c>
      <c r="S270" s="2" t="s">
        <v>35</v>
      </c>
      <c r="T270" s="2" t="s">
        <v>99</v>
      </c>
      <c r="U270" s="2" t="s">
        <v>66</v>
      </c>
      <c r="V270" s="2" t="s">
        <v>1471</v>
      </c>
      <c r="W270" s="3">
        <v>0</v>
      </c>
    </row>
    <row r="271" spans="1:23" x14ac:dyDescent="0.3">
      <c r="A271" s="4" t="s">
        <v>1912</v>
      </c>
      <c r="B271" s="4" t="s">
        <v>716</v>
      </c>
      <c r="C271" s="4" t="s">
        <v>1913</v>
      </c>
      <c r="D271" s="4" t="s">
        <v>1914</v>
      </c>
      <c r="E271" s="4" t="s">
        <v>1915</v>
      </c>
      <c r="F271" s="4" t="s">
        <v>1916</v>
      </c>
      <c r="G271" s="4" t="s">
        <v>140</v>
      </c>
      <c r="H271" s="4" t="s">
        <v>141</v>
      </c>
      <c r="I271" s="4" t="s">
        <v>31</v>
      </c>
      <c r="J271" s="4" t="s">
        <v>1917</v>
      </c>
      <c r="K271" s="4" t="s">
        <v>48</v>
      </c>
      <c r="L271" s="4">
        <v>1</v>
      </c>
      <c r="M271" s="5">
        <v>85.98</v>
      </c>
      <c r="N271" s="4" t="s">
        <v>78</v>
      </c>
      <c r="O271" s="5">
        <v>8.6</v>
      </c>
      <c r="P271" s="5">
        <v>0</v>
      </c>
      <c r="Q271" s="5">
        <v>6.58</v>
      </c>
      <c r="R271" s="5">
        <v>83.96</v>
      </c>
      <c r="S271" s="4" t="s">
        <v>64</v>
      </c>
      <c r="T271" s="4" t="s">
        <v>99</v>
      </c>
      <c r="U271" s="4" t="s">
        <v>66</v>
      </c>
      <c r="V271" s="4" t="s">
        <v>227</v>
      </c>
      <c r="W271" s="5">
        <v>0</v>
      </c>
    </row>
    <row r="272" spans="1:23" x14ac:dyDescent="0.3">
      <c r="A272" s="2" t="s">
        <v>1918</v>
      </c>
      <c r="B272" s="2" t="s">
        <v>1919</v>
      </c>
      <c r="C272" s="2" t="s">
        <v>1920</v>
      </c>
      <c r="D272" s="2" t="s">
        <v>1921</v>
      </c>
      <c r="E272" s="2" t="s">
        <v>1922</v>
      </c>
      <c r="F272" s="2" t="s">
        <v>1923</v>
      </c>
      <c r="G272" s="2" t="s">
        <v>323</v>
      </c>
      <c r="H272" s="2" t="s">
        <v>324</v>
      </c>
      <c r="I272" s="2" t="s">
        <v>31</v>
      </c>
      <c r="J272" s="2" t="s">
        <v>1320</v>
      </c>
      <c r="K272" s="2" t="s">
        <v>364</v>
      </c>
      <c r="L272" s="2">
        <v>1</v>
      </c>
      <c r="M272" s="3">
        <v>89.98</v>
      </c>
      <c r="N272" s="2" t="s">
        <v>34</v>
      </c>
      <c r="O272" s="3">
        <v>0</v>
      </c>
      <c r="P272" s="3">
        <v>0</v>
      </c>
      <c r="Q272" s="3">
        <v>9</v>
      </c>
      <c r="R272" s="3">
        <v>98.98</v>
      </c>
      <c r="S272" s="2" t="s">
        <v>35</v>
      </c>
      <c r="T272" s="2" t="s">
        <v>183</v>
      </c>
      <c r="U272" s="2" t="s">
        <v>100</v>
      </c>
      <c r="V272" s="2"/>
      <c r="W272" s="3">
        <v>0</v>
      </c>
    </row>
    <row r="273" spans="1:23" x14ac:dyDescent="0.3">
      <c r="A273" s="4" t="s">
        <v>1924</v>
      </c>
      <c r="B273" s="4" t="s">
        <v>1573</v>
      </c>
      <c r="C273" s="4" t="s">
        <v>1925</v>
      </c>
      <c r="D273" s="4" t="s">
        <v>1926</v>
      </c>
      <c r="E273" s="4" t="s">
        <v>1927</v>
      </c>
      <c r="F273" s="4" t="s">
        <v>1928</v>
      </c>
      <c r="G273" s="4" t="s">
        <v>29</v>
      </c>
      <c r="H273" s="4" t="s">
        <v>30</v>
      </c>
      <c r="I273" s="4" t="s">
        <v>31</v>
      </c>
      <c r="J273" s="4" t="s">
        <v>1929</v>
      </c>
      <c r="K273" s="4" t="s">
        <v>143</v>
      </c>
      <c r="L273" s="4">
        <v>5</v>
      </c>
      <c r="M273" s="5">
        <v>354.93</v>
      </c>
      <c r="N273" s="4" t="s">
        <v>78</v>
      </c>
      <c r="O273" s="5">
        <v>35.49</v>
      </c>
      <c r="P273" s="5">
        <v>0</v>
      </c>
      <c r="Q273" s="5">
        <v>27.15</v>
      </c>
      <c r="R273" s="5">
        <v>346.59</v>
      </c>
      <c r="S273" s="4" t="s">
        <v>64</v>
      </c>
      <c r="T273" s="4" t="s">
        <v>99</v>
      </c>
      <c r="U273" s="4" t="s">
        <v>66</v>
      </c>
      <c r="V273" s="4" t="s">
        <v>1930</v>
      </c>
      <c r="W273" s="5">
        <v>0</v>
      </c>
    </row>
    <row r="274" spans="1:23" x14ac:dyDescent="0.3">
      <c r="A274" s="2" t="s">
        <v>1931</v>
      </c>
      <c r="B274" s="2" t="s">
        <v>1580</v>
      </c>
      <c r="C274" s="2" t="s">
        <v>1932</v>
      </c>
      <c r="D274" s="2" t="s">
        <v>1933</v>
      </c>
      <c r="E274" s="2" t="s">
        <v>1934</v>
      </c>
      <c r="F274" s="2" t="s">
        <v>1935</v>
      </c>
      <c r="G274" s="2" t="s">
        <v>403</v>
      </c>
      <c r="H274" s="2" t="s">
        <v>404</v>
      </c>
      <c r="I274" s="2" t="s">
        <v>31</v>
      </c>
      <c r="J274" s="2" t="s">
        <v>283</v>
      </c>
      <c r="K274" s="2" t="s">
        <v>209</v>
      </c>
      <c r="L274" s="2">
        <v>1</v>
      </c>
      <c r="M274" s="3">
        <v>49.99</v>
      </c>
      <c r="N274" s="2" t="s">
        <v>163</v>
      </c>
      <c r="O274" s="3">
        <v>10</v>
      </c>
      <c r="P274" s="3">
        <v>5.99</v>
      </c>
      <c r="Q274" s="3">
        <v>3.2</v>
      </c>
      <c r="R274" s="3">
        <v>49.18</v>
      </c>
      <c r="S274" s="2" t="s">
        <v>332</v>
      </c>
      <c r="T274" s="2" t="s">
        <v>99</v>
      </c>
      <c r="U274" s="2" t="s">
        <v>100</v>
      </c>
      <c r="V274" s="2"/>
      <c r="W274" s="3">
        <v>0</v>
      </c>
    </row>
    <row r="275" spans="1:23" x14ac:dyDescent="0.3">
      <c r="A275" s="4" t="s">
        <v>1936</v>
      </c>
      <c r="B275" s="4" t="s">
        <v>54</v>
      </c>
      <c r="C275" s="4" t="s">
        <v>1937</v>
      </c>
      <c r="D275" s="4" t="s">
        <v>1938</v>
      </c>
      <c r="E275" s="4" t="s">
        <v>1939</v>
      </c>
      <c r="F275" s="4" t="s">
        <v>1940</v>
      </c>
      <c r="G275" s="4" t="s">
        <v>394</v>
      </c>
      <c r="H275" s="4" t="s">
        <v>395</v>
      </c>
      <c r="I275" s="4" t="s">
        <v>31</v>
      </c>
      <c r="J275" s="4" t="s">
        <v>1941</v>
      </c>
      <c r="K275" s="4" t="s">
        <v>209</v>
      </c>
      <c r="L275" s="4">
        <v>3</v>
      </c>
      <c r="M275" s="5">
        <v>309.97000000000003</v>
      </c>
      <c r="N275" s="4" t="s">
        <v>78</v>
      </c>
      <c r="O275" s="5">
        <v>31</v>
      </c>
      <c r="P275" s="5">
        <v>0</v>
      </c>
      <c r="Q275" s="5">
        <v>23.71</v>
      </c>
      <c r="R275" s="5">
        <v>302.68</v>
      </c>
      <c r="S275" s="4" t="s">
        <v>332</v>
      </c>
      <c r="T275" s="4" t="s">
        <v>99</v>
      </c>
      <c r="U275" s="4" t="s">
        <v>317</v>
      </c>
      <c r="V275" s="4"/>
      <c r="W275" s="5">
        <v>0</v>
      </c>
    </row>
    <row r="276" spans="1:23" x14ac:dyDescent="0.3">
      <c r="A276" s="2" t="s">
        <v>1942</v>
      </c>
      <c r="B276" s="2" t="s">
        <v>863</v>
      </c>
      <c r="C276" s="2" t="s">
        <v>1943</v>
      </c>
      <c r="D276" s="2" t="s">
        <v>1944</v>
      </c>
      <c r="E276" s="2" t="s">
        <v>1945</v>
      </c>
      <c r="F276" s="2" t="s">
        <v>1946</v>
      </c>
      <c r="G276" s="2" t="s">
        <v>323</v>
      </c>
      <c r="H276" s="2" t="s">
        <v>324</v>
      </c>
      <c r="I276" s="2" t="s">
        <v>31</v>
      </c>
      <c r="J276" s="2" t="s">
        <v>1911</v>
      </c>
      <c r="K276" s="2" t="s">
        <v>143</v>
      </c>
      <c r="L276" s="2">
        <v>2</v>
      </c>
      <c r="M276" s="3">
        <v>199.98</v>
      </c>
      <c r="N276" s="2" t="s">
        <v>78</v>
      </c>
      <c r="O276" s="3">
        <v>20</v>
      </c>
      <c r="P276" s="3">
        <v>0</v>
      </c>
      <c r="Q276" s="3">
        <v>18</v>
      </c>
      <c r="R276" s="3">
        <v>197.98</v>
      </c>
      <c r="S276" s="2" t="s">
        <v>123</v>
      </c>
      <c r="T276" s="2" t="s">
        <v>65</v>
      </c>
      <c r="U276" s="2" t="s">
        <v>37</v>
      </c>
      <c r="V276" s="2" t="s">
        <v>1000</v>
      </c>
      <c r="W276" s="3">
        <v>197.98</v>
      </c>
    </row>
    <row r="277" spans="1:23" x14ac:dyDescent="0.3">
      <c r="A277" s="4" t="s">
        <v>1947</v>
      </c>
      <c r="B277" s="4" t="s">
        <v>1948</v>
      </c>
      <c r="C277" s="4" t="s">
        <v>1949</v>
      </c>
      <c r="D277" s="4" t="s">
        <v>1950</v>
      </c>
      <c r="E277" s="4" t="s">
        <v>1951</v>
      </c>
      <c r="F277" s="4" t="s">
        <v>1952</v>
      </c>
      <c r="G277" s="4" t="s">
        <v>224</v>
      </c>
      <c r="H277" s="4" t="s">
        <v>225</v>
      </c>
      <c r="I277" s="4" t="s">
        <v>31</v>
      </c>
      <c r="J277" s="4" t="s">
        <v>1953</v>
      </c>
      <c r="K277" s="4" t="s">
        <v>364</v>
      </c>
      <c r="L277" s="4">
        <v>2</v>
      </c>
      <c r="M277" s="5">
        <v>80.98</v>
      </c>
      <c r="N277" s="4" t="s">
        <v>78</v>
      </c>
      <c r="O277" s="5">
        <v>8.1</v>
      </c>
      <c r="P277" s="5">
        <v>0</v>
      </c>
      <c r="Q277" s="5">
        <v>6.56</v>
      </c>
      <c r="R277" s="5">
        <v>79.44</v>
      </c>
      <c r="S277" s="4" t="s">
        <v>35</v>
      </c>
      <c r="T277" s="4" t="s">
        <v>144</v>
      </c>
      <c r="U277" s="4" t="s">
        <v>37</v>
      </c>
      <c r="V277" s="4" t="s">
        <v>1787</v>
      </c>
      <c r="W277" s="5">
        <v>79.44</v>
      </c>
    </row>
    <row r="278" spans="1:23" x14ac:dyDescent="0.3">
      <c r="A278" s="2" t="s">
        <v>1954</v>
      </c>
      <c r="B278" s="2" t="s">
        <v>945</v>
      </c>
      <c r="C278" s="2" t="s">
        <v>1955</v>
      </c>
      <c r="D278" s="2" t="s">
        <v>1956</v>
      </c>
      <c r="E278" s="2" t="s">
        <v>1957</v>
      </c>
      <c r="F278" s="2" t="s">
        <v>1958</v>
      </c>
      <c r="G278" s="2" t="s">
        <v>59</v>
      </c>
      <c r="H278" s="2" t="s">
        <v>60</v>
      </c>
      <c r="I278" s="2" t="s">
        <v>31</v>
      </c>
      <c r="J278" s="2" t="s">
        <v>1238</v>
      </c>
      <c r="K278" s="2" t="s">
        <v>209</v>
      </c>
      <c r="L278" s="2">
        <v>1</v>
      </c>
      <c r="M278" s="3">
        <v>39.99</v>
      </c>
      <c r="N278" s="2" t="s">
        <v>34</v>
      </c>
      <c r="O278" s="3">
        <v>0</v>
      </c>
      <c r="P278" s="3">
        <v>4.99</v>
      </c>
      <c r="Q278" s="3">
        <v>2.8</v>
      </c>
      <c r="R278" s="3">
        <v>47.78</v>
      </c>
      <c r="S278" s="2" t="s">
        <v>35</v>
      </c>
      <c r="T278" s="2" t="s">
        <v>99</v>
      </c>
      <c r="U278" s="2" t="s">
        <v>66</v>
      </c>
      <c r="V278" s="2" t="s">
        <v>922</v>
      </c>
      <c r="W278" s="3">
        <v>0</v>
      </c>
    </row>
    <row r="279" spans="1:23" x14ac:dyDescent="0.3">
      <c r="A279" s="4" t="s">
        <v>1959</v>
      </c>
      <c r="B279" s="4" t="s">
        <v>1006</v>
      </c>
      <c r="C279" s="4" t="s">
        <v>1960</v>
      </c>
      <c r="D279" s="4" t="s">
        <v>1961</v>
      </c>
      <c r="E279" s="4" t="s">
        <v>1962</v>
      </c>
      <c r="F279" s="4" t="s">
        <v>1963</v>
      </c>
      <c r="G279" s="4" t="s">
        <v>282</v>
      </c>
      <c r="H279" s="4" t="s">
        <v>88</v>
      </c>
      <c r="I279" s="4" t="s">
        <v>31</v>
      </c>
      <c r="J279" s="4" t="s">
        <v>503</v>
      </c>
      <c r="K279" s="4" t="s">
        <v>122</v>
      </c>
      <c r="L279" s="4">
        <v>1</v>
      </c>
      <c r="M279" s="5">
        <v>59.99</v>
      </c>
      <c r="N279" s="4" t="s">
        <v>34</v>
      </c>
      <c r="O279" s="5">
        <v>0</v>
      </c>
      <c r="P279" s="5">
        <v>4.99</v>
      </c>
      <c r="Q279" s="5">
        <v>4.2</v>
      </c>
      <c r="R279" s="5">
        <v>69.180000000000007</v>
      </c>
      <c r="S279" s="4" t="s">
        <v>64</v>
      </c>
      <c r="T279" s="4" t="s">
        <v>50</v>
      </c>
      <c r="U279" s="4" t="s">
        <v>66</v>
      </c>
      <c r="V279" s="4" t="s">
        <v>511</v>
      </c>
      <c r="W279" s="5">
        <v>0</v>
      </c>
    </row>
    <row r="280" spans="1:23" x14ac:dyDescent="0.3">
      <c r="A280" s="2" t="s">
        <v>1964</v>
      </c>
      <c r="B280" s="2" t="s">
        <v>1036</v>
      </c>
      <c r="C280" s="2" t="s">
        <v>1965</v>
      </c>
      <c r="D280" s="2" t="s">
        <v>465</v>
      </c>
      <c r="E280" s="2" t="s">
        <v>1966</v>
      </c>
      <c r="F280" s="2" t="s">
        <v>1967</v>
      </c>
      <c r="G280" s="2" t="s">
        <v>224</v>
      </c>
      <c r="H280" s="2" t="s">
        <v>225</v>
      </c>
      <c r="I280" s="2" t="s">
        <v>31</v>
      </c>
      <c r="J280" s="2" t="s">
        <v>1968</v>
      </c>
      <c r="K280" s="2" t="s">
        <v>209</v>
      </c>
      <c r="L280" s="2">
        <v>1</v>
      </c>
      <c r="M280" s="3">
        <v>99.98</v>
      </c>
      <c r="N280" s="2" t="s">
        <v>78</v>
      </c>
      <c r="O280" s="3">
        <v>10</v>
      </c>
      <c r="P280" s="3">
        <v>0</v>
      </c>
      <c r="Q280" s="3">
        <v>5.4</v>
      </c>
      <c r="R280" s="3">
        <v>95.38</v>
      </c>
      <c r="S280" s="2" t="s">
        <v>79</v>
      </c>
      <c r="T280" s="2" t="s">
        <v>50</v>
      </c>
      <c r="U280" s="2" t="s">
        <v>66</v>
      </c>
      <c r="V280" s="2" t="s">
        <v>649</v>
      </c>
      <c r="W280" s="3">
        <v>0</v>
      </c>
    </row>
    <row r="281" spans="1:23" x14ac:dyDescent="0.3">
      <c r="A281" s="4" t="s">
        <v>1969</v>
      </c>
      <c r="B281" s="4" t="s">
        <v>1321</v>
      </c>
      <c r="C281" s="4" t="s">
        <v>1970</v>
      </c>
      <c r="D281" s="4" t="s">
        <v>1971</v>
      </c>
      <c r="E281" s="4" t="s">
        <v>1972</v>
      </c>
      <c r="F281" s="4" t="s">
        <v>1973</v>
      </c>
      <c r="G281" s="4" t="s">
        <v>1183</v>
      </c>
      <c r="H281" s="4" t="s">
        <v>88</v>
      </c>
      <c r="I281" s="4" t="s">
        <v>31</v>
      </c>
      <c r="J281" s="4" t="s">
        <v>1974</v>
      </c>
      <c r="K281" s="4" t="s">
        <v>143</v>
      </c>
      <c r="L281" s="4">
        <v>2</v>
      </c>
      <c r="M281" s="5">
        <v>149.96</v>
      </c>
      <c r="N281" s="4" t="s">
        <v>152</v>
      </c>
      <c r="O281" s="5">
        <v>7.5</v>
      </c>
      <c r="P281" s="5">
        <v>0</v>
      </c>
      <c r="Q281" s="5">
        <v>11.4</v>
      </c>
      <c r="R281" s="5">
        <v>153.86000000000001</v>
      </c>
      <c r="S281" s="4" t="s">
        <v>64</v>
      </c>
      <c r="T281" s="4" t="s">
        <v>144</v>
      </c>
      <c r="U281" s="4" t="s">
        <v>317</v>
      </c>
      <c r="V281" s="4"/>
      <c r="W281" s="5">
        <v>0</v>
      </c>
    </row>
    <row r="282" spans="1:23" x14ac:dyDescent="0.3">
      <c r="A282" s="2" t="s">
        <v>1975</v>
      </c>
      <c r="B282" s="2" t="s">
        <v>1976</v>
      </c>
      <c r="C282" s="2" t="s">
        <v>1977</v>
      </c>
      <c r="D282" s="2" t="s">
        <v>1978</v>
      </c>
      <c r="E282" s="2" t="s">
        <v>1979</v>
      </c>
      <c r="F282" s="2" t="s">
        <v>1980</v>
      </c>
      <c r="G282" s="2" t="s">
        <v>640</v>
      </c>
      <c r="H282" s="2" t="s">
        <v>161</v>
      </c>
      <c r="I282" s="2" t="s">
        <v>31</v>
      </c>
      <c r="J282" s="2" t="s">
        <v>694</v>
      </c>
      <c r="K282" s="2" t="s">
        <v>77</v>
      </c>
      <c r="L282" s="2">
        <v>1</v>
      </c>
      <c r="M282" s="3">
        <v>55.98</v>
      </c>
      <c r="N282" s="2" t="s">
        <v>63</v>
      </c>
      <c r="O282" s="3">
        <v>13.99</v>
      </c>
      <c r="P282" s="3">
        <v>7.99</v>
      </c>
      <c r="Q282" s="3">
        <v>3.36</v>
      </c>
      <c r="R282" s="3">
        <v>53.34</v>
      </c>
      <c r="S282" s="2" t="s">
        <v>123</v>
      </c>
      <c r="T282" s="2" t="s">
        <v>36</v>
      </c>
      <c r="U282" s="2" t="s">
        <v>51</v>
      </c>
      <c r="V282" s="2" t="s">
        <v>296</v>
      </c>
      <c r="W282" s="3">
        <v>0</v>
      </c>
    </row>
    <row r="283" spans="1:23" x14ac:dyDescent="0.3">
      <c r="A283" s="4" t="s">
        <v>1981</v>
      </c>
      <c r="B283" s="4" t="s">
        <v>1703</v>
      </c>
      <c r="C283" s="4" t="s">
        <v>1982</v>
      </c>
      <c r="D283" s="4" t="s">
        <v>1983</v>
      </c>
      <c r="E283" s="4" t="s">
        <v>1984</v>
      </c>
      <c r="F283" s="4" t="s">
        <v>1985</v>
      </c>
      <c r="G283" s="4" t="s">
        <v>347</v>
      </c>
      <c r="H283" s="4" t="s">
        <v>60</v>
      </c>
      <c r="I283" s="4" t="s">
        <v>31</v>
      </c>
      <c r="J283" s="4" t="s">
        <v>1054</v>
      </c>
      <c r="K283" s="4" t="s">
        <v>364</v>
      </c>
      <c r="L283" s="4">
        <v>1</v>
      </c>
      <c r="M283" s="5">
        <v>44.99</v>
      </c>
      <c r="N283" s="4" t="s">
        <v>34</v>
      </c>
      <c r="O283" s="5">
        <v>0</v>
      </c>
      <c r="P283" s="5">
        <v>7.99</v>
      </c>
      <c r="Q283" s="5">
        <v>4.05</v>
      </c>
      <c r="R283" s="5">
        <v>57.03</v>
      </c>
      <c r="S283" s="4" t="s">
        <v>35</v>
      </c>
      <c r="T283" s="4" t="s">
        <v>99</v>
      </c>
      <c r="U283" s="4" t="s">
        <v>66</v>
      </c>
      <c r="V283" s="4" t="s">
        <v>69</v>
      </c>
      <c r="W283" s="5">
        <v>0</v>
      </c>
    </row>
    <row r="284" spans="1:23" x14ac:dyDescent="0.3">
      <c r="A284" s="2" t="s">
        <v>1986</v>
      </c>
      <c r="B284" s="2" t="s">
        <v>877</v>
      </c>
      <c r="C284" s="2" t="s">
        <v>1987</v>
      </c>
      <c r="D284" s="2" t="s">
        <v>1988</v>
      </c>
      <c r="E284" s="2" t="s">
        <v>1989</v>
      </c>
      <c r="F284" s="2" t="s">
        <v>1990</v>
      </c>
      <c r="G284" s="2" t="s">
        <v>347</v>
      </c>
      <c r="H284" s="2" t="s">
        <v>60</v>
      </c>
      <c r="I284" s="2" t="s">
        <v>31</v>
      </c>
      <c r="J284" s="2" t="s">
        <v>1991</v>
      </c>
      <c r="K284" s="2" t="s">
        <v>62</v>
      </c>
      <c r="L284" s="2">
        <v>2</v>
      </c>
      <c r="M284" s="3">
        <v>64.98</v>
      </c>
      <c r="N284" s="2" t="s">
        <v>78</v>
      </c>
      <c r="O284" s="3">
        <v>6.5</v>
      </c>
      <c r="P284" s="3">
        <v>5.99</v>
      </c>
      <c r="Q284" s="3">
        <v>4.09</v>
      </c>
      <c r="R284" s="3">
        <v>68.56</v>
      </c>
      <c r="S284" s="2" t="s">
        <v>35</v>
      </c>
      <c r="T284" s="2" t="s">
        <v>65</v>
      </c>
      <c r="U284" s="2" t="s">
        <v>66</v>
      </c>
      <c r="V284" s="2" t="s">
        <v>593</v>
      </c>
      <c r="W284" s="3">
        <v>0</v>
      </c>
    </row>
    <row r="285" spans="1:23" x14ac:dyDescent="0.3">
      <c r="A285" s="4" t="s">
        <v>1992</v>
      </c>
      <c r="B285" s="4" t="s">
        <v>1640</v>
      </c>
      <c r="C285" s="4" t="s">
        <v>1993</v>
      </c>
      <c r="D285" s="4" t="s">
        <v>1994</v>
      </c>
      <c r="E285" s="4" t="s">
        <v>1995</v>
      </c>
      <c r="F285" s="4" t="s">
        <v>1996</v>
      </c>
      <c r="G285" s="4" t="s">
        <v>171</v>
      </c>
      <c r="H285" s="4" t="s">
        <v>88</v>
      </c>
      <c r="I285" s="4" t="s">
        <v>31</v>
      </c>
      <c r="J285" s="4" t="s">
        <v>1997</v>
      </c>
      <c r="K285" s="4" t="s">
        <v>143</v>
      </c>
      <c r="L285" s="4">
        <v>1</v>
      </c>
      <c r="M285" s="5">
        <v>129.99</v>
      </c>
      <c r="N285" s="4" t="s">
        <v>152</v>
      </c>
      <c r="O285" s="5">
        <v>6.5</v>
      </c>
      <c r="P285" s="5">
        <v>0</v>
      </c>
      <c r="Q285" s="5">
        <v>7.41</v>
      </c>
      <c r="R285" s="5">
        <v>130.9</v>
      </c>
      <c r="S285" s="4" t="s">
        <v>64</v>
      </c>
      <c r="T285" s="4" t="s">
        <v>99</v>
      </c>
      <c r="U285" s="4" t="s">
        <v>317</v>
      </c>
      <c r="V285" s="4"/>
      <c r="W285" s="5">
        <v>0</v>
      </c>
    </row>
    <row r="286" spans="1:23" x14ac:dyDescent="0.3">
      <c r="A286" s="2" t="s">
        <v>1998</v>
      </c>
      <c r="B286" s="2" t="s">
        <v>40</v>
      </c>
      <c r="C286" s="2" t="s">
        <v>1999</v>
      </c>
      <c r="D286" s="2" t="s">
        <v>2000</v>
      </c>
      <c r="E286" s="2" t="s">
        <v>2001</v>
      </c>
      <c r="F286" s="2" t="s">
        <v>2002</v>
      </c>
      <c r="G286" s="2" t="s">
        <v>291</v>
      </c>
      <c r="H286" s="2" t="s">
        <v>292</v>
      </c>
      <c r="I286" s="2" t="s">
        <v>31</v>
      </c>
      <c r="J286" s="2" t="s">
        <v>316</v>
      </c>
      <c r="K286" s="2" t="s">
        <v>48</v>
      </c>
      <c r="L286" s="2">
        <v>1</v>
      </c>
      <c r="M286" s="3">
        <v>34.99</v>
      </c>
      <c r="N286" s="2" t="s">
        <v>152</v>
      </c>
      <c r="O286" s="3">
        <v>1.75</v>
      </c>
      <c r="P286" s="3">
        <v>4.99</v>
      </c>
      <c r="Q286" s="3">
        <v>3.32</v>
      </c>
      <c r="R286" s="3">
        <v>41.55</v>
      </c>
      <c r="S286" s="2" t="s">
        <v>332</v>
      </c>
      <c r="T286" s="2" t="s">
        <v>99</v>
      </c>
      <c r="U286" s="2" t="s">
        <v>66</v>
      </c>
      <c r="V286" s="2" t="s">
        <v>1456</v>
      </c>
      <c r="W286" s="3">
        <v>0</v>
      </c>
    </row>
    <row r="287" spans="1:23" x14ac:dyDescent="0.3">
      <c r="A287" s="4" t="s">
        <v>2003</v>
      </c>
      <c r="B287" s="4" t="s">
        <v>2004</v>
      </c>
      <c r="C287" s="4" t="s">
        <v>2005</v>
      </c>
      <c r="D287" s="4" t="s">
        <v>2006</v>
      </c>
      <c r="E287" s="4" t="s">
        <v>2007</v>
      </c>
      <c r="F287" s="4" t="s">
        <v>2008</v>
      </c>
      <c r="G287" s="4" t="s">
        <v>131</v>
      </c>
      <c r="H287" s="4" t="s">
        <v>88</v>
      </c>
      <c r="I287" s="4" t="s">
        <v>31</v>
      </c>
      <c r="J287" s="4" t="s">
        <v>2009</v>
      </c>
      <c r="K287" s="4" t="s">
        <v>364</v>
      </c>
      <c r="L287" s="4">
        <v>3</v>
      </c>
      <c r="M287" s="5">
        <v>94.97</v>
      </c>
      <c r="N287" s="4" t="s">
        <v>78</v>
      </c>
      <c r="O287" s="5">
        <v>9.5</v>
      </c>
      <c r="P287" s="5">
        <v>0</v>
      </c>
      <c r="Q287" s="5">
        <v>7.26</v>
      </c>
      <c r="R287" s="5">
        <v>92.73</v>
      </c>
      <c r="S287" s="4" t="s">
        <v>35</v>
      </c>
      <c r="T287" s="4" t="s">
        <v>99</v>
      </c>
      <c r="U287" s="4" t="s">
        <v>100</v>
      </c>
      <c r="V287" s="4"/>
      <c r="W287" s="5">
        <v>0</v>
      </c>
    </row>
    <row r="288" spans="1:23" x14ac:dyDescent="0.3">
      <c r="A288" s="2" t="s">
        <v>2010</v>
      </c>
      <c r="B288" s="2" t="s">
        <v>256</v>
      </c>
      <c r="C288" s="2" t="s">
        <v>2011</v>
      </c>
      <c r="D288" s="2" t="s">
        <v>1978</v>
      </c>
      <c r="E288" s="2" t="s">
        <v>2012</v>
      </c>
      <c r="F288" s="2" t="s">
        <v>2013</v>
      </c>
      <c r="G288" s="2" t="s">
        <v>87</v>
      </c>
      <c r="H288" s="2" t="s">
        <v>88</v>
      </c>
      <c r="I288" s="2" t="s">
        <v>31</v>
      </c>
      <c r="J288" s="2" t="s">
        <v>2014</v>
      </c>
      <c r="K288" s="2" t="s">
        <v>209</v>
      </c>
      <c r="L288" s="2">
        <v>3</v>
      </c>
      <c r="M288" s="3">
        <v>284.97000000000003</v>
      </c>
      <c r="N288" s="2" t="s">
        <v>34</v>
      </c>
      <c r="O288" s="3">
        <v>0</v>
      </c>
      <c r="P288" s="3">
        <v>0</v>
      </c>
      <c r="Q288" s="3">
        <v>25.65</v>
      </c>
      <c r="R288" s="3">
        <v>310.62</v>
      </c>
      <c r="S288" s="2" t="s">
        <v>64</v>
      </c>
      <c r="T288" s="2" t="s">
        <v>144</v>
      </c>
      <c r="U288" s="2" t="s">
        <v>66</v>
      </c>
      <c r="V288" s="2" t="s">
        <v>2015</v>
      </c>
      <c r="W288" s="3">
        <v>0</v>
      </c>
    </row>
    <row r="289" spans="1:23" x14ac:dyDescent="0.3">
      <c r="A289" s="4" t="s">
        <v>2016</v>
      </c>
      <c r="B289" s="4" t="s">
        <v>1653</v>
      </c>
      <c r="C289" s="4" t="s">
        <v>2017</v>
      </c>
      <c r="D289" s="4" t="s">
        <v>2018</v>
      </c>
      <c r="E289" s="4" t="s">
        <v>2019</v>
      </c>
      <c r="F289" s="4" t="s">
        <v>2020</v>
      </c>
      <c r="G289" s="4" t="s">
        <v>180</v>
      </c>
      <c r="H289" s="4" t="s">
        <v>181</v>
      </c>
      <c r="I289" s="4" t="s">
        <v>31</v>
      </c>
      <c r="J289" s="4" t="s">
        <v>1269</v>
      </c>
      <c r="K289" s="4" t="s">
        <v>77</v>
      </c>
      <c r="L289" s="4">
        <v>1</v>
      </c>
      <c r="M289" s="5">
        <v>27.99</v>
      </c>
      <c r="N289" s="4" t="s">
        <v>34</v>
      </c>
      <c r="O289" s="5">
        <v>0</v>
      </c>
      <c r="P289" s="5">
        <v>7.99</v>
      </c>
      <c r="Q289" s="5">
        <v>1.96</v>
      </c>
      <c r="R289" s="5">
        <v>37.94</v>
      </c>
      <c r="S289" s="4" t="s">
        <v>98</v>
      </c>
      <c r="T289" s="4" t="s">
        <v>36</v>
      </c>
      <c r="U289" s="4" t="s">
        <v>100</v>
      </c>
      <c r="V289" s="4"/>
      <c r="W289" s="5">
        <v>0</v>
      </c>
    </row>
    <row r="290" spans="1:23" x14ac:dyDescent="0.3">
      <c r="A290" s="2" t="s">
        <v>2021</v>
      </c>
      <c r="B290" s="2" t="s">
        <v>930</v>
      </c>
      <c r="C290" s="2" t="s">
        <v>2022</v>
      </c>
      <c r="D290" s="2" t="s">
        <v>2023</v>
      </c>
      <c r="E290" s="2" t="s">
        <v>2024</v>
      </c>
      <c r="F290" s="2" t="s">
        <v>2025</v>
      </c>
      <c r="G290" s="2" t="s">
        <v>1183</v>
      </c>
      <c r="H290" s="2" t="s">
        <v>88</v>
      </c>
      <c r="I290" s="2" t="s">
        <v>31</v>
      </c>
      <c r="J290" s="2" t="s">
        <v>2026</v>
      </c>
      <c r="K290" s="2" t="s">
        <v>209</v>
      </c>
      <c r="L290" s="2">
        <v>2</v>
      </c>
      <c r="M290" s="3">
        <v>99.97</v>
      </c>
      <c r="N290" s="2" t="s">
        <v>152</v>
      </c>
      <c r="O290" s="3">
        <v>5</v>
      </c>
      <c r="P290" s="3">
        <v>0</v>
      </c>
      <c r="Q290" s="3">
        <v>6.65</v>
      </c>
      <c r="R290" s="3">
        <v>101.62</v>
      </c>
      <c r="S290" s="2" t="s">
        <v>111</v>
      </c>
      <c r="T290" s="2" t="s">
        <v>183</v>
      </c>
      <c r="U290" s="2" t="s">
        <v>66</v>
      </c>
      <c r="V290" s="2" t="s">
        <v>1417</v>
      </c>
      <c r="W290" s="3">
        <v>0</v>
      </c>
    </row>
    <row r="291" spans="1:23" x14ac:dyDescent="0.3">
      <c r="A291" s="4" t="s">
        <v>2027</v>
      </c>
      <c r="B291" s="4" t="s">
        <v>619</v>
      </c>
      <c r="C291" s="4" t="s">
        <v>2028</v>
      </c>
      <c r="D291" s="4" t="s">
        <v>2029</v>
      </c>
      <c r="E291" s="4" t="s">
        <v>2030</v>
      </c>
      <c r="F291" s="4" t="s">
        <v>2031</v>
      </c>
      <c r="G291" s="4" t="s">
        <v>323</v>
      </c>
      <c r="H291" s="4" t="s">
        <v>324</v>
      </c>
      <c r="I291" s="4" t="s">
        <v>31</v>
      </c>
      <c r="J291" s="4" t="s">
        <v>2032</v>
      </c>
      <c r="K291" s="4" t="s">
        <v>122</v>
      </c>
      <c r="L291" s="4">
        <v>2</v>
      </c>
      <c r="M291" s="5">
        <v>124.98</v>
      </c>
      <c r="N291" s="4" t="s">
        <v>163</v>
      </c>
      <c r="O291" s="5">
        <v>25</v>
      </c>
      <c r="P291" s="5">
        <v>0</v>
      </c>
      <c r="Q291" s="5">
        <v>9</v>
      </c>
      <c r="R291" s="5">
        <v>108.98</v>
      </c>
      <c r="S291" s="4" t="s">
        <v>64</v>
      </c>
      <c r="T291" s="4" t="s">
        <v>99</v>
      </c>
      <c r="U291" s="4" t="s">
        <v>66</v>
      </c>
      <c r="V291" s="4" t="s">
        <v>1625</v>
      </c>
      <c r="W291" s="5">
        <v>0</v>
      </c>
    </row>
    <row r="292" spans="1:23" x14ac:dyDescent="0.3">
      <c r="A292" s="2" t="s">
        <v>2033</v>
      </c>
      <c r="B292" s="2" t="s">
        <v>294</v>
      </c>
      <c r="C292" s="2" t="s">
        <v>2034</v>
      </c>
      <c r="D292" s="2" t="s">
        <v>2035</v>
      </c>
      <c r="E292" s="2" t="s">
        <v>2036</v>
      </c>
      <c r="F292" s="2" t="s">
        <v>2037</v>
      </c>
      <c r="G292" s="2" t="s">
        <v>403</v>
      </c>
      <c r="H292" s="2" t="s">
        <v>404</v>
      </c>
      <c r="I292" s="2" t="s">
        <v>31</v>
      </c>
      <c r="J292" s="2" t="s">
        <v>2038</v>
      </c>
      <c r="K292" s="2" t="s">
        <v>122</v>
      </c>
      <c r="L292" s="2">
        <v>2</v>
      </c>
      <c r="M292" s="3">
        <v>259.95999999999998</v>
      </c>
      <c r="N292" s="2" t="s">
        <v>34</v>
      </c>
      <c r="O292" s="3">
        <v>0</v>
      </c>
      <c r="P292" s="3">
        <v>0</v>
      </c>
      <c r="Q292" s="3">
        <v>22.1</v>
      </c>
      <c r="R292" s="3">
        <v>282.06</v>
      </c>
      <c r="S292" s="2" t="s">
        <v>64</v>
      </c>
      <c r="T292" s="2" t="s">
        <v>36</v>
      </c>
      <c r="U292" s="2" t="s">
        <v>51</v>
      </c>
      <c r="V292" s="2" t="s">
        <v>1823</v>
      </c>
      <c r="W292" s="3">
        <v>0</v>
      </c>
    </row>
    <row r="293" spans="1:23" x14ac:dyDescent="0.3">
      <c r="A293" s="4" t="s">
        <v>2039</v>
      </c>
      <c r="B293" s="4" t="s">
        <v>447</v>
      </c>
      <c r="C293" s="4" t="s">
        <v>2040</v>
      </c>
      <c r="D293" s="4" t="s">
        <v>2041</v>
      </c>
      <c r="E293" s="4" t="s">
        <v>2042</v>
      </c>
      <c r="F293" s="4" t="s">
        <v>2043</v>
      </c>
      <c r="G293" s="4" t="s">
        <v>640</v>
      </c>
      <c r="H293" s="4" t="s">
        <v>161</v>
      </c>
      <c r="I293" s="4" t="s">
        <v>31</v>
      </c>
      <c r="J293" s="4" t="s">
        <v>2044</v>
      </c>
      <c r="K293" s="4" t="s">
        <v>110</v>
      </c>
      <c r="L293" s="4">
        <v>2</v>
      </c>
      <c r="M293" s="5">
        <v>77.98</v>
      </c>
      <c r="N293" s="4" t="s">
        <v>163</v>
      </c>
      <c r="O293" s="5">
        <v>15.6</v>
      </c>
      <c r="P293" s="5">
        <v>0</v>
      </c>
      <c r="Q293" s="5">
        <v>5.61</v>
      </c>
      <c r="R293" s="5">
        <v>67.989999999999995</v>
      </c>
      <c r="S293" s="4" t="s">
        <v>79</v>
      </c>
      <c r="T293" s="4" t="s">
        <v>99</v>
      </c>
      <c r="U293" s="4" t="s">
        <v>66</v>
      </c>
      <c r="V293" s="4" t="s">
        <v>90</v>
      </c>
      <c r="W293" s="5">
        <v>0</v>
      </c>
    </row>
    <row r="294" spans="1:23" x14ac:dyDescent="0.3">
      <c r="A294" s="2" t="s">
        <v>2045</v>
      </c>
      <c r="B294" s="2" t="s">
        <v>831</v>
      </c>
      <c r="C294" s="2" t="s">
        <v>2046</v>
      </c>
      <c r="D294" s="2" t="s">
        <v>2047</v>
      </c>
      <c r="E294" s="2" t="s">
        <v>2048</v>
      </c>
      <c r="F294" s="2" t="s">
        <v>2049</v>
      </c>
      <c r="G294" s="2" t="s">
        <v>251</v>
      </c>
      <c r="H294" s="2" t="s">
        <v>252</v>
      </c>
      <c r="I294" s="2" t="s">
        <v>31</v>
      </c>
      <c r="J294" s="2" t="s">
        <v>661</v>
      </c>
      <c r="K294" s="2" t="s">
        <v>143</v>
      </c>
      <c r="L294" s="2">
        <v>1</v>
      </c>
      <c r="M294" s="3">
        <v>79.989999999999995</v>
      </c>
      <c r="N294" s="2" t="s">
        <v>34</v>
      </c>
      <c r="O294" s="3">
        <v>0</v>
      </c>
      <c r="P294" s="3">
        <v>0</v>
      </c>
      <c r="Q294" s="3">
        <v>8</v>
      </c>
      <c r="R294" s="3">
        <v>87.99</v>
      </c>
      <c r="S294" s="2" t="s">
        <v>35</v>
      </c>
      <c r="T294" s="2" t="s">
        <v>99</v>
      </c>
      <c r="U294" s="2" t="s">
        <v>66</v>
      </c>
      <c r="V294" s="2" t="s">
        <v>447</v>
      </c>
      <c r="W294" s="3">
        <v>0</v>
      </c>
    </row>
    <row r="295" spans="1:23" x14ac:dyDescent="0.3">
      <c r="A295" s="4" t="s">
        <v>2050</v>
      </c>
      <c r="B295" s="4" t="s">
        <v>478</v>
      </c>
      <c r="C295" s="4" t="s">
        <v>2051</v>
      </c>
      <c r="D295" s="4" t="s">
        <v>2052</v>
      </c>
      <c r="E295" s="4" t="s">
        <v>2053</v>
      </c>
      <c r="F295" s="4" t="s">
        <v>2054</v>
      </c>
      <c r="G295" s="4" t="s">
        <v>282</v>
      </c>
      <c r="H295" s="4" t="s">
        <v>88</v>
      </c>
      <c r="I295" s="4" t="s">
        <v>31</v>
      </c>
      <c r="J295" s="4" t="s">
        <v>2055</v>
      </c>
      <c r="K295" s="4" t="s">
        <v>33</v>
      </c>
      <c r="L295" s="4">
        <v>2</v>
      </c>
      <c r="M295" s="5">
        <v>122.97</v>
      </c>
      <c r="N295" s="4" t="s">
        <v>49</v>
      </c>
      <c r="O295" s="5">
        <v>18.45</v>
      </c>
      <c r="P295" s="5">
        <v>0</v>
      </c>
      <c r="Q295" s="5">
        <v>7.32</v>
      </c>
      <c r="R295" s="5">
        <v>111.84</v>
      </c>
      <c r="S295" s="4" t="s">
        <v>64</v>
      </c>
      <c r="T295" s="4" t="s">
        <v>173</v>
      </c>
      <c r="U295" s="4" t="s">
        <v>66</v>
      </c>
      <c r="V295" s="4" t="s">
        <v>1095</v>
      </c>
      <c r="W295" s="5">
        <v>0</v>
      </c>
    </row>
    <row r="296" spans="1:23" x14ac:dyDescent="0.3">
      <c r="A296" s="2" t="s">
        <v>2056</v>
      </c>
      <c r="B296" s="2" t="s">
        <v>806</v>
      </c>
      <c r="C296" s="2" t="s">
        <v>2057</v>
      </c>
      <c r="D296" s="2" t="s">
        <v>2058</v>
      </c>
      <c r="E296" s="2" t="s">
        <v>2059</v>
      </c>
      <c r="F296" s="2" t="s">
        <v>2060</v>
      </c>
      <c r="G296" s="2" t="s">
        <v>107</v>
      </c>
      <c r="H296" s="2" t="s">
        <v>108</v>
      </c>
      <c r="I296" s="2" t="s">
        <v>31</v>
      </c>
      <c r="J296" s="2" t="s">
        <v>2061</v>
      </c>
      <c r="K296" s="2" t="s">
        <v>77</v>
      </c>
      <c r="L296" s="2">
        <v>3</v>
      </c>
      <c r="M296" s="3">
        <v>143.94999999999999</v>
      </c>
      <c r="N296" s="2" t="s">
        <v>34</v>
      </c>
      <c r="O296" s="3">
        <v>0</v>
      </c>
      <c r="P296" s="3">
        <v>0</v>
      </c>
      <c r="Q296" s="3">
        <v>14.39</v>
      </c>
      <c r="R296" s="3">
        <v>158.34</v>
      </c>
      <c r="S296" s="2" t="s">
        <v>79</v>
      </c>
      <c r="T296" s="2" t="s">
        <v>65</v>
      </c>
      <c r="U296" s="2" t="s">
        <v>51</v>
      </c>
      <c r="V296" s="2" t="s">
        <v>1539</v>
      </c>
      <c r="W296" s="3">
        <v>0</v>
      </c>
    </row>
    <row r="297" spans="1:23" x14ac:dyDescent="0.3">
      <c r="A297" s="4" t="s">
        <v>2062</v>
      </c>
      <c r="B297" s="4" t="s">
        <v>1560</v>
      </c>
      <c r="C297" s="4" t="s">
        <v>2063</v>
      </c>
      <c r="D297" s="4" t="s">
        <v>2064</v>
      </c>
      <c r="E297" s="4" t="s">
        <v>2065</v>
      </c>
      <c r="F297" s="4" t="s">
        <v>2066</v>
      </c>
      <c r="G297" s="4" t="s">
        <v>224</v>
      </c>
      <c r="H297" s="4" t="s">
        <v>225</v>
      </c>
      <c r="I297" s="4" t="s">
        <v>31</v>
      </c>
      <c r="J297" s="4" t="s">
        <v>2067</v>
      </c>
      <c r="K297" s="4" t="s">
        <v>364</v>
      </c>
      <c r="L297" s="4">
        <v>5</v>
      </c>
      <c r="M297" s="5">
        <v>165.93</v>
      </c>
      <c r="N297" s="4" t="s">
        <v>34</v>
      </c>
      <c r="O297" s="5">
        <v>0</v>
      </c>
      <c r="P297" s="5">
        <v>0</v>
      </c>
      <c r="Q297" s="5">
        <v>11.62</v>
      </c>
      <c r="R297" s="5">
        <v>177.55</v>
      </c>
      <c r="S297" s="4" t="s">
        <v>35</v>
      </c>
      <c r="T297" s="4" t="s">
        <v>325</v>
      </c>
      <c r="U297" s="4" t="s">
        <v>66</v>
      </c>
      <c r="V297" s="4" t="s">
        <v>1252</v>
      </c>
      <c r="W297" s="5">
        <v>0</v>
      </c>
    </row>
    <row r="298" spans="1:23" x14ac:dyDescent="0.3">
      <c r="A298" s="2" t="s">
        <v>2068</v>
      </c>
      <c r="B298" s="2" t="s">
        <v>736</v>
      </c>
      <c r="C298" s="2" t="s">
        <v>147</v>
      </c>
      <c r="D298" s="2" t="s">
        <v>320</v>
      </c>
      <c r="E298" s="2" t="s">
        <v>2069</v>
      </c>
      <c r="F298" s="2" t="s">
        <v>2070</v>
      </c>
      <c r="G298" s="2" t="s">
        <v>160</v>
      </c>
      <c r="H298" s="2" t="s">
        <v>161</v>
      </c>
      <c r="I298" s="2" t="s">
        <v>31</v>
      </c>
      <c r="J298" s="2" t="s">
        <v>2071</v>
      </c>
      <c r="K298" s="2" t="s">
        <v>143</v>
      </c>
      <c r="L298" s="2">
        <v>2</v>
      </c>
      <c r="M298" s="3">
        <v>249.98</v>
      </c>
      <c r="N298" s="2" t="s">
        <v>78</v>
      </c>
      <c r="O298" s="3">
        <v>25</v>
      </c>
      <c r="P298" s="3">
        <v>0</v>
      </c>
      <c r="Q298" s="3">
        <v>15.75</v>
      </c>
      <c r="R298" s="3">
        <v>240.73</v>
      </c>
      <c r="S298" s="2" t="s">
        <v>111</v>
      </c>
      <c r="T298" s="2" t="s">
        <v>173</v>
      </c>
      <c r="U298" s="2" t="s">
        <v>66</v>
      </c>
      <c r="V298" s="2" t="s">
        <v>742</v>
      </c>
      <c r="W298" s="3">
        <v>0</v>
      </c>
    </row>
    <row r="299" spans="1:23" x14ac:dyDescent="0.3">
      <c r="A299" s="4" t="s">
        <v>2072</v>
      </c>
      <c r="B299" s="4" t="s">
        <v>1930</v>
      </c>
      <c r="C299" s="4" t="s">
        <v>2073</v>
      </c>
      <c r="D299" s="4" t="s">
        <v>2074</v>
      </c>
      <c r="E299" s="4" t="s">
        <v>2075</v>
      </c>
      <c r="F299" s="4" t="s">
        <v>2076</v>
      </c>
      <c r="G299" s="4" t="s">
        <v>207</v>
      </c>
      <c r="H299" s="4" t="s">
        <v>141</v>
      </c>
      <c r="I299" s="4" t="s">
        <v>31</v>
      </c>
      <c r="J299" s="4" t="s">
        <v>2077</v>
      </c>
      <c r="K299" s="4" t="s">
        <v>48</v>
      </c>
      <c r="L299" s="4">
        <v>5</v>
      </c>
      <c r="M299" s="5">
        <v>329.92</v>
      </c>
      <c r="N299" s="4" t="s">
        <v>34</v>
      </c>
      <c r="O299" s="5">
        <v>0</v>
      </c>
      <c r="P299" s="5">
        <v>0</v>
      </c>
      <c r="Q299" s="5">
        <v>28.04</v>
      </c>
      <c r="R299" s="5">
        <v>357.96</v>
      </c>
      <c r="S299" s="4" t="s">
        <v>123</v>
      </c>
      <c r="T299" s="4" t="s">
        <v>99</v>
      </c>
      <c r="U299" s="4" t="s">
        <v>317</v>
      </c>
      <c r="V299" s="4"/>
      <c r="W299" s="5">
        <v>0</v>
      </c>
    </row>
    <row r="300" spans="1:23" x14ac:dyDescent="0.3">
      <c r="A300" s="2" t="s">
        <v>2078</v>
      </c>
      <c r="B300" s="2" t="s">
        <v>1787</v>
      </c>
      <c r="C300" s="2" t="s">
        <v>2079</v>
      </c>
      <c r="D300" s="2" t="s">
        <v>2080</v>
      </c>
      <c r="E300" s="2" t="s">
        <v>2081</v>
      </c>
      <c r="F300" s="2" t="s">
        <v>2082</v>
      </c>
      <c r="G300" s="2" t="s">
        <v>59</v>
      </c>
      <c r="H300" s="2" t="s">
        <v>60</v>
      </c>
      <c r="I300" s="2" t="s">
        <v>31</v>
      </c>
      <c r="J300" s="2" t="s">
        <v>1238</v>
      </c>
      <c r="K300" s="2" t="s">
        <v>209</v>
      </c>
      <c r="L300" s="2">
        <v>1</v>
      </c>
      <c r="M300" s="3">
        <v>39.99</v>
      </c>
      <c r="N300" s="2" t="s">
        <v>34</v>
      </c>
      <c r="O300" s="3">
        <v>0</v>
      </c>
      <c r="P300" s="3">
        <v>5.99</v>
      </c>
      <c r="Q300" s="3">
        <v>3.6</v>
      </c>
      <c r="R300" s="3">
        <v>49.58</v>
      </c>
      <c r="S300" s="2" t="s">
        <v>123</v>
      </c>
      <c r="T300" s="2" t="s">
        <v>325</v>
      </c>
      <c r="U300" s="2" t="s">
        <v>66</v>
      </c>
      <c r="V300" s="2" t="s">
        <v>2083</v>
      </c>
      <c r="W300" s="3">
        <v>0</v>
      </c>
    </row>
    <row r="301" spans="1:23" x14ac:dyDescent="0.3">
      <c r="A301" s="4" t="s">
        <v>2084</v>
      </c>
      <c r="B301" s="4" t="s">
        <v>1633</v>
      </c>
      <c r="C301" s="4" t="s">
        <v>2085</v>
      </c>
      <c r="D301" s="4" t="s">
        <v>2086</v>
      </c>
      <c r="E301" s="4" t="s">
        <v>2087</v>
      </c>
      <c r="F301" s="4" t="s">
        <v>2088</v>
      </c>
      <c r="G301" s="4" t="s">
        <v>45</v>
      </c>
      <c r="H301" s="4" t="s">
        <v>46</v>
      </c>
      <c r="I301" s="4" t="s">
        <v>31</v>
      </c>
      <c r="J301" s="4" t="s">
        <v>2089</v>
      </c>
      <c r="K301" s="4" t="s">
        <v>364</v>
      </c>
      <c r="L301" s="4">
        <v>2</v>
      </c>
      <c r="M301" s="5">
        <v>54.98</v>
      </c>
      <c r="N301" s="4" t="s">
        <v>63</v>
      </c>
      <c r="O301" s="5">
        <v>13.75</v>
      </c>
      <c r="P301" s="5">
        <v>5.99</v>
      </c>
      <c r="Q301" s="5">
        <v>3.5</v>
      </c>
      <c r="R301" s="5">
        <v>50.72</v>
      </c>
      <c r="S301" s="4" t="s">
        <v>332</v>
      </c>
      <c r="T301" s="4" t="s">
        <v>173</v>
      </c>
      <c r="U301" s="4" t="s">
        <v>37</v>
      </c>
      <c r="V301" s="4" t="s">
        <v>858</v>
      </c>
      <c r="W301" s="5">
        <v>50.72</v>
      </c>
    </row>
    <row r="302" spans="1:23" x14ac:dyDescent="0.3">
      <c r="A302" s="2" t="s">
        <v>2090</v>
      </c>
      <c r="B302" s="2" t="s">
        <v>1321</v>
      </c>
      <c r="C302" s="2" t="s">
        <v>2091</v>
      </c>
      <c r="D302" s="2" t="s">
        <v>2092</v>
      </c>
      <c r="E302" s="2" t="s">
        <v>2093</v>
      </c>
      <c r="F302" s="2" t="s">
        <v>2094</v>
      </c>
      <c r="G302" s="2" t="s">
        <v>119</v>
      </c>
      <c r="H302" s="2" t="s">
        <v>120</v>
      </c>
      <c r="I302" s="2" t="s">
        <v>31</v>
      </c>
      <c r="J302" s="2" t="s">
        <v>2095</v>
      </c>
      <c r="K302" s="2" t="s">
        <v>62</v>
      </c>
      <c r="L302" s="2">
        <v>2</v>
      </c>
      <c r="M302" s="3">
        <v>97.96</v>
      </c>
      <c r="N302" s="2" t="s">
        <v>34</v>
      </c>
      <c r="O302" s="3">
        <v>0</v>
      </c>
      <c r="P302" s="3">
        <v>0</v>
      </c>
      <c r="Q302" s="3">
        <v>7.84</v>
      </c>
      <c r="R302" s="3">
        <v>105.8</v>
      </c>
      <c r="S302" s="2" t="s">
        <v>35</v>
      </c>
      <c r="T302" s="2" t="s">
        <v>36</v>
      </c>
      <c r="U302" s="2" t="s">
        <v>66</v>
      </c>
      <c r="V302" s="2" t="s">
        <v>2096</v>
      </c>
      <c r="W302" s="3">
        <v>0</v>
      </c>
    </row>
    <row r="303" spans="1:23" x14ac:dyDescent="0.3">
      <c r="A303" s="4" t="s">
        <v>2097</v>
      </c>
      <c r="B303" s="4" t="s">
        <v>1823</v>
      </c>
      <c r="C303" s="4" t="s">
        <v>2098</v>
      </c>
      <c r="D303" s="4" t="s">
        <v>2099</v>
      </c>
      <c r="E303" s="4" t="s">
        <v>2100</v>
      </c>
      <c r="F303" s="4" t="s">
        <v>2101</v>
      </c>
      <c r="G303" s="4" t="s">
        <v>640</v>
      </c>
      <c r="H303" s="4" t="s">
        <v>161</v>
      </c>
      <c r="I303" s="4" t="s">
        <v>31</v>
      </c>
      <c r="J303" s="4" t="s">
        <v>2102</v>
      </c>
      <c r="K303" s="4" t="s">
        <v>110</v>
      </c>
      <c r="L303" s="4">
        <v>5</v>
      </c>
      <c r="M303" s="5">
        <v>345.93</v>
      </c>
      <c r="N303" s="4" t="s">
        <v>34</v>
      </c>
      <c r="O303" s="5">
        <v>0</v>
      </c>
      <c r="P303" s="5">
        <v>0</v>
      </c>
      <c r="Q303" s="5">
        <v>24.22</v>
      </c>
      <c r="R303" s="5">
        <v>370.15</v>
      </c>
      <c r="S303" s="4" t="s">
        <v>332</v>
      </c>
      <c r="T303" s="4" t="s">
        <v>99</v>
      </c>
      <c r="U303" s="4" t="s">
        <v>66</v>
      </c>
      <c r="V303" s="4" t="s">
        <v>2083</v>
      </c>
      <c r="W303" s="5">
        <v>0</v>
      </c>
    </row>
    <row r="304" spans="1:23" x14ac:dyDescent="0.3">
      <c r="A304" s="2" t="s">
        <v>2103</v>
      </c>
      <c r="B304" s="2" t="s">
        <v>1417</v>
      </c>
      <c r="C304" s="2" t="s">
        <v>2104</v>
      </c>
      <c r="D304" s="2" t="s">
        <v>2105</v>
      </c>
      <c r="E304" s="2" t="s">
        <v>2106</v>
      </c>
      <c r="F304" s="2" t="s">
        <v>2107</v>
      </c>
      <c r="G304" s="2" t="s">
        <v>802</v>
      </c>
      <c r="H304" s="2" t="s">
        <v>88</v>
      </c>
      <c r="I304" s="2" t="s">
        <v>31</v>
      </c>
      <c r="J304" s="2" t="s">
        <v>678</v>
      </c>
      <c r="K304" s="2" t="s">
        <v>679</v>
      </c>
      <c r="L304" s="2">
        <v>1</v>
      </c>
      <c r="M304" s="3">
        <v>14.99</v>
      </c>
      <c r="N304" s="2" t="s">
        <v>163</v>
      </c>
      <c r="O304" s="3">
        <v>3</v>
      </c>
      <c r="P304" s="3">
        <v>4.99</v>
      </c>
      <c r="Q304" s="3">
        <v>1.08</v>
      </c>
      <c r="R304" s="3">
        <v>18.059999999999999</v>
      </c>
      <c r="S304" s="2" t="s">
        <v>111</v>
      </c>
      <c r="T304" s="2" t="s">
        <v>99</v>
      </c>
      <c r="U304" s="2" t="s">
        <v>100</v>
      </c>
      <c r="V304" s="2"/>
      <c r="W304" s="3">
        <v>0</v>
      </c>
    </row>
    <row r="305" spans="1:23" x14ac:dyDescent="0.3">
      <c r="A305" s="4" t="s">
        <v>2108</v>
      </c>
      <c r="B305" s="4" t="s">
        <v>270</v>
      </c>
      <c r="C305" s="4" t="s">
        <v>2109</v>
      </c>
      <c r="D305" s="4" t="s">
        <v>2110</v>
      </c>
      <c r="E305" s="4" t="s">
        <v>2111</v>
      </c>
      <c r="F305" s="4" t="s">
        <v>2112</v>
      </c>
      <c r="G305" s="4" t="s">
        <v>59</v>
      </c>
      <c r="H305" s="4" t="s">
        <v>60</v>
      </c>
      <c r="I305" s="4" t="s">
        <v>31</v>
      </c>
      <c r="J305" s="4" t="s">
        <v>526</v>
      </c>
      <c r="K305" s="4" t="s">
        <v>110</v>
      </c>
      <c r="L305" s="4">
        <v>1</v>
      </c>
      <c r="M305" s="5">
        <v>32.99</v>
      </c>
      <c r="N305" s="4" t="s">
        <v>34</v>
      </c>
      <c r="O305" s="5">
        <v>0</v>
      </c>
      <c r="P305" s="5">
        <v>4.99</v>
      </c>
      <c r="Q305" s="5">
        <v>2.31</v>
      </c>
      <c r="R305" s="5">
        <v>40.29</v>
      </c>
      <c r="S305" s="4" t="s">
        <v>35</v>
      </c>
      <c r="T305" s="4" t="s">
        <v>36</v>
      </c>
      <c r="U305" s="4" t="s">
        <v>66</v>
      </c>
      <c r="V305" s="4" t="s">
        <v>496</v>
      </c>
      <c r="W305" s="5">
        <v>0</v>
      </c>
    </row>
    <row r="306" spans="1:23" x14ac:dyDescent="0.3">
      <c r="A306" s="2" t="s">
        <v>2113</v>
      </c>
      <c r="B306" s="2" t="s">
        <v>1321</v>
      </c>
      <c r="C306" s="2" t="s">
        <v>2114</v>
      </c>
      <c r="D306" s="2" t="s">
        <v>2115</v>
      </c>
      <c r="E306" s="2" t="s">
        <v>2116</v>
      </c>
      <c r="F306" s="2" t="s">
        <v>2117</v>
      </c>
      <c r="G306" s="2" t="s">
        <v>1730</v>
      </c>
      <c r="H306" s="2" t="s">
        <v>161</v>
      </c>
      <c r="I306" s="2" t="s">
        <v>31</v>
      </c>
      <c r="J306" s="2" t="s">
        <v>1232</v>
      </c>
      <c r="K306" s="2" t="s">
        <v>77</v>
      </c>
      <c r="L306" s="2">
        <v>1</v>
      </c>
      <c r="M306" s="3">
        <v>34.99</v>
      </c>
      <c r="N306" s="2" t="s">
        <v>152</v>
      </c>
      <c r="O306" s="3">
        <v>1.75</v>
      </c>
      <c r="P306" s="3">
        <v>5.99</v>
      </c>
      <c r="Q306" s="3">
        <v>2.83</v>
      </c>
      <c r="R306" s="3">
        <v>42.06</v>
      </c>
      <c r="S306" s="2" t="s">
        <v>332</v>
      </c>
      <c r="T306" s="2" t="s">
        <v>99</v>
      </c>
      <c r="U306" s="2" t="s">
        <v>66</v>
      </c>
      <c r="V306" s="2" t="s">
        <v>2096</v>
      </c>
      <c r="W306" s="3">
        <v>0</v>
      </c>
    </row>
    <row r="307" spans="1:23" x14ac:dyDescent="0.3">
      <c r="A307" s="4" t="s">
        <v>2118</v>
      </c>
      <c r="B307" s="4" t="s">
        <v>153</v>
      </c>
      <c r="C307" s="4" t="s">
        <v>2119</v>
      </c>
      <c r="D307" s="4" t="s">
        <v>2120</v>
      </c>
      <c r="E307" s="4" t="s">
        <v>2121</v>
      </c>
      <c r="F307" s="4" t="s">
        <v>2122</v>
      </c>
      <c r="G307" s="4" t="s">
        <v>224</v>
      </c>
      <c r="H307" s="4" t="s">
        <v>225</v>
      </c>
      <c r="I307" s="4" t="s">
        <v>31</v>
      </c>
      <c r="J307" s="4" t="s">
        <v>1340</v>
      </c>
      <c r="K307" s="4" t="s">
        <v>209</v>
      </c>
      <c r="L307" s="4">
        <v>1</v>
      </c>
      <c r="M307" s="5">
        <v>119.99</v>
      </c>
      <c r="N307" s="4" t="s">
        <v>78</v>
      </c>
      <c r="O307" s="5">
        <v>12</v>
      </c>
      <c r="P307" s="5">
        <v>0</v>
      </c>
      <c r="Q307" s="5">
        <v>8.64</v>
      </c>
      <c r="R307" s="5">
        <v>116.63</v>
      </c>
      <c r="S307" s="4" t="s">
        <v>123</v>
      </c>
      <c r="T307" s="4" t="s">
        <v>173</v>
      </c>
      <c r="U307" s="4" t="s">
        <v>66</v>
      </c>
      <c r="V307" s="4" t="s">
        <v>736</v>
      </c>
      <c r="W307" s="5">
        <v>0</v>
      </c>
    </row>
    <row r="308" spans="1:23" x14ac:dyDescent="0.3">
      <c r="A308" s="2" t="s">
        <v>2123</v>
      </c>
      <c r="B308" s="2" t="s">
        <v>389</v>
      </c>
      <c r="C308" s="2" t="s">
        <v>2124</v>
      </c>
      <c r="D308" s="2" t="s">
        <v>2125</v>
      </c>
      <c r="E308" s="2" t="s">
        <v>2126</v>
      </c>
      <c r="F308" s="2" t="s">
        <v>2127</v>
      </c>
      <c r="G308" s="2" t="s">
        <v>29</v>
      </c>
      <c r="H308" s="2" t="s">
        <v>30</v>
      </c>
      <c r="I308" s="2" t="s">
        <v>31</v>
      </c>
      <c r="J308" s="2" t="s">
        <v>2128</v>
      </c>
      <c r="K308" s="2" t="s">
        <v>110</v>
      </c>
      <c r="L308" s="2">
        <v>1</v>
      </c>
      <c r="M308" s="3">
        <v>45.98</v>
      </c>
      <c r="N308" s="2" t="s">
        <v>78</v>
      </c>
      <c r="O308" s="3">
        <v>4.5999999999999996</v>
      </c>
      <c r="P308" s="3">
        <v>7.99</v>
      </c>
      <c r="Q308" s="3">
        <v>2.9</v>
      </c>
      <c r="R308" s="3">
        <v>52.27</v>
      </c>
      <c r="S308" s="2" t="s">
        <v>64</v>
      </c>
      <c r="T308" s="2" t="s">
        <v>173</v>
      </c>
      <c r="U308" s="2" t="s">
        <v>100</v>
      </c>
      <c r="V308" s="2"/>
      <c r="W308" s="3">
        <v>0</v>
      </c>
    </row>
    <row r="309" spans="1:23" x14ac:dyDescent="0.3">
      <c r="A309" s="4" t="s">
        <v>2129</v>
      </c>
      <c r="B309" s="4" t="s">
        <v>2130</v>
      </c>
      <c r="C309" s="4" t="s">
        <v>2131</v>
      </c>
      <c r="D309" s="4" t="s">
        <v>2132</v>
      </c>
      <c r="E309" s="4" t="s">
        <v>2133</v>
      </c>
      <c r="F309" s="4" t="s">
        <v>2134</v>
      </c>
      <c r="G309" s="4" t="s">
        <v>692</v>
      </c>
      <c r="H309" s="4" t="s">
        <v>693</v>
      </c>
      <c r="I309" s="4" t="s">
        <v>31</v>
      </c>
      <c r="J309" s="4" t="s">
        <v>2135</v>
      </c>
      <c r="K309" s="4" t="s">
        <v>48</v>
      </c>
      <c r="L309" s="4">
        <v>2</v>
      </c>
      <c r="M309" s="5">
        <v>125.97</v>
      </c>
      <c r="N309" s="4" t="s">
        <v>152</v>
      </c>
      <c r="O309" s="5">
        <v>6.3</v>
      </c>
      <c r="P309" s="5">
        <v>0</v>
      </c>
      <c r="Q309" s="5">
        <v>10.17</v>
      </c>
      <c r="R309" s="5">
        <v>129.84</v>
      </c>
      <c r="S309" s="4" t="s">
        <v>123</v>
      </c>
      <c r="T309" s="4" t="s">
        <v>99</v>
      </c>
      <c r="U309" s="4" t="s">
        <v>37</v>
      </c>
      <c r="V309" s="4" t="s">
        <v>1329</v>
      </c>
      <c r="W309" s="5">
        <v>129.84</v>
      </c>
    </row>
    <row r="310" spans="1:23" x14ac:dyDescent="0.3">
      <c r="A310" s="2" t="s">
        <v>2136</v>
      </c>
      <c r="B310" s="2" t="s">
        <v>587</v>
      </c>
      <c r="C310" s="2" t="s">
        <v>2137</v>
      </c>
      <c r="D310" s="2" t="s">
        <v>698</v>
      </c>
      <c r="E310" s="2" t="s">
        <v>2138</v>
      </c>
      <c r="F310" s="2" t="s">
        <v>2139</v>
      </c>
      <c r="G310" s="2" t="s">
        <v>242</v>
      </c>
      <c r="H310" s="2" t="s">
        <v>243</v>
      </c>
      <c r="I310" s="2" t="s">
        <v>31</v>
      </c>
      <c r="J310" s="2" t="s">
        <v>2140</v>
      </c>
      <c r="K310" s="2" t="s">
        <v>48</v>
      </c>
      <c r="L310" s="2">
        <v>2</v>
      </c>
      <c r="M310" s="3">
        <v>124.98</v>
      </c>
      <c r="N310" s="2" t="s">
        <v>49</v>
      </c>
      <c r="O310" s="3">
        <v>18.75</v>
      </c>
      <c r="P310" s="3">
        <v>0</v>
      </c>
      <c r="Q310" s="3">
        <v>10.62</v>
      </c>
      <c r="R310" s="3">
        <v>116.85</v>
      </c>
      <c r="S310" s="2" t="s">
        <v>64</v>
      </c>
      <c r="T310" s="2" t="s">
        <v>50</v>
      </c>
      <c r="U310" s="2" t="s">
        <v>66</v>
      </c>
      <c r="V310" s="2" t="s">
        <v>877</v>
      </c>
      <c r="W310" s="3">
        <v>0</v>
      </c>
    </row>
    <row r="311" spans="1:23" x14ac:dyDescent="0.3">
      <c r="A311" s="4" t="s">
        <v>2141</v>
      </c>
      <c r="B311" s="4" t="s">
        <v>2142</v>
      </c>
      <c r="C311" s="4" t="s">
        <v>2143</v>
      </c>
      <c r="D311" s="4" t="s">
        <v>2144</v>
      </c>
      <c r="E311" s="4" t="s">
        <v>2145</v>
      </c>
      <c r="F311" s="4" t="s">
        <v>2146</v>
      </c>
      <c r="G311" s="4" t="s">
        <v>242</v>
      </c>
      <c r="H311" s="4" t="s">
        <v>243</v>
      </c>
      <c r="I311" s="4" t="s">
        <v>31</v>
      </c>
      <c r="J311" s="4" t="s">
        <v>2147</v>
      </c>
      <c r="K311" s="4" t="s">
        <v>62</v>
      </c>
      <c r="L311" s="4">
        <v>2</v>
      </c>
      <c r="M311" s="5">
        <v>164.97</v>
      </c>
      <c r="N311" s="4" t="s">
        <v>49</v>
      </c>
      <c r="O311" s="5">
        <v>24.75</v>
      </c>
      <c r="P311" s="5">
        <v>0</v>
      </c>
      <c r="Q311" s="5">
        <v>14.02</v>
      </c>
      <c r="R311" s="5">
        <v>154.24</v>
      </c>
      <c r="S311" s="4" t="s">
        <v>35</v>
      </c>
      <c r="T311" s="4" t="s">
        <v>173</v>
      </c>
      <c r="U311" s="4" t="s">
        <v>51</v>
      </c>
      <c r="V311" s="4" t="s">
        <v>945</v>
      </c>
      <c r="W311" s="5">
        <v>0</v>
      </c>
    </row>
    <row r="312" spans="1:23" x14ac:dyDescent="0.3">
      <c r="A312" s="2" t="s">
        <v>2148</v>
      </c>
      <c r="B312" s="2" t="s">
        <v>2149</v>
      </c>
      <c r="C312" s="2" t="s">
        <v>2150</v>
      </c>
      <c r="D312" s="2" t="s">
        <v>2151</v>
      </c>
      <c r="E312" s="2" t="s">
        <v>2152</v>
      </c>
      <c r="F312" s="2" t="s">
        <v>2153</v>
      </c>
      <c r="G312" s="2" t="s">
        <v>242</v>
      </c>
      <c r="H312" s="2" t="s">
        <v>243</v>
      </c>
      <c r="I312" s="2" t="s">
        <v>31</v>
      </c>
      <c r="J312" s="2" t="s">
        <v>379</v>
      </c>
      <c r="K312" s="2" t="s">
        <v>209</v>
      </c>
      <c r="L312" s="2">
        <v>1</v>
      </c>
      <c r="M312" s="3">
        <v>89.99</v>
      </c>
      <c r="N312" s="2" t="s">
        <v>49</v>
      </c>
      <c r="O312" s="3">
        <v>13.5</v>
      </c>
      <c r="P312" s="3">
        <v>0</v>
      </c>
      <c r="Q312" s="3">
        <v>7.65</v>
      </c>
      <c r="R312" s="3">
        <v>84.14</v>
      </c>
      <c r="S312" s="2" t="s">
        <v>123</v>
      </c>
      <c r="T312" s="2" t="s">
        <v>99</v>
      </c>
      <c r="U312" s="2" t="s">
        <v>317</v>
      </c>
      <c r="V312" s="2"/>
      <c r="W312" s="3">
        <v>0</v>
      </c>
    </row>
    <row r="313" spans="1:23" x14ac:dyDescent="0.3">
      <c r="A313" s="4" t="s">
        <v>2154</v>
      </c>
      <c r="B313" s="4" t="s">
        <v>680</v>
      </c>
      <c r="C313" s="4" t="s">
        <v>2155</v>
      </c>
      <c r="D313" s="4" t="s">
        <v>2156</v>
      </c>
      <c r="E313" s="4" t="s">
        <v>2157</v>
      </c>
      <c r="F313" s="4" t="s">
        <v>2158</v>
      </c>
      <c r="G313" s="4" t="s">
        <v>692</v>
      </c>
      <c r="H313" s="4" t="s">
        <v>693</v>
      </c>
      <c r="I313" s="4" t="s">
        <v>31</v>
      </c>
      <c r="J313" s="4" t="s">
        <v>2159</v>
      </c>
      <c r="K313" s="4" t="s">
        <v>122</v>
      </c>
      <c r="L313" s="4">
        <v>2</v>
      </c>
      <c r="M313" s="5">
        <v>143.96</v>
      </c>
      <c r="N313" s="4" t="s">
        <v>34</v>
      </c>
      <c r="O313" s="5">
        <v>0</v>
      </c>
      <c r="P313" s="5">
        <v>0</v>
      </c>
      <c r="Q313" s="5">
        <v>12.96</v>
      </c>
      <c r="R313" s="5">
        <v>156.91999999999999</v>
      </c>
      <c r="S313" s="4" t="s">
        <v>35</v>
      </c>
      <c r="T313" s="4" t="s">
        <v>99</v>
      </c>
      <c r="U313" s="4" t="s">
        <v>66</v>
      </c>
      <c r="V313" s="4" t="s">
        <v>1546</v>
      </c>
      <c r="W313" s="5">
        <v>0</v>
      </c>
    </row>
    <row r="314" spans="1:23" x14ac:dyDescent="0.3">
      <c r="A314" s="2" t="s">
        <v>2160</v>
      </c>
      <c r="B314" s="2" t="s">
        <v>716</v>
      </c>
      <c r="C314" s="2" t="s">
        <v>2161</v>
      </c>
      <c r="D314" s="2" t="s">
        <v>2162</v>
      </c>
      <c r="E314" s="2" t="s">
        <v>2163</v>
      </c>
      <c r="F314" s="2" t="s">
        <v>2164</v>
      </c>
      <c r="G314" s="2" t="s">
        <v>291</v>
      </c>
      <c r="H314" s="2" t="s">
        <v>292</v>
      </c>
      <c r="I314" s="2" t="s">
        <v>31</v>
      </c>
      <c r="J314" s="2" t="s">
        <v>2165</v>
      </c>
      <c r="K314" s="2" t="s">
        <v>33</v>
      </c>
      <c r="L314" s="2">
        <v>4</v>
      </c>
      <c r="M314" s="3">
        <v>356.93</v>
      </c>
      <c r="N314" s="2" t="s">
        <v>63</v>
      </c>
      <c r="O314" s="3">
        <v>89.23</v>
      </c>
      <c r="P314" s="3">
        <v>0</v>
      </c>
      <c r="Q314" s="3">
        <v>26.77</v>
      </c>
      <c r="R314" s="3">
        <v>294.47000000000003</v>
      </c>
      <c r="S314" s="2" t="s">
        <v>98</v>
      </c>
      <c r="T314" s="2" t="s">
        <v>99</v>
      </c>
      <c r="U314" s="2" t="s">
        <v>66</v>
      </c>
      <c r="V314" s="2" t="s">
        <v>984</v>
      </c>
      <c r="W314" s="3">
        <v>0</v>
      </c>
    </row>
    <row r="315" spans="1:23" x14ac:dyDescent="0.3">
      <c r="A315" s="4" t="s">
        <v>2166</v>
      </c>
      <c r="B315" s="4" t="s">
        <v>680</v>
      </c>
      <c r="C315" s="4" t="s">
        <v>2167</v>
      </c>
      <c r="D315" s="4" t="s">
        <v>2168</v>
      </c>
      <c r="E315" s="4" t="s">
        <v>2169</v>
      </c>
      <c r="F315" s="4" t="s">
        <v>2170</v>
      </c>
      <c r="G315" s="4" t="s">
        <v>190</v>
      </c>
      <c r="H315" s="4" t="s">
        <v>161</v>
      </c>
      <c r="I315" s="4" t="s">
        <v>31</v>
      </c>
      <c r="J315" s="4" t="s">
        <v>308</v>
      </c>
      <c r="K315" s="4" t="s">
        <v>62</v>
      </c>
      <c r="L315" s="4">
        <v>1</v>
      </c>
      <c r="M315" s="5">
        <v>29.99</v>
      </c>
      <c r="N315" s="4" t="s">
        <v>63</v>
      </c>
      <c r="O315" s="5">
        <v>7.5</v>
      </c>
      <c r="P315" s="5">
        <v>7.99</v>
      </c>
      <c r="Q315" s="5">
        <v>1.35</v>
      </c>
      <c r="R315" s="5">
        <v>31.83</v>
      </c>
      <c r="S315" s="4" t="s">
        <v>64</v>
      </c>
      <c r="T315" s="4" t="s">
        <v>99</v>
      </c>
      <c r="U315" s="4" t="s">
        <v>66</v>
      </c>
      <c r="V315" s="4" t="s">
        <v>2171</v>
      </c>
      <c r="W315" s="5">
        <v>0</v>
      </c>
    </row>
    <row r="316" spans="1:23" x14ac:dyDescent="0.3">
      <c r="A316" s="2" t="s">
        <v>2172</v>
      </c>
      <c r="B316" s="2" t="s">
        <v>1490</v>
      </c>
      <c r="C316" s="2" t="s">
        <v>2173</v>
      </c>
      <c r="D316" s="2" t="s">
        <v>1350</v>
      </c>
      <c r="E316" s="2" t="s">
        <v>2174</v>
      </c>
      <c r="F316" s="2" t="s">
        <v>2175</v>
      </c>
      <c r="G316" s="2" t="s">
        <v>131</v>
      </c>
      <c r="H316" s="2" t="s">
        <v>88</v>
      </c>
      <c r="I316" s="2" t="s">
        <v>31</v>
      </c>
      <c r="J316" s="2" t="s">
        <v>1141</v>
      </c>
      <c r="K316" s="2" t="s">
        <v>122</v>
      </c>
      <c r="L316" s="2">
        <v>1</v>
      </c>
      <c r="M316" s="3">
        <v>74.989999999999995</v>
      </c>
      <c r="N316" s="2" t="s">
        <v>34</v>
      </c>
      <c r="O316" s="3">
        <v>0</v>
      </c>
      <c r="P316" s="3">
        <v>4.99</v>
      </c>
      <c r="Q316" s="3">
        <v>5.25</v>
      </c>
      <c r="R316" s="3">
        <v>85.23</v>
      </c>
      <c r="S316" s="2" t="s">
        <v>123</v>
      </c>
      <c r="T316" s="2" t="s">
        <v>173</v>
      </c>
      <c r="U316" s="2" t="s">
        <v>66</v>
      </c>
      <c r="V316" s="2" t="s">
        <v>2176</v>
      </c>
      <c r="W316" s="3">
        <v>0</v>
      </c>
    </row>
    <row r="317" spans="1:23" x14ac:dyDescent="0.3">
      <c r="A317" s="4" t="s">
        <v>2177</v>
      </c>
      <c r="B317" s="4" t="s">
        <v>1252</v>
      </c>
      <c r="C317" s="4" t="s">
        <v>2178</v>
      </c>
      <c r="D317" s="4" t="s">
        <v>2179</v>
      </c>
      <c r="E317" s="4" t="s">
        <v>2180</v>
      </c>
      <c r="F317" s="4" t="s">
        <v>2181</v>
      </c>
      <c r="G317" s="4" t="s">
        <v>403</v>
      </c>
      <c r="H317" s="4" t="s">
        <v>404</v>
      </c>
      <c r="I317" s="4" t="s">
        <v>31</v>
      </c>
      <c r="J317" s="4" t="s">
        <v>678</v>
      </c>
      <c r="K317" s="4" t="s">
        <v>679</v>
      </c>
      <c r="L317" s="4">
        <v>1</v>
      </c>
      <c r="M317" s="5">
        <v>14.99</v>
      </c>
      <c r="N317" s="4" t="s">
        <v>34</v>
      </c>
      <c r="O317" s="5">
        <v>0</v>
      </c>
      <c r="P317" s="5">
        <v>9.99</v>
      </c>
      <c r="Q317" s="5">
        <v>1.5</v>
      </c>
      <c r="R317" s="5">
        <v>26.48</v>
      </c>
      <c r="S317" s="4" t="s">
        <v>35</v>
      </c>
      <c r="T317" s="4" t="s">
        <v>99</v>
      </c>
      <c r="U317" s="4" t="s">
        <v>66</v>
      </c>
      <c r="V317" s="4" t="s">
        <v>1057</v>
      </c>
      <c r="W317" s="5">
        <v>0</v>
      </c>
    </row>
    <row r="318" spans="1:23" x14ac:dyDescent="0.3">
      <c r="A318" s="2" t="s">
        <v>2182</v>
      </c>
      <c r="B318" s="2" t="s">
        <v>1930</v>
      </c>
      <c r="C318" s="2" t="s">
        <v>2183</v>
      </c>
      <c r="D318" s="2" t="s">
        <v>2184</v>
      </c>
      <c r="E318" s="2" t="s">
        <v>2185</v>
      </c>
      <c r="F318" s="2" t="s">
        <v>2186</v>
      </c>
      <c r="G318" s="2" t="s">
        <v>190</v>
      </c>
      <c r="H318" s="2" t="s">
        <v>161</v>
      </c>
      <c r="I318" s="2" t="s">
        <v>31</v>
      </c>
      <c r="J318" s="2" t="s">
        <v>2187</v>
      </c>
      <c r="K318" s="2" t="s">
        <v>209</v>
      </c>
      <c r="L318" s="2">
        <v>3</v>
      </c>
      <c r="M318" s="3">
        <v>119.96</v>
      </c>
      <c r="N318" s="2" t="s">
        <v>163</v>
      </c>
      <c r="O318" s="3">
        <v>23.99</v>
      </c>
      <c r="P318" s="3">
        <v>0</v>
      </c>
      <c r="Q318" s="3">
        <v>5.76</v>
      </c>
      <c r="R318" s="3">
        <v>101.73</v>
      </c>
      <c r="S318" s="2" t="s">
        <v>123</v>
      </c>
      <c r="T318" s="2" t="s">
        <v>144</v>
      </c>
      <c r="U318" s="2" t="s">
        <v>100</v>
      </c>
      <c r="V318" s="2"/>
      <c r="W318" s="3">
        <v>0</v>
      </c>
    </row>
    <row r="319" spans="1:23" x14ac:dyDescent="0.3">
      <c r="A319" s="4" t="s">
        <v>2188</v>
      </c>
      <c r="B319" s="4" t="s">
        <v>1108</v>
      </c>
      <c r="C319" s="4" t="s">
        <v>2189</v>
      </c>
      <c r="D319" s="4" t="s">
        <v>2190</v>
      </c>
      <c r="E319" s="4" t="s">
        <v>2191</v>
      </c>
      <c r="F319" s="4" t="s">
        <v>2192</v>
      </c>
      <c r="G319" s="4" t="s">
        <v>87</v>
      </c>
      <c r="H319" s="4" t="s">
        <v>88</v>
      </c>
      <c r="I319" s="4" t="s">
        <v>31</v>
      </c>
      <c r="J319" s="4" t="s">
        <v>2193</v>
      </c>
      <c r="K319" s="4" t="s">
        <v>77</v>
      </c>
      <c r="L319" s="4">
        <v>4</v>
      </c>
      <c r="M319" s="5">
        <v>152.96</v>
      </c>
      <c r="N319" s="4" t="s">
        <v>163</v>
      </c>
      <c r="O319" s="5">
        <v>30.59</v>
      </c>
      <c r="P319" s="5">
        <v>0</v>
      </c>
      <c r="Q319" s="5">
        <v>10.4</v>
      </c>
      <c r="R319" s="5">
        <v>132.77000000000001</v>
      </c>
      <c r="S319" s="4" t="s">
        <v>111</v>
      </c>
      <c r="T319" s="4" t="s">
        <v>99</v>
      </c>
      <c r="U319" s="4" t="s">
        <v>51</v>
      </c>
      <c r="V319" s="4" t="s">
        <v>971</v>
      </c>
      <c r="W319" s="5">
        <v>0</v>
      </c>
    </row>
    <row r="320" spans="1:23" x14ac:dyDescent="0.3">
      <c r="A320" s="2" t="s">
        <v>2194</v>
      </c>
      <c r="B320" s="2" t="s">
        <v>922</v>
      </c>
      <c r="C320" s="2" t="s">
        <v>2195</v>
      </c>
      <c r="D320" s="2" t="s">
        <v>2196</v>
      </c>
      <c r="E320" s="2" t="s">
        <v>2197</v>
      </c>
      <c r="F320" s="2" t="s">
        <v>2198</v>
      </c>
      <c r="G320" s="2" t="s">
        <v>224</v>
      </c>
      <c r="H320" s="2" t="s">
        <v>225</v>
      </c>
      <c r="I320" s="2" t="s">
        <v>31</v>
      </c>
      <c r="J320" s="2" t="s">
        <v>1232</v>
      </c>
      <c r="K320" s="2" t="s">
        <v>77</v>
      </c>
      <c r="L320" s="2">
        <v>1</v>
      </c>
      <c r="M320" s="3">
        <v>34.99</v>
      </c>
      <c r="N320" s="2" t="s">
        <v>49</v>
      </c>
      <c r="O320" s="3">
        <v>5.25</v>
      </c>
      <c r="P320" s="3">
        <v>9.99</v>
      </c>
      <c r="Q320" s="3">
        <v>2.08</v>
      </c>
      <c r="R320" s="3">
        <v>41.81</v>
      </c>
      <c r="S320" s="2" t="s">
        <v>64</v>
      </c>
      <c r="T320" s="2" t="s">
        <v>173</v>
      </c>
      <c r="U320" s="2" t="s">
        <v>100</v>
      </c>
      <c r="V320" s="2"/>
      <c r="W320" s="3">
        <v>0</v>
      </c>
    </row>
    <row r="321" spans="1:23" x14ac:dyDescent="0.3">
      <c r="A321" s="4" t="s">
        <v>2199</v>
      </c>
      <c r="B321" s="4" t="s">
        <v>1102</v>
      </c>
      <c r="C321" s="4" t="s">
        <v>2200</v>
      </c>
      <c r="D321" s="4" t="s">
        <v>967</v>
      </c>
      <c r="E321" s="4" t="s">
        <v>2201</v>
      </c>
      <c r="F321" s="4" t="s">
        <v>2202</v>
      </c>
      <c r="G321" s="4" t="s">
        <v>119</v>
      </c>
      <c r="H321" s="4" t="s">
        <v>120</v>
      </c>
      <c r="I321" s="4" t="s">
        <v>31</v>
      </c>
      <c r="J321" s="4" t="s">
        <v>632</v>
      </c>
      <c r="K321" s="4" t="s">
        <v>33</v>
      </c>
      <c r="L321" s="4">
        <v>1</v>
      </c>
      <c r="M321" s="5">
        <v>49.99</v>
      </c>
      <c r="N321" s="4" t="s">
        <v>152</v>
      </c>
      <c r="O321" s="5">
        <v>2.5</v>
      </c>
      <c r="P321" s="5">
        <v>9.99</v>
      </c>
      <c r="Q321" s="5">
        <v>2.85</v>
      </c>
      <c r="R321" s="5">
        <v>60.33</v>
      </c>
      <c r="S321" s="4" t="s">
        <v>64</v>
      </c>
      <c r="T321" s="4" t="s">
        <v>173</v>
      </c>
      <c r="U321" s="4" t="s">
        <v>37</v>
      </c>
      <c r="V321" s="4" t="s">
        <v>2203</v>
      </c>
      <c r="W321" s="5">
        <v>60.33</v>
      </c>
    </row>
    <row r="322" spans="1:23" x14ac:dyDescent="0.3">
      <c r="A322" s="2" t="s">
        <v>2204</v>
      </c>
      <c r="B322" s="2" t="s">
        <v>2205</v>
      </c>
      <c r="C322" s="2" t="s">
        <v>2206</v>
      </c>
      <c r="D322" s="2" t="s">
        <v>1067</v>
      </c>
      <c r="E322" s="2" t="s">
        <v>2207</v>
      </c>
      <c r="F322" s="2" t="s">
        <v>2208</v>
      </c>
      <c r="G322" s="2" t="s">
        <v>59</v>
      </c>
      <c r="H322" s="2" t="s">
        <v>60</v>
      </c>
      <c r="I322" s="2" t="s">
        <v>31</v>
      </c>
      <c r="J322" s="2" t="s">
        <v>1997</v>
      </c>
      <c r="K322" s="2" t="s">
        <v>143</v>
      </c>
      <c r="L322" s="2">
        <v>1</v>
      </c>
      <c r="M322" s="3">
        <v>129.99</v>
      </c>
      <c r="N322" s="2" t="s">
        <v>34</v>
      </c>
      <c r="O322" s="3">
        <v>0</v>
      </c>
      <c r="P322" s="3">
        <v>0</v>
      </c>
      <c r="Q322" s="3">
        <v>7.8</v>
      </c>
      <c r="R322" s="3">
        <v>137.79</v>
      </c>
      <c r="S322" s="2" t="s">
        <v>35</v>
      </c>
      <c r="T322" s="2" t="s">
        <v>99</v>
      </c>
      <c r="U322" s="2" t="s">
        <v>66</v>
      </c>
      <c r="V322" s="2" t="s">
        <v>617</v>
      </c>
      <c r="W322" s="3">
        <v>0</v>
      </c>
    </row>
    <row r="323" spans="1:23" x14ac:dyDescent="0.3">
      <c r="A323" s="4" t="s">
        <v>2209</v>
      </c>
      <c r="B323" s="4" t="s">
        <v>2210</v>
      </c>
      <c r="C323" s="4" t="s">
        <v>2211</v>
      </c>
      <c r="D323" s="4" t="s">
        <v>2212</v>
      </c>
      <c r="E323" s="4" t="s">
        <v>2213</v>
      </c>
      <c r="F323" s="4" t="s">
        <v>2214</v>
      </c>
      <c r="G323" s="4" t="s">
        <v>171</v>
      </c>
      <c r="H323" s="4" t="s">
        <v>88</v>
      </c>
      <c r="I323" s="4" t="s">
        <v>31</v>
      </c>
      <c r="J323" s="4" t="s">
        <v>2215</v>
      </c>
      <c r="K323" s="4" t="s">
        <v>77</v>
      </c>
      <c r="L323" s="4">
        <v>3</v>
      </c>
      <c r="M323" s="5">
        <v>238.94</v>
      </c>
      <c r="N323" s="4" t="s">
        <v>49</v>
      </c>
      <c r="O323" s="5">
        <v>35.840000000000003</v>
      </c>
      <c r="P323" s="5">
        <v>0</v>
      </c>
      <c r="Q323" s="5">
        <v>20.309999999999999</v>
      </c>
      <c r="R323" s="5">
        <v>223.41</v>
      </c>
      <c r="S323" s="4" t="s">
        <v>98</v>
      </c>
      <c r="T323" s="4" t="s">
        <v>99</v>
      </c>
      <c r="U323" s="4" t="s">
        <v>66</v>
      </c>
      <c r="V323" s="4" t="s">
        <v>1102</v>
      </c>
      <c r="W323" s="5">
        <v>0</v>
      </c>
    </row>
    <row r="324" spans="1:23" x14ac:dyDescent="0.3">
      <c r="A324" s="2" t="s">
        <v>2216</v>
      </c>
      <c r="B324" s="2" t="s">
        <v>797</v>
      </c>
      <c r="C324" s="2" t="s">
        <v>2217</v>
      </c>
      <c r="D324" s="2" t="s">
        <v>2218</v>
      </c>
      <c r="E324" s="2" t="s">
        <v>2219</v>
      </c>
      <c r="F324" s="2" t="s">
        <v>2220</v>
      </c>
      <c r="G324" s="2" t="s">
        <v>74</v>
      </c>
      <c r="H324" s="2" t="s">
        <v>75</v>
      </c>
      <c r="I324" s="2" t="s">
        <v>31</v>
      </c>
      <c r="J324" s="2" t="s">
        <v>2221</v>
      </c>
      <c r="K324" s="2" t="s">
        <v>209</v>
      </c>
      <c r="L324" s="2">
        <v>2</v>
      </c>
      <c r="M324" s="3">
        <v>279.95999999999998</v>
      </c>
      <c r="N324" s="2" t="s">
        <v>78</v>
      </c>
      <c r="O324" s="3">
        <v>28</v>
      </c>
      <c r="P324" s="3">
        <v>0</v>
      </c>
      <c r="Q324" s="3">
        <v>15.12</v>
      </c>
      <c r="R324" s="3">
        <v>267.08</v>
      </c>
      <c r="S324" s="2" t="s">
        <v>111</v>
      </c>
      <c r="T324" s="2" t="s">
        <v>65</v>
      </c>
      <c r="U324" s="2" t="s">
        <v>66</v>
      </c>
      <c r="V324" s="2" t="s">
        <v>2222</v>
      </c>
      <c r="W324" s="3">
        <v>0</v>
      </c>
    </row>
    <row r="325" spans="1:23" x14ac:dyDescent="0.3">
      <c r="A325" s="4" t="s">
        <v>2223</v>
      </c>
      <c r="B325" s="4" t="s">
        <v>366</v>
      </c>
      <c r="C325" s="4" t="s">
        <v>2224</v>
      </c>
      <c r="D325" s="4" t="s">
        <v>589</v>
      </c>
      <c r="E325" s="4" t="s">
        <v>2225</v>
      </c>
      <c r="F325" s="4" t="s">
        <v>2226</v>
      </c>
      <c r="G325" s="4" t="s">
        <v>171</v>
      </c>
      <c r="H325" s="4" t="s">
        <v>88</v>
      </c>
      <c r="I325" s="4" t="s">
        <v>31</v>
      </c>
      <c r="J325" s="4" t="s">
        <v>2071</v>
      </c>
      <c r="K325" s="4" t="s">
        <v>143</v>
      </c>
      <c r="L325" s="4">
        <v>2</v>
      </c>
      <c r="M325" s="5">
        <v>249.98</v>
      </c>
      <c r="N325" s="4" t="s">
        <v>78</v>
      </c>
      <c r="O325" s="5">
        <v>25</v>
      </c>
      <c r="P325" s="5">
        <v>0</v>
      </c>
      <c r="Q325" s="5">
        <v>19.12</v>
      </c>
      <c r="R325" s="5">
        <v>244.1</v>
      </c>
      <c r="S325" s="4" t="s">
        <v>35</v>
      </c>
      <c r="T325" s="4" t="s">
        <v>325</v>
      </c>
      <c r="U325" s="4" t="s">
        <v>66</v>
      </c>
      <c r="V325" s="4" t="s">
        <v>372</v>
      </c>
      <c r="W325" s="5">
        <v>0</v>
      </c>
    </row>
    <row r="326" spans="1:23" x14ac:dyDescent="0.3">
      <c r="A326" s="2" t="s">
        <v>2227</v>
      </c>
      <c r="B326" s="2" t="s">
        <v>1548</v>
      </c>
      <c r="C326" s="2" t="s">
        <v>2228</v>
      </c>
      <c r="D326" s="2" t="s">
        <v>2229</v>
      </c>
      <c r="E326" s="2" t="s">
        <v>2230</v>
      </c>
      <c r="F326" s="2" t="s">
        <v>2231</v>
      </c>
      <c r="G326" s="2" t="s">
        <v>282</v>
      </c>
      <c r="H326" s="2" t="s">
        <v>88</v>
      </c>
      <c r="I326" s="2" t="s">
        <v>31</v>
      </c>
      <c r="J326" s="2" t="s">
        <v>2232</v>
      </c>
      <c r="K326" s="2" t="s">
        <v>364</v>
      </c>
      <c r="L326" s="2">
        <v>2</v>
      </c>
      <c r="M326" s="3">
        <v>129.97</v>
      </c>
      <c r="N326" s="2" t="s">
        <v>152</v>
      </c>
      <c r="O326" s="3">
        <v>6.5</v>
      </c>
      <c r="P326" s="3">
        <v>0</v>
      </c>
      <c r="Q326" s="3">
        <v>10.49</v>
      </c>
      <c r="R326" s="3">
        <v>133.96</v>
      </c>
      <c r="S326" s="2" t="s">
        <v>64</v>
      </c>
      <c r="T326" s="2" t="s">
        <v>173</v>
      </c>
      <c r="U326" s="2" t="s">
        <v>317</v>
      </c>
      <c r="V326" s="2"/>
      <c r="W326" s="3">
        <v>0</v>
      </c>
    </row>
    <row r="327" spans="1:23" x14ac:dyDescent="0.3">
      <c r="A327" s="4" t="s">
        <v>2233</v>
      </c>
      <c r="B327" s="4" t="s">
        <v>1830</v>
      </c>
      <c r="C327" s="4" t="s">
        <v>2234</v>
      </c>
      <c r="D327" s="4" t="s">
        <v>2235</v>
      </c>
      <c r="E327" s="4" t="s">
        <v>2236</v>
      </c>
      <c r="F327" s="4" t="s">
        <v>2237</v>
      </c>
      <c r="G327" s="4" t="s">
        <v>160</v>
      </c>
      <c r="H327" s="4" t="s">
        <v>161</v>
      </c>
      <c r="I327" s="4" t="s">
        <v>31</v>
      </c>
      <c r="J327" s="4" t="s">
        <v>2238</v>
      </c>
      <c r="K327" s="4" t="s">
        <v>62</v>
      </c>
      <c r="L327" s="4">
        <v>2</v>
      </c>
      <c r="M327" s="5">
        <v>90.98</v>
      </c>
      <c r="N327" s="4" t="s">
        <v>49</v>
      </c>
      <c r="O327" s="5">
        <v>13.65</v>
      </c>
      <c r="P327" s="5">
        <v>0</v>
      </c>
      <c r="Q327" s="5">
        <v>6.96</v>
      </c>
      <c r="R327" s="5">
        <v>84.29</v>
      </c>
      <c r="S327" s="4" t="s">
        <v>64</v>
      </c>
      <c r="T327" s="4" t="s">
        <v>99</v>
      </c>
      <c r="U327" s="4" t="s">
        <v>66</v>
      </c>
      <c r="V327" s="4" t="s">
        <v>703</v>
      </c>
      <c r="W327" s="5">
        <v>0</v>
      </c>
    </row>
    <row r="328" spans="1:23" x14ac:dyDescent="0.3">
      <c r="A328" s="2" t="s">
        <v>2239</v>
      </c>
      <c r="B328" s="2" t="s">
        <v>2240</v>
      </c>
      <c r="C328" s="2" t="s">
        <v>2241</v>
      </c>
      <c r="D328" s="2" t="s">
        <v>2242</v>
      </c>
      <c r="E328" s="2" t="s">
        <v>2243</v>
      </c>
      <c r="F328" s="2" t="s">
        <v>2244</v>
      </c>
      <c r="G328" s="2" t="s">
        <v>323</v>
      </c>
      <c r="H328" s="2" t="s">
        <v>324</v>
      </c>
      <c r="I328" s="2" t="s">
        <v>31</v>
      </c>
      <c r="J328" s="2" t="s">
        <v>2245</v>
      </c>
      <c r="K328" s="2" t="s">
        <v>62</v>
      </c>
      <c r="L328" s="2">
        <v>3</v>
      </c>
      <c r="M328" s="3">
        <v>309.95999999999998</v>
      </c>
      <c r="N328" s="2" t="s">
        <v>34</v>
      </c>
      <c r="O328" s="3">
        <v>0</v>
      </c>
      <c r="P328" s="3">
        <v>0</v>
      </c>
      <c r="Q328" s="3">
        <v>21.7</v>
      </c>
      <c r="R328" s="3">
        <v>331.66</v>
      </c>
      <c r="S328" s="2" t="s">
        <v>123</v>
      </c>
      <c r="T328" s="2" t="s">
        <v>144</v>
      </c>
      <c r="U328" s="2" t="s">
        <v>66</v>
      </c>
      <c r="V328" s="2" t="s">
        <v>245</v>
      </c>
      <c r="W328" s="3">
        <v>0</v>
      </c>
    </row>
    <row r="329" spans="1:23" x14ac:dyDescent="0.3">
      <c r="A329" s="4" t="s">
        <v>2246</v>
      </c>
      <c r="B329" s="4" t="s">
        <v>2247</v>
      </c>
      <c r="C329" s="4" t="s">
        <v>2248</v>
      </c>
      <c r="D329" s="4" t="s">
        <v>2249</v>
      </c>
      <c r="E329" s="4" t="s">
        <v>2250</v>
      </c>
      <c r="F329" s="4" t="s">
        <v>2251</v>
      </c>
      <c r="G329" s="4" t="s">
        <v>347</v>
      </c>
      <c r="H329" s="4" t="s">
        <v>60</v>
      </c>
      <c r="I329" s="4" t="s">
        <v>31</v>
      </c>
      <c r="J329" s="4" t="s">
        <v>2252</v>
      </c>
      <c r="K329" s="4" t="s">
        <v>110</v>
      </c>
      <c r="L329" s="4">
        <v>4</v>
      </c>
      <c r="M329" s="5">
        <v>192.94</v>
      </c>
      <c r="N329" s="4" t="s">
        <v>152</v>
      </c>
      <c r="O329" s="5">
        <v>9.65</v>
      </c>
      <c r="P329" s="5">
        <v>0</v>
      </c>
      <c r="Q329" s="5">
        <v>18.329999999999998</v>
      </c>
      <c r="R329" s="5">
        <v>201.62</v>
      </c>
      <c r="S329" s="4" t="s">
        <v>35</v>
      </c>
      <c r="T329" s="4" t="s">
        <v>183</v>
      </c>
      <c r="U329" s="4" t="s">
        <v>66</v>
      </c>
      <c r="V329" s="4" t="s">
        <v>593</v>
      </c>
      <c r="W329" s="5">
        <v>0</v>
      </c>
    </row>
    <row r="330" spans="1:23" x14ac:dyDescent="0.3">
      <c r="A330" s="2" t="s">
        <v>2253</v>
      </c>
      <c r="B330" s="2" t="s">
        <v>1633</v>
      </c>
      <c r="C330" s="2" t="s">
        <v>2254</v>
      </c>
      <c r="D330" s="2" t="s">
        <v>2255</v>
      </c>
      <c r="E330" s="2" t="s">
        <v>2256</v>
      </c>
      <c r="F330" s="2" t="s">
        <v>2257</v>
      </c>
      <c r="G330" s="2" t="s">
        <v>282</v>
      </c>
      <c r="H330" s="2" t="s">
        <v>88</v>
      </c>
      <c r="I330" s="2" t="s">
        <v>31</v>
      </c>
      <c r="J330" s="2" t="s">
        <v>2258</v>
      </c>
      <c r="K330" s="2" t="s">
        <v>209</v>
      </c>
      <c r="L330" s="2">
        <v>2</v>
      </c>
      <c r="M330" s="3">
        <v>279.97000000000003</v>
      </c>
      <c r="N330" s="2" t="s">
        <v>78</v>
      </c>
      <c r="O330" s="3">
        <v>28</v>
      </c>
      <c r="P330" s="3">
        <v>0</v>
      </c>
      <c r="Q330" s="3">
        <v>17.64</v>
      </c>
      <c r="R330" s="3">
        <v>269.61</v>
      </c>
      <c r="S330" s="2" t="s">
        <v>64</v>
      </c>
      <c r="T330" s="2" t="s">
        <v>99</v>
      </c>
      <c r="U330" s="2" t="s">
        <v>66</v>
      </c>
      <c r="V330" s="2" t="s">
        <v>858</v>
      </c>
      <c r="W330" s="3">
        <v>0</v>
      </c>
    </row>
    <row r="331" spans="1:23" x14ac:dyDescent="0.3">
      <c r="A331" s="4" t="s">
        <v>2259</v>
      </c>
      <c r="B331" s="4" t="s">
        <v>663</v>
      </c>
      <c r="C331" s="4" t="s">
        <v>2260</v>
      </c>
      <c r="D331" s="4" t="s">
        <v>2261</v>
      </c>
      <c r="E331" s="4" t="s">
        <v>2262</v>
      </c>
      <c r="F331" s="4" t="s">
        <v>2263</v>
      </c>
      <c r="G331" s="4" t="s">
        <v>282</v>
      </c>
      <c r="H331" s="4" t="s">
        <v>88</v>
      </c>
      <c r="I331" s="4" t="s">
        <v>31</v>
      </c>
      <c r="J331" s="4" t="s">
        <v>1148</v>
      </c>
      <c r="K331" s="4" t="s">
        <v>33</v>
      </c>
      <c r="L331" s="4">
        <v>1</v>
      </c>
      <c r="M331" s="5">
        <v>18.989999999999998</v>
      </c>
      <c r="N331" s="4" t="s">
        <v>34</v>
      </c>
      <c r="O331" s="5">
        <v>0</v>
      </c>
      <c r="P331" s="5">
        <v>4.99</v>
      </c>
      <c r="Q331" s="5">
        <v>1.52</v>
      </c>
      <c r="R331" s="5">
        <v>25.5</v>
      </c>
      <c r="S331" s="4" t="s">
        <v>98</v>
      </c>
      <c r="T331" s="4" t="s">
        <v>50</v>
      </c>
      <c r="U331" s="4" t="s">
        <v>66</v>
      </c>
      <c r="V331" s="4" t="s">
        <v>669</v>
      </c>
      <c r="W331" s="5">
        <v>0</v>
      </c>
    </row>
    <row r="332" spans="1:23" x14ac:dyDescent="0.3">
      <c r="A332" s="2" t="s">
        <v>2264</v>
      </c>
      <c r="B332" s="2" t="s">
        <v>1774</v>
      </c>
      <c r="C332" s="2" t="s">
        <v>2265</v>
      </c>
      <c r="D332" s="2" t="s">
        <v>2266</v>
      </c>
      <c r="E332" s="2" t="s">
        <v>2267</v>
      </c>
      <c r="F332" s="2" t="s">
        <v>2268</v>
      </c>
      <c r="G332" s="2" t="s">
        <v>29</v>
      </c>
      <c r="H332" s="2" t="s">
        <v>30</v>
      </c>
      <c r="I332" s="2" t="s">
        <v>31</v>
      </c>
      <c r="J332" s="2" t="s">
        <v>2269</v>
      </c>
      <c r="K332" s="2" t="s">
        <v>77</v>
      </c>
      <c r="L332" s="2">
        <v>3</v>
      </c>
      <c r="M332" s="3">
        <v>160.96</v>
      </c>
      <c r="N332" s="2" t="s">
        <v>163</v>
      </c>
      <c r="O332" s="3">
        <v>32.19</v>
      </c>
      <c r="P332" s="3">
        <v>0</v>
      </c>
      <c r="Q332" s="3">
        <v>10.95</v>
      </c>
      <c r="R332" s="3">
        <v>139.72</v>
      </c>
      <c r="S332" s="2" t="s">
        <v>123</v>
      </c>
      <c r="T332" s="2" t="s">
        <v>173</v>
      </c>
      <c r="U332" s="2" t="s">
        <v>37</v>
      </c>
      <c r="V332" s="2" t="s">
        <v>2270</v>
      </c>
      <c r="W332" s="3">
        <v>139.72</v>
      </c>
    </row>
    <row r="333" spans="1:23" x14ac:dyDescent="0.3">
      <c r="A333" s="4" t="s">
        <v>2271</v>
      </c>
      <c r="B333" s="4" t="s">
        <v>126</v>
      </c>
      <c r="C333" s="4" t="s">
        <v>2272</v>
      </c>
      <c r="D333" s="4" t="s">
        <v>2273</v>
      </c>
      <c r="E333" s="4" t="s">
        <v>2274</v>
      </c>
      <c r="F333" s="4" t="s">
        <v>2275</v>
      </c>
      <c r="G333" s="4" t="s">
        <v>140</v>
      </c>
      <c r="H333" s="4" t="s">
        <v>141</v>
      </c>
      <c r="I333" s="4" t="s">
        <v>31</v>
      </c>
      <c r="J333" s="4" t="s">
        <v>2276</v>
      </c>
      <c r="K333" s="4" t="s">
        <v>364</v>
      </c>
      <c r="L333" s="4">
        <v>3</v>
      </c>
      <c r="M333" s="5">
        <v>209.95</v>
      </c>
      <c r="N333" s="4" t="s">
        <v>63</v>
      </c>
      <c r="O333" s="5">
        <v>52.49</v>
      </c>
      <c r="P333" s="5">
        <v>0</v>
      </c>
      <c r="Q333" s="5">
        <v>15.75</v>
      </c>
      <c r="R333" s="5">
        <v>173.21</v>
      </c>
      <c r="S333" s="4" t="s">
        <v>123</v>
      </c>
      <c r="T333" s="4" t="s">
        <v>183</v>
      </c>
      <c r="U333" s="4" t="s">
        <v>66</v>
      </c>
      <c r="V333" s="4" t="s">
        <v>1201</v>
      </c>
      <c r="W333" s="5">
        <v>0</v>
      </c>
    </row>
    <row r="334" spans="1:23" x14ac:dyDescent="0.3">
      <c r="A334" s="2" t="s">
        <v>2277</v>
      </c>
      <c r="B334" s="2" t="s">
        <v>2278</v>
      </c>
      <c r="C334" s="2" t="s">
        <v>2279</v>
      </c>
      <c r="D334" s="2" t="s">
        <v>2280</v>
      </c>
      <c r="E334" s="2" t="s">
        <v>2281</v>
      </c>
      <c r="F334" s="2" t="s">
        <v>2282</v>
      </c>
      <c r="G334" s="2" t="s">
        <v>171</v>
      </c>
      <c r="H334" s="2" t="s">
        <v>88</v>
      </c>
      <c r="I334" s="2" t="s">
        <v>31</v>
      </c>
      <c r="J334" s="2" t="s">
        <v>2283</v>
      </c>
      <c r="K334" s="2" t="s">
        <v>48</v>
      </c>
      <c r="L334" s="2">
        <v>2</v>
      </c>
      <c r="M334" s="3">
        <v>104.98</v>
      </c>
      <c r="N334" s="2" t="s">
        <v>34</v>
      </c>
      <c r="O334" s="3">
        <v>0</v>
      </c>
      <c r="P334" s="3">
        <v>0</v>
      </c>
      <c r="Q334" s="3">
        <v>8.4</v>
      </c>
      <c r="R334" s="3">
        <v>113.38</v>
      </c>
      <c r="S334" s="2" t="s">
        <v>123</v>
      </c>
      <c r="T334" s="2" t="s">
        <v>144</v>
      </c>
      <c r="U334" s="2" t="s">
        <v>66</v>
      </c>
      <c r="V334" s="2" t="s">
        <v>237</v>
      </c>
      <c r="W334" s="3">
        <v>0</v>
      </c>
    </row>
    <row r="335" spans="1:23" x14ac:dyDescent="0.3">
      <c r="A335" s="4" t="s">
        <v>2284</v>
      </c>
      <c r="B335" s="4" t="s">
        <v>2285</v>
      </c>
      <c r="C335" s="4" t="s">
        <v>2286</v>
      </c>
      <c r="D335" s="4" t="s">
        <v>2287</v>
      </c>
      <c r="E335" s="4" t="s">
        <v>2288</v>
      </c>
      <c r="F335" s="4" t="s">
        <v>2289</v>
      </c>
      <c r="G335" s="4" t="s">
        <v>394</v>
      </c>
      <c r="H335" s="4" t="s">
        <v>395</v>
      </c>
      <c r="I335" s="4" t="s">
        <v>31</v>
      </c>
      <c r="J335" s="4" t="s">
        <v>495</v>
      </c>
      <c r="K335" s="4" t="s">
        <v>209</v>
      </c>
      <c r="L335" s="4">
        <v>1</v>
      </c>
      <c r="M335" s="5">
        <v>29.99</v>
      </c>
      <c r="N335" s="4" t="s">
        <v>152</v>
      </c>
      <c r="O335" s="5">
        <v>1.5</v>
      </c>
      <c r="P335" s="5">
        <v>5.99</v>
      </c>
      <c r="Q335" s="5">
        <v>2.56</v>
      </c>
      <c r="R335" s="5">
        <v>37.04</v>
      </c>
      <c r="S335" s="4" t="s">
        <v>64</v>
      </c>
      <c r="T335" s="4" t="s">
        <v>144</v>
      </c>
      <c r="U335" s="4" t="s">
        <v>66</v>
      </c>
      <c r="V335" s="4" t="s">
        <v>1116</v>
      </c>
      <c r="W335" s="5">
        <v>0</v>
      </c>
    </row>
    <row r="336" spans="1:23" x14ac:dyDescent="0.3">
      <c r="A336" s="2" t="s">
        <v>2290</v>
      </c>
      <c r="B336" s="2" t="s">
        <v>80</v>
      </c>
      <c r="C336" s="2" t="s">
        <v>2291</v>
      </c>
      <c r="D336" s="2" t="s">
        <v>2292</v>
      </c>
      <c r="E336" s="2" t="s">
        <v>2293</v>
      </c>
      <c r="F336" s="2" t="s">
        <v>2294</v>
      </c>
      <c r="G336" s="2" t="s">
        <v>291</v>
      </c>
      <c r="H336" s="2" t="s">
        <v>292</v>
      </c>
      <c r="I336" s="2" t="s">
        <v>31</v>
      </c>
      <c r="J336" s="2" t="s">
        <v>2295</v>
      </c>
      <c r="K336" s="2" t="s">
        <v>209</v>
      </c>
      <c r="L336" s="2">
        <v>2</v>
      </c>
      <c r="M336" s="3">
        <v>128.96</v>
      </c>
      <c r="N336" s="2" t="s">
        <v>49</v>
      </c>
      <c r="O336" s="3">
        <v>19.34</v>
      </c>
      <c r="P336" s="3">
        <v>0</v>
      </c>
      <c r="Q336" s="3">
        <v>10.96</v>
      </c>
      <c r="R336" s="3">
        <v>120.58</v>
      </c>
      <c r="S336" s="2" t="s">
        <v>79</v>
      </c>
      <c r="T336" s="2" t="s">
        <v>144</v>
      </c>
      <c r="U336" s="2" t="s">
        <v>51</v>
      </c>
      <c r="V336" s="2" t="s">
        <v>2296</v>
      </c>
      <c r="W336" s="3">
        <v>0</v>
      </c>
    </row>
    <row r="337" spans="1:23" x14ac:dyDescent="0.3">
      <c r="A337" s="4" t="s">
        <v>2297</v>
      </c>
      <c r="B337" s="4" t="s">
        <v>1296</v>
      </c>
      <c r="C337" s="4" t="s">
        <v>2298</v>
      </c>
      <c r="D337" s="4" t="s">
        <v>2299</v>
      </c>
      <c r="E337" s="4" t="s">
        <v>2300</v>
      </c>
      <c r="F337" s="4" t="s">
        <v>2301</v>
      </c>
      <c r="G337" s="4" t="s">
        <v>171</v>
      </c>
      <c r="H337" s="4" t="s">
        <v>88</v>
      </c>
      <c r="I337" s="4" t="s">
        <v>31</v>
      </c>
      <c r="J337" s="4" t="s">
        <v>444</v>
      </c>
      <c r="K337" s="4" t="s">
        <v>48</v>
      </c>
      <c r="L337" s="4">
        <v>1</v>
      </c>
      <c r="M337" s="5">
        <v>64.989999999999995</v>
      </c>
      <c r="N337" s="4" t="s">
        <v>163</v>
      </c>
      <c r="O337" s="5">
        <v>13</v>
      </c>
      <c r="P337" s="5">
        <v>4.99</v>
      </c>
      <c r="Q337" s="5">
        <v>4.42</v>
      </c>
      <c r="R337" s="5">
        <v>61.4</v>
      </c>
      <c r="S337" s="4" t="s">
        <v>437</v>
      </c>
      <c r="T337" s="4" t="s">
        <v>99</v>
      </c>
      <c r="U337" s="4" t="s">
        <v>317</v>
      </c>
      <c r="V337" s="4"/>
      <c r="W337" s="5">
        <v>0</v>
      </c>
    </row>
    <row r="338" spans="1:23" x14ac:dyDescent="0.3">
      <c r="A338" s="2" t="s">
        <v>2302</v>
      </c>
      <c r="B338" s="2" t="s">
        <v>2303</v>
      </c>
      <c r="C338" s="2" t="s">
        <v>2304</v>
      </c>
      <c r="D338" s="2" t="s">
        <v>2305</v>
      </c>
      <c r="E338" s="2" t="s">
        <v>2306</v>
      </c>
      <c r="F338" s="2" t="s">
        <v>2307</v>
      </c>
      <c r="G338" s="2" t="s">
        <v>428</v>
      </c>
      <c r="H338" s="2" t="s">
        <v>429</v>
      </c>
      <c r="I338" s="2" t="s">
        <v>31</v>
      </c>
      <c r="J338" s="2" t="s">
        <v>2308</v>
      </c>
      <c r="K338" s="2" t="s">
        <v>62</v>
      </c>
      <c r="L338" s="2">
        <v>2</v>
      </c>
      <c r="M338" s="3">
        <v>64.97</v>
      </c>
      <c r="N338" s="2" t="s">
        <v>34</v>
      </c>
      <c r="O338" s="3">
        <v>0</v>
      </c>
      <c r="P338" s="3">
        <v>4.99</v>
      </c>
      <c r="Q338" s="3">
        <v>5.85</v>
      </c>
      <c r="R338" s="3">
        <v>75.81</v>
      </c>
      <c r="S338" s="2" t="s">
        <v>64</v>
      </c>
      <c r="T338" s="2" t="s">
        <v>183</v>
      </c>
      <c r="U338" s="2" t="s">
        <v>66</v>
      </c>
      <c r="V338" s="2" t="s">
        <v>210</v>
      </c>
      <c r="W338" s="3">
        <v>0</v>
      </c>
    </row>
    <row r="339" spans="1:23" x14ac:dyDescent="0.3">
      <c r="A339" s="4" t="s">
        <v>2309</v>
      </c>
      <c r="B339" s="4" t="s">
        <v>1502</v>
      </c>
      <c r="C339" s="4" t="s">
        <v>2310</v>
      </c>
      <c r="D339" s="4" t="s">
        <v>2311</v>
      </c>
      <c r="E339" s="4" t="s">
        <v>2312</v>
      </c>
      <c r="F339" s="4" t="s">
        <v>2313</v>
      </c>
      <c r="G339" s="4" t="s">
        <v>87</v>
      </c>
      <c r="H339" s="4" t="s">
        <v>88</v>
      </c>
      <c r="I339" s="4" t="s">
        <v>31</v>
      </c>
      <c r="J339" s="4" t="s">
        <v>2314</v>
      </c>
      <c r="K339" s="4" t="s">
        <v>33</v>
      </c>
      <c r="L339" s="4">
        <v>1</v>
      </c>
      <c r="M339" s="5">
        <v>56.97</v>
      </c>
      <c r="N339" s="4" t="s">
        <v>163</v>
      </c>
      <c r="O339" s="5">
        <v>11.39</v>
      </c>
      <c r="P339" s="5">
        <v>9.99</v>
      </c>
      <c r="Q339" s="5">
        <v>3.87</v>
      </c>
      <c r="R339" s="5">
        <v>59.44</v>
      </c>
      <c r="S339" s="4" t="s">
        <v>123</v>
      </c>
      <c r="T339" s="4" t="s">
        <v>144</v>
      </c>
      <c r="U339" s="4" t="s">
        <v>66</v>
      </c>
      <c r="V339" s="4" t="s">
        <v>550</v>
      </c>
      <c r="W339" s="5">
        <v>0</v>
      </c>
    </row>
    <row r="340" spans="1:23" x14ac:dyDescent="0.3">
      <c r="A340" s="2" t="s">
        <v>2315</v>
      </c>
      <c r="B340" s="2" t="s">
        <v>2210</v>
      </c>
      <c r="C340" s="2" t="s">
        <v>2316</v>
      </c>
      <c r="D340" s="2" t="s">
        <v>1819</v>
      </c>
      <c r="E340" s="2" t="s">
        <v>2317</v>
      </c>
      <c r="F340" s="2" t="s">
        <v>2318</v>
      </c>
      <c r="G340" s="2" t="s">
        <v>676</v>
      </c>
      <c r="H340" s="2" t="s">
        <v>677</v>
      </c>
      <c r="I340" s="2" t="s">
        <v>31</v>
      </c>
      <c r="J340" s="2" t="s">
        <v>283</v>
      </c>
      <c r="K340" s="2" t="s">
        <v>209</v>
      </c>
      <c r="L340" s="2">
        <v>1</v>
      </c>
      <c r="M340" s="3">
        <v>49.99</v>
      </c>
      <c r="N340" s="2" t="s">
        <v>34</v>
      </c>
      <c r="O340" s="3">
        <v>0</v>
      </c>
      <c r="P340" s="3">
        <v>7.99</v>
      </c>
      <c r="Q340" s="3">
        <v>4.5</v>
      </c>
      <c r="R340" s="3">
        <v>62.48</v>
      </c>
      <c r="S340" s="2" t="s">
        <v>111</v>
      </c>
      <c r="T340" s="2" t="s">
        <v>99</v>
      </c>
      <c r="U340" s="2" t="s">
        <v>100</v>
      </c>
      <c r="V340" s="2"/>
      <c r="W340" s="3">
        <v>0</v>
      </c>
    </row>
    <row r="341" spans="1:23" x14ac:dyDescent="0.3">
      <c r="A341" s="4" t="s">
        <v>2319</v>
      </c>
      <c r="B341" s="4" t="s">
        <v>1000</v>
      </c>
      <c r="C341" s="4" t="s">
        <v>2320</v>
      </c>
      <c r="D341" s="4" t="s">
        <v>665</v>
      </c>
      <c r="E341" s="4" t="s">
        <v>2321</v>
      </c>
      <c r="F341" s="4" t="s">
        <v>2322</v>
      </c>
      <c r="G341" s="4" t="s">
        <v>428</v>
      </c>
      <c r="H341" s="4" t="s">
        <v>429</v>
      </c>
      <c r="I341" s="4" t="s">
        <v>31</v>
      </c>
      <c r="J341" s="4" t="s">
        <v>2323</v>
      </c>
      <c r="K341" s="4" t="s">
        <v>62</v>
      </c>
      <c r="L341" s="4">
        <v>2</v>
      </c>
      <c r="M341" s="5">
        <v>69.98</v>
      </c>
      <c r="N341" s="4" t="s">
        <v>34</v>
      </c>
      <c r="O341" s="5">
        <v>0</v>
      </c>
      <c r="P341" s="5">
        <v>9.99</v>
      </c>
      <c r="Q341" s="5">
        <v>7</v>
      </c>
      <c r="R341" s="5">
        <v>86.97</v>
      </c>
      <c r="S341" s="4" t="s">
        <v>35</v>
      </c>
      <c r="T341" s="4" t="s">
        <v>99</v>
      </c>
      <c r="U341" s="4" t="s">
        <v>66</v>
      </c>
      <c r="V341" s="4" t="s">
        <v>595</v>
      </c>
      <c r="W341" s="5">
        <v>0</v>
      </c>
    </row>
    <row r="342" spans="1:23" x14ac:dyDescent="0.3">
      <c r="A342" s="2" t="s">
        <v>2324</v>
      </c>
      <c r="B342" s="2" t="s">
        <v>2325</v>
      </c>
      <c r="C342" s="2" t="s">
        <v>2326</v>
      </c>
      <c r="D342" s="2" t="s">
        <v>1921</v>
      </c>
      <c r="E342" s="2" t="s">
        <v>2327</v>
      </c>
      <c r="F342" s="2" t="s">
        <v>2328</v>
      </c>
      <c r="G342" s="2" t="s">
        <v>107</v>
      </c>
      <c r="H342" s="2" t="s">
        <v>108</v>
      </c>
      <c r="I342" s="2" t="s">
        <v>31</v>
      </c>
      <c r="J342" s="2" t="s">
        <v>2329</v>
      </c>
      <c r="K342" s="2" t="s">
        <v>209</v>
      </c>
      <c r="L342" s="2">
        <v>3</v>
      </c>
      <c r="M342" s="3">
        <v>214.96</v>
      </c>
      <c r="N342" s="2" t="s">
        <v>34</v>
      </c>
      <c r="O342" s="3">
        <v>0</v>
      </c>
      <c r="P342" s="3">
        <v>0</v>
      </c>
      <c r="Q342" s="3">
        <v>15.05</v>
      </c>
      <c r="R342" s="3">
        <v>230.01</v>
      </c>
      <c r="S342" s="2" t="s">
        <v>332</v>
      </c>
      <c r="T342" s="2" t="s">
        <v>36</v>
      </c>
      <c r="U342" s="2" t="s">
        <v>100</v>
      </c>
      <c r="V342" s="2"/>
      <c r="W342" s="3">
        <v>0</v>
      </c>
    </row>
    <row r="343" spans="1:23" x14ac:dyDescent="0.3">
      <c r="A343" s="4" t="s">
        <v>2330</v>
      </c>
      <c r="B343" s="4" t="s">
        <v>24</v>
      </c>
      <c r="C343" s="4" t="s">
        <v>2331</v>
      </c>
      <c r="D343" s="4" t="s">
        <v>2332</v>
      </c>
      <c r="E343" s="4" t="s">
        <v>2333</v>
      </c>
      <c r="F343" s="4" t="s">
        <v>2334</v>
      </c>
      <c r="G343" s="4" t="s">
        <v>160</v>
      </c>
      <c r="H343" s="4" t="s">
        <v>161</v>
      </c>
      <c r="I343" s="4" t="s">
        <v>31</v>
      </c>
      <c r="J343" s="4" t="s">
        <v>2335</v>
      </c>
      <c r="K343" s="4" t="s">
        <v>209</v>
      </c>
      <c r="L343" s="4">
        <v>2</v>
      </c>
      <c r="M343" s="5">
        <v>309.97000000000003</v>
      </c>
      <c r="N343" s="4" t="s">
        <v>34</v>
      </c>
      <c r="O343" s="5">
        <v>0</v>
      </c>
      <c r="P343" s="5">
        <v>0</v>
      </c>
      <c r="Q343" s="5">
        <v>31</v>
      </c>
      <c r="R343" s="5">
        <v>340.97</v>
      </c>
      <c r="S343" s="4" t="s">
        <v>64</v>
      </c>
      <c r="T343" s="4" t="s">
        <v>99</v>
      </c>
      <c r="U343" s="4" t="s">
        <v>66</v>
      </c>
      <c r="V343" s="4" t="s">
        <v>2149</v>
      </c>
      <c r="W343" s="5">
        <v>0</v>
      </c>
    </row>
    <row r="344" spans="1:23" x14ac:dyDescent="0.3">
      <c r="A344" s="2" t="s">
        <v>2336</v>
      </c>
      <c r="B344" s="2" t="s">
        <v>1151</v>
      </c>
      <c r="C344" s="2" t="s">
        <v>2337</v>
      </c>
      <c r="D344" s="2" t="s">
        <v>1261</v>
      </c>
      <c r="E344" s="2" t="s">
        <v>2338</v>
      </c>
      <c r="F344" s="2" t="s">
        <v>2339</v>
      </c>
      <c r="G344" s="2" t="s">
        <v>224</v>
      </c>
      <c r="H344" s="2" t="s">
        <v>225</v>
      </c>
      <c r="I344" s="2" t="s">
        <v>31</v>
      </c>
      <c r="J344" s="2" t="s">
        <v>2340</v>
      </c>
      <c r="K344" s="2" t="s">
        <v>122</v>
      </c>
      <c r="L344" s="2">
        <v>3</v>
      </c>
      <c r="M344" s="3">
        <v>175.96</v>
      </c>
      <c r="N344" s="2" t="s">
        <v>49</v>
      </c>
      <c r="O344" s="3">
        <v>26.39</v>
      </c>
      <c r="P344" s="3">
        <v>0</v>
      </c>
      <c r="Q344" s="3">
        <v>11.97</v>
      </c>
      <c r="R344" s="3">
        <v>161.54</v>
      </c>
      <c r="S344" s="2" t="s">
        <v>35</v>
      </c>
      <c r="T344" s="2" t="s">
        <v>144</v>
      </c>
      <c r="U344" s="2" t="s">
        <v>37</v>
      </c>
      <c r="V344" s="2" t="s">
        <v>865</v>
      </c>
      <c r="W344" s="3">
        <v>161.54</v>
      </c>
    </row>
    <row r="345" spans="1:23" x14ac:dyDescent="0.3">
      <c r="A345" s="4" t="s">
        <v>2341</v>
      </c>
      <c r="B345" s="4" t="s">
        <v>309</v>
      </c>
      <c r="C345" s="4" t="s">
        <v>2342</v>
      </c>
      <c r="D345" s="4" t="s">
        <v>2343</v>
      </c>
      <c r="E345" s="4" t="s">
        <v>2344</v>
      </c>
      <c r="F345" s="4" t="s">
        <v>2345</v>
      </c>
      <c r="G345" s="4" t="s">
        <v>403</v>
      </c>
      <c r="H345" s="4" t="s">
        <v>404</v>
      </c>
      <c r="I345" s="4" t="s">
        <v>31</v>
      </c>
      <c r="J345" s="4" t="s">
        <v>577</v>
      </c>
      <c r="K345" s="4" t="s">
        <v>364</v>
      </c>
      <c r="L345" s="4">
        <v>1</v>
      </c>
      <c r="M345" s="5">
        <v>19.989999999999998</v>
      </c>
      <c r="N345" s="4" t="s">
        <v>78</v>
      </c>
      <c r="O345" s="5">
        <v>2</v>
      </c>
      <c r="P345" s="5">
        <v>5.99</v>
      </c>
      <c r="Q345" s="5">
        <v>1.53</v>
      </c>
      <c r="R345" s="5">
        <v>25.51</v>
      </c>
      <c r="S345" s="4" t="s">
        <v>35</v>
      </c>
      <c r="T345" s="4" t="s">
        <v>36</v>
      </c>
      <c r="U345" s="4" t="s">
        <v>66</v>
      </c>
      <c r="V345" s="4" t="s">
        <v>1471</v>
      </c>
      <c r="W345" s="5">
        <v>0</v>
      </c>
    </row>
    <row r="346" spans="1:23" x14ac:dyDescent="0.3">
      <c r="A346" s="2" t="s">
        <v>2346</v>
      </c>
      <c r="B346" s="2" t="s">
        <v>1830</v>
      </c>
      <c r="C346" s="2" t="s">
        <v>2347</v>
      </c>
      <c r="D346" s="2" t="s">
        <v>2348</v>
      </c>
      <c r="E346" s="2" t="s">
        <v>2349</v>
      </c>
      <c r="F346" s="2" t="s">
        <v>2350</v>
      </c>
      <c r="G346" s="2" t="s">
        <v>291</v>
      </c>
      <c r="H346" s="2" t="s">
        <v>292</v>
      </c>
      <c r="I346" s="2" t="s">
        <v>31</v>
      </c>
      <c r="J346" s="2" t="s">
        <v>2351</v>
      </c>
      <c r="K346" s="2" t="s">
        <v>209</v>
      </c>
      <c r="L346" s="2">
        <v>1</v>
      </c>
      <c r="M346" s="3">
        <v>59.98</v>
      </c>
      <c r="N346" s="2" t="s">
        <v>152</v>
      </c>
      <c r="O346" s="3">
        <v>3</v>
      </c>
      <c r="P346" s="3">
        <v>7.99</v>
      </c>
      <c r="Q346" s="3">
        <v>4.84</v>
      </c>
      <c r="R346" s="3">
        <v>69.81</v>
      </c>
      <c r="S346" s="2" t="s">
        <v>64</v>
      </c>
      <c r="T346" s="2" t="s">
        <v>183</v>
      </c>
      <c r="U346" s="2" t="s">
        <v>100</v>
      </c>
      <c r="V346" s="2"/>
      <c r="W346" s="3">
        <v>0</v>
      </c>
    </row>
    <row r="347" spans="1:23" x14ac:dyDescent="0.3">
      <c r="A347" s="4" t="s">
        <v>2352</v>
      </c>
      <c r="B347" s="4" t="s">
        <v>1207</v>
      </c>
      <c r="C347" s="4" t="s">
        <v>2353</v>
      </c>
      <c r="D347" s="4" t="s">
        <v>2354</v>
      </c>
      <c r="E347" s="4" t="s">
        <v>2355</v>
      </c>
      <c r="F347" s="4" t="s">
        <v>2356</v>
      </c>
      <c r="G347" s="4" t="s">
        <v>640</v>
      </c>
      <c r="H347" s="4" t="s">
        <v>161</v>
      </c>
      <c r="I347" s="4" t="s">
        <v>31</v>
      </c>
      <c r="J347" s="4" t="s">
        <v>1148</v>
      </c>
      <c r="K347" s="4" t="s">
        <v>33</v>
      </c>
      <c r="L347" s="4">
        <v>1</v>
      </c>
      <c r="M347" s="5">
        <v>18.989999999999998</v>
      </c>
      <c r="N347" s="4" t="s">
        <v>34</v>
      </c>
      <c r="O347" s="5">
        <v>0</v>
      </c>
      <c r="P347" s="5">
        <v>9.99</v>
      </c>
      <c r="Q347" s="5">
        <v>1.71</v>
      </c>
      <c r="R347" s="5">
        <v>30.69</v>
      </c>
      <c r="S347" s="4" t="s">
        <v>437</v>
      </c>
      <c r="T347" s="4" t="s">
        <v>36</v>
      </c>
      <c r="U347" s="4" t="s">
        <v>66</v>
      </c>
      <c r="V347" s="4" t="s">
        <v>476</v>
      </c>
      <c r="W347" s="5">
        <v>0</v>
      </c>
    </row>
    <row r="348" spans="1:23" x14ac:dyDescent="0.3">
      <c r="A348" s="2" t="s">
        <v>2357</v>
      </c>
      <c r="B348" s="2" t="s">
        <v>67</v>
      </c>
      <c r="C348" s="2" t="s">
        <v>2358</v>
      </c>
      <c r="D348" s="2" t="s">
        <v>1698</v>
      </c>
      <c r="E348" s="2" t="s">
        <v>2359</v>
      </c>
      <c r="F348" s="2" t="s">
        <v>2360</v>
      </c>
      <c r="G348" s="2" t="s">
        <v>640</v>
      </c>
      <c r="H348" s="2" t="s">
        <v>161</v>
      </c>
      <c r="I348" s="2" t="s">
        <v>31</v>
      </c>
      <c r="J348" s="2" t="s">
        <v>2361</v>
      </c>
      <c r="K348" s="2" t="s">
        <v>679</v>
      </c>
      <c r="L348" s="2">
        <v>2</v>
      </c>
      <c r="M348" s="3">
        <v>49.98</v>
      </c>
      <c r="N348" s="2" t="s">
        <v>34</v>
      </c>
      <c r="O348" s="3">
        <v>0</v>
      </c>
      <c r="P348" s="3">
        <v>5.99</v>
      </c>
      <c r="Q348" s="3">
        <v>3</v>
      </c>
      <c r="R348" s="3">
        <v>58.97</v>
      </c>
      <c r="S348" s="2" t="s">
        <v>332</v>
      </c>
      <c r="T348" s="2" t="s">
        <v>144</v>
      </c>
      <c r="U348" s="2" t="s">
        <v>100</v>
      </c>
      <c r="V348" s="2"/>
      <c r="W348" s="3">
        <v>0</v>
      </c>
    </row>
    <row r="349" spans="1:23" x14ac:dyDescent="0.3">
      <c r="A349" s="4" t="s">
        <v>2362</v>
      </c>
      <c r="B349" s="4" t="s">
        <v>256</v>
      </c>
      <c r="C349" s="4" t="s">
        <v>2363</v>
      </c>
      <c r="D349" s="4" t="s">
        <v>2364</v>
      </c>
      <c r="E349" s="4" t="s">
        <v>2365</v>
      </c>
      <c r="F349" s="4" t="s">
        <v>2366</v>
      </c>
      <c r="G349" s="4" t="s">
        <v>107</v>
      </c>
      <c r="H349" s="4" t="s">
        <v>108</v>
      </c>
      <c r="I349" s="4" t="s">
        <v>31</v>
      </c>
      <c r="J349" s="4" t="s">
        <v>2128</v>
      </c>
      <c r="K349" s="4" t="s">
        <v>110</v>
      </c>
      <c r="L349" s="4">
        <v>1</v>
      </c>
      <c r="M349" s="5">
        <v>45.98</v>
      </c>
      <c r="N349" s="4" t="s">
        <v>163</v>
      </c>
      <c r="O349" s="5">
        <v>9.1999999999999993</v>
      </c>
      <c r="P349" s="5">
        <v>4.99</v>
      </c>
      <c r="Q349" s="5">
        <v>2.21</v>
      </c>
      <c r="R349" s="5">
        <v>43.98</v>
      </c>
      <c r="S349" s="4" t="s">
        <v>332</v>
      </c>
      <c r="T349" s="4" t="s">
        <v>50</v>
      </c>
      <c r="U349" s="4" t="s">
        <v>66</v>
      </c>
      <c r="V349" s="4" t="s">
        <v>2015</v>
      </c>
      <c r="W349" s="5">
        <v>0</v>
      </c>
    </row>
    <row r="350" spans="1:23" x14ac:dyDescent="0.3">
      <c r="A350" s="2" t="s">
        <v>2367</v>
      </c>
      <c r="B350" s="2" t="s">
        <v>453</v>
      </c>
      <c r="C350" s="2" t="s">
        <v>2368</v>
      </c>
      <c r="D350" s="2" t="s">
        <v>2369</v>
      </c>
      <c r="E350" s="2" t="s">
        <v>2370</v>
      </c>
      <c r="F350" s="2" t="s">
        <v>2371</v>
      </c>
      <c r="G350" s="2" t="s">
        <v>291</v>
      </c>
      <c r="H350" s="2" t="s">
        <v>292</v>
      </c>
      <c r="I350" s="2" t="s">
        <v>31</v>
      </c>
      <c r="J350" s="2" t="s">
        <v>387</v>
      </c>
      <c r="K350" s="2" t="s">
        <v>33</v>
      </c>
      <c r="L350" s="2">
        <v>1</v>
      </c>
      <c r="M350" s="3">
        <v>35.99</v>
      </c>
      <c r="N350" s="2" t="s">
        <v>78</v>
      </c>
      <c r="O350" s="3">
        <v>3.6</v>
      </c>
      <c r="P350" s="3">
        <v>5.99</v>
      </c>
      <c r="Q350" s="3">
        <v>1.94</v>
      </c>
      <c r="R350" s="3">
        <v>40.32</v>
      </c>
      <c r="S350" s="2" t="s">
        <v>35</v>
      </c>
      <c r="T350" s="2" t="s">
        <v>99</v>
      </c>
      <c r="U350" s="2" t="s">
        <v>317</v>
      </c>
      <c r="V350" s="2"/>
      <c r="W350" s="3">
        <v>0</v>
      </c>
    </row>
    <row r="351" spans="1:23" x14ac:dyDescent="0.3">
      <c r="A351" s="4" t="s">
        <v>2372</v>
      </c>
      <c r="B351" s="4" t="s">
        <v>1149</v>
      </c>
      <c r="C351" s="4" t="s">
        <v>2373</v>
      </c>
      <c r="D351" s="4" t="s">
        <v>2374</v>
      </c>
      <c r="E351" s="4" t="s">
        <v>2375</v>
      </c>
      <c r="F351" s="4" t="s">
        <v>2376</v>
      </c>
      <c r="G351" s="4" t="s">
        <v>676</v>
      </c>
      <c r="H351" s="4" t="s">
        <v>677</v>
      </c>
      <c r="I351" s="4" t="s">
        <v>31</v>
      </c>
      <c r="J351" s="4" t="s">
        <v>61</v>
      </c>
      <c r="K351" s="4" t="s">
        <v>62</v>
      </c>
      <c r="L351" s="4">
        <v>1</v>
      </c>
      <c r="M351" s="5">
        <v>24.99</v>
      </c>
      <c r="N351" s="4" t="s">
        <v>34</v>
      </c>
      <c r="O351" s="5">
        <v>0</v>
      </c>
      <c r="P351" s="5">
        <v>9.99</v>
      </c>
      <c r="Q351" s="5">
        <v>2</v>
      </c>
      <c r="R351" s="5">
        <v>36.979999999999997</v>
      </c>
      <c r="S351" s="4" t="s">
        <v>35</v>
      </c>
      <c r="T351" s="4" t="s">
        <v>144</v>
      </c>
      <c r="U351" s="4" t="s">
        <v>51</v>
      </c>
      <c r="V351" s="4" t="s">
        <v>261</v>
      </c>
      <c r="W351" s="5">
        <v>0</v>
      </c>
    </row>
    <row r="352" spans="1:23" x14ac:dyDescent="0.3">
      <c r="A352" s="2" t="s">
        <v>2377</v>
      </c>
      <c r="B352" s="2" t="s">
        <v>1070</v>
      </c>
      <c r="C352" s="2" t="s">
        <v>2378</v>
      </c>
      <c r="D352" s="2" t="s">
        <v>1025</v>
      </c>
      <c r="E352" s="2" t="s">
        <v>2379</v>
      </c>
      <c r="F352" s="2" t="s">
        <v>2380</v>
      </c>
      <c r="G352" s="2" t="s">
        <v>1730</v>
      </c>
      <c r="H352" s="2" t="s">
        <v>161</v>
      </c>
      <c r="I352" s="2" t="s">
        <v>31</v>
      </c>
      <c r="J352" s="2" t="s">
        <v>2381</v>
      </c>
      <c r="K352" s="2" t="s">
        <v>364</v>
      </c>
      <c r="L352" s="2">
        <v>2</v>
      </c>
      <c r="M352" s="3">
        <v>114.97</v>
      </c>
      <c r="N352" s="2" t="s">
        <v>78</v>
      </c>
      <c r="O352" s="3">
        <v>11.5</v>
      </c>
      <c r="P352" s="3">
        <v>0</v>
      </c>
      <c r="Q352" s="3">
        <v>9.31</v>
      </c>
      <c r="R352" s="3">
        <v>112.78</v>
      </c>
      <c r="S352" s="2" t="s">
        <v>35</v>
      </c>
      <c r="T352" s="2" t="s">
        <v>183</v>
      </c>
      <c r="U352" s="2" t="s">
        <v>66</v>
      </c>
      <c r="V352" s="2" t="s">
        <v>406</v>
      </c>
      <c r="W352" s="3">
        <v>0</v>
      </c>
    </row>
    <row r="353" spans="1:23" x14ac:dyDescent="0.3">
      <c r="A353" s="4" t="s">
        <v>2382</v>
      </c>
      <c r="B353" s="4" t="s">
        <v>372</v>
      </c>
      <c r="C353" s="4" t="s">
        <v>2383</v>
      </c>
      <c r="D353" s="4" t="s">
        <v>2384</v>
      </c>
      <c r="E353" s="4" t="s">
        <v>2385</v>
      </c>
      <c r="F353" s="4" t="s">
        <v>2386</v>
      </c>
      <c r="G353" s="4" t="s">
        <v>74</v>
      </c>
      <c r="H353" s="4" t="s">
        <v>75</v>
      </c>
      <c r="I353" s="4" t="s">
        <v>31</v>
      </c>
      <c r="J353" s="4" t="s">
        <v>2387</v>
      </c>
      <c r="K353" s="4" t="s">
        <v>48</v>
      </c>
      <c r="L353" s="4">
        <v>2</v>
      </c>
      <c r="M353" s="5">
        <v>94.97</v>
      </c>
      <c r="N353" s="4" t="s">
        <v>34</v>
      </c>
      <c r="O353" s="5">
        <v>0</v>
      </c>
      <c r="P353" s="5">
        <v>0</v>
      </c>
      <c r="Q353" s="5">
        <v>6.65</v>
      </c>
      <c r="R353" s="5">
        <v>101.62</v>
      </c>
      <c r="S353" s="4" t="s">
        <v>35</v>
      </c>
      <c r="T353" s="4" t="s">
        <v>36</v>
      </c>
      <c r="U353" s="4" t="s">
        <v>66</v>
      </c>
      <c r="V353" s="4" t="s">
        <v>1469</v>
      </c>
      <c r="W353" s="5">
        <v>0</v>
      </c>
    </row>
    <row r="354" spans="1:23" x14ac:dyDescent="0.3">
      <c r="A354" s="2" t="s">
        <v>2388</v>
      </c>
      <c r="B354" s="2" t="s">
        <v>1095</v>
      </c>
      <c r="C354" s="2" t="s">
        <v>2389</v>
      </c>
      <c r="D354" s="2" t="s">
        <v>2390</v>
      </c>
      <c r="E354" s="2" t="s">
        <v>2391</v>
      </c>
      <c r="F354" s="2" t="s">
        <v>2392</v>
      </c>
      <c r="G354" s="2" t="s">
        <v>29</v>
      </c>
      <c r="H354" s="2" t="s">
        <v>30</v>
      </c>
      <c r="I354" s="2" t="s">
        <v>31</v>
      </c>
      <c r="J354" s="2" t="s">
        <v>2393</v>
      </c>
      <c r="K354" s="2" t="s">
        <v>48</v>
      </c>
      <c r="L354" s="2">
        <v>2</v>
      </c>
      <c r="M354" s="3">
        <v>104.97</v>
      </c>
      <c r="N354" s="2" t="s">
        <v>34</v>
      </c>
      <c r="O354" s="3">
        <v>0</v>
      </c>
      <c r="P354" s="3">
        <v>0</v>
      </c>
      <c r="Q354" s="3">
        <v>6.3</v>
      </c>
      <c r="R354" s="3">
        <v>111.27</v>
      </c>
      <c r="S354" s="2" t="s">
        <v>64</v>
      </c>
      <c r="T354" s="2" t="s">
        <v>99</v>
      </c>
      <c r="U354" s="2" t="s">
        <v>317</v>
      </c>
      <c r="V354" s="2"/>
      <c r="W354" s="3">
        <v>0</v>
      </c>
    </row>
    <row r="355" spans="1:23" x14ac:dyDescent="0.3">
      <c r="A355" s="4" t="s">
        <v>2394</v>
      </c>
      <c r="B355" s="4" t="s">
        <v>1805</v>
      </c>
      <c r="C355" s="4" t="s">
        <v>2395</v>
      </c>
      <c r="D355" s="4" t="s">
        <v>2396</v>
      </c>
      <c r="E355" s="4" t="s">
        <v>2397</v>
      </c>
      <c r="F355" s="4" t="s">
        <v>2398</v>
      </c>
      <c r="G355" s="4" t="s">
        <v>107</v>
      </c>
      <c r="H355" s="4" t="s">
        <v>108</v>
      </c>
      <c r="I355" s="4" t="s">
        <v>31</v>
      </c>
      <c r="J355" s="4" t="s">
        <v>1148</v>
      </c>
      <c r="K355" s="4" t="s">
        <v>33</v>
      </c>
      <c r="L355" s="4">
        <v>1</v>
      </c>
      <c r="M355" s="5">
        <v>18.989999999999998</v>
      </c>
      <c r="N355" s="4" t="s">
        <v>152</v>
      </c>
      <c r="O355" s="5">
        <v>0.95</v>
      </c>
      <c r="P355" s="5">
        <v>4.99</v>
      </c>
      <c r="Q355" s="5">
        <v>1.53</v>
      </c>
      <c r="R355" s="5">
        <v>24.56</v>
      </c>
      <c r="S355" s="4" t="s">
        <v>123</v>
      </c>
      <c r="T355" s="4" t="s">
        <v>99</v>
      </c>
      <c r="U355" s="4" t="s">
        <v>317</v>
      </c>
      <c r="V355" s="4"/>
      <c r="W355" s="5">
        <v>0</v>
      </c>
    </row>
    <row r="356" spans="1:23" x14ac:dyDescent="0.3">
      <c r="A356" s="2" t="s">
        <v>2399</v>
      </c>
      <c r="B356" s="2" t="s">
        <v>1252</v>
      </c>
      <c r="C356" s="2" t="s">
        <v>2400</v>
      </c>
      <c r="D356" s="2" t="s">
        <v>2401</v>
      </c>
      <c r="E356" s="2" t="s">
        <v>2402</v>
      </c>
      <c r="F356" s="2" t="s">
        <v>2403</v>
      </c>
      <c r="G356" s="2" t="s">
        <v>74</v>
      </c>
      <c r="H356" s="2" t="s">
        <v>75</v>
      </c>
      <c r="I356" s="2" t="s">
        <v>31</v>
      </c>
      <c r="J356" s="2" t="s">
        <v>2404</v>
      </c>
      <c r="K356" s="2" t="s">
        <v>143</v>
      </c>
      <c r="L356" s="2">
        <v>2</v>
      </c>
      <c r="M356" s="3">
        <v>179.97</v>
      </c>
      <c r="N356" s="2" t="s">
        <v>152</v>
      </c>
      <c r="O356" s="3">
        <v>9</v>
      </c>
      <c r="P356" s="3">
        <v>0</v>
      </c>
      <c r="Q356" s="3">
        <v>15.39</v>
      </c>
      <c r="R356" s="3">
        <v>186.36</v>
      </c>
      <c r="S356" s="2" t="s">
        <v>64</v>
      </c>
      <c r="T356" s="2" t="s">
        <v>99</v>
      </c>
      <c r="U356" s="2" t="s">
        <v>66</v>
      </c>
      <c r="V356" s="2" t="s">
        <v>1063</v>
      </c>
      <c r="W356" s="3">
        <v>0</v>
      </c>
    </row>
    <row r="357" spans="1:23" x14ac:dyDescent="0.3">
      <c r="A357" s="4" t="s">
        <v>2405</v>
      </c>
      <c r="B357" s="4" t="s">
        <v>2406</v>
      </c>
      <c r="C357" s="4" t="s">
        <v>2407</v>
      </c>
      <c r="D357" s="4" t="s">
        <v>2408</v>
      </c>
      <c r="E357" s="4" t="s">
        <v>2409</v>
      </c>
      <c r="F357" s="4" t="s">
        <v>2410</v>
      </c>
      <c r="G357" s="4" t="s">
        <v>291</v>
      </c>
      <c r="H357" s="4" t="s">
        <v>292</v>
      </c>
      <c r="I357" s="4" t="s">
        <v>31</v>
      </c>
      <c r="J357" s="4" t="s">
        <v>2411</v>
      </c>
      <c r="K357" s="4" t="s">
        <v>209</v>
      </c>
      <c r="L357" s="4">
        <v>2</v>
      </c>
      <c r="M357" s="5">
        <v>77.98</v>
      </c>
      <c r="N357" s="4" t="s">
        <v>34</v>
      </c>
      <c r="O357" s="5">
        <v>0</v>
      </c>
      <c r="P357" s="5">
        <v>0</v>
      </c>
      <c r="Q357" s="5">
        <v>7.02</v>
      </c>
      <c r="R357" s="5">
        <v>85</v>
      </c>
      <c r="S357" s="4" t="s">
        <v>64</v>
      </c>
      <c r="T357" s="4" t="s">
        <v>99</v>
      </c>
      <c r="U357" s="4" t="s">
        <v>51</v>
      </c>
      <c r="V357" s="4" t="s">
        <v>2412</v>
      </c>
      <c r="W357" s="5">
        <v>0</v>
      </c>
    </row>
    <row r="358" spans="1:23" x14ac:dyDescent="0.3">
      <c r="A358" s="2" t="s">
        <v>2413</v>
      </c>
      <c r="B358" s="2" t="s">
        <v>1596</v>
      </c>
      <c r="C358" s="2" t="s">
        <v>2414</v>
      </c>
      <c r="D358" s="2" t="s">
        <v>2415</v>
      </c>
      <c r="E358" s="2" t="s">
        <v>2416</v>
      </c>
      <c r="F358" s="2" t="s">
        <v>2417</v>
      </c>
      <c r="G358" s="2" t="s">
        <v>347</v>
      </c>
      <c r="H358" s="2" t="s">
        <v>60</v>
      </c>
      <c r="I358" s="2" t="s">
        <v>31</v>
      </c>
      <c r="J358" s="2" t="s">
        <v>632</v>
      </c>
      <c r="K358" s="2" t="s">
        <v>33</v>
      </c>
      <c r="L358" s="2">
        <v>1</v>
      </c>
      <c r="M358" s="3">
        <v>49.99</v>
      </c>
      <c r="N358" s="2" t="s">
        <v>34</v>
      </c>
      <c r="O358" s="3">
        <v>0</v>
      </c>
      <c r="P358" s="3">
        <v>4.99</v>
      </c>
      <c r="Q358" s="3">
        <v>4</v>
      </c>
      <c r="R358" s="3">
        <v>58.98</v>
      </c>
      <c r="S358" s="2" t="s">
        <v>35</v>
      </c>
      <c r="T358" s="2" t="s">
        <v>173</v>
      </c>
      <c r="U358" s="2" t="s">
        <v>37</v>
      </c>
      <c r="V358" s="2" t="s">
        <v>797</v>
      </c>
      <c r="W358" s="3">
        <v>58.98</v>
      </c>
    </row>
    <row r="359" spans="1:23" x14ac:dyDescent="0.3">
      <c r="A359" s="4" t="s">
        <v>2418</v>
      </c>
      <c r="B359" s="4" t="s">
        <v>2004</v>
      </c>
      <c r="C359" s="4" t="s">
        <v>2419</v>
      </c>
      <c r="D359" s="4" t="s">
        <v>2212</v>
      </c>
      <c r="E359" s="4" t="s">
        <v>2420</v>
      </c>
      <c r="F359" s="4" t="s">
        <v>2421</v>
      </c>
      <c r="G359" s="4" t="s">
        <v>45</v>
      </c>
      <c r="H359" s="4" t="s">
        <v>46</v>
      </c>
      <c r="I359" s="4" t="s">
        <v>31</v>
      </c>
      <c r="J359" s="4" t="s">
        <v>2422</v>
      </c>
      <c r="K359" s="4" t="s">
        <v>48</v>
      </c>
      <c r="L359" s="4">
        <v>4</v>
      </c>
      <c r="M359" s="5">
        <v>285.94</v>
      </c>
      <c r="N359" s="4" t="s">
        <v>78</v>
      </c>
      <c r="O359" s="5">
        <v>28.59</v>
      </c>
      <c r="P359" s="5">
        <v>0</v>
      </c>
      <c r="Q359" s="5">
        <v>15.44</v>
      </c>
      <c r="R359" s="5">
        <v>272.79000000000002</v>
      </c>
      <c r="S359" s="4" t="s">
        <v>35</v>
      </c>
      <c r="T359" s="4" t="s">
        <v>99</v>
      </c>
      <c r="U359" s="4" t="s">
        <v>66</v>
      </c>
      <c r="V359" s="4" t="s">
        <v>1865</v>
      </c>
      <c r="W359" s="5">
        <v>0</v>
      </c>
    </row>
    <row r="360" spans="1:23" x14ac:dyDescent="0.3">
      <c r="A360" s="2" t="s">
        <v>2423</v>
      </c>
      <c r="B360" s="2" t="s">
        <v>155</v>
      </c>
      <c r="C360" s="2" t="s">
        <v>2424</v>
      </c>
      <c r="D360" s="2" t="s">
        <v>2425</v>
      </c>
      <c r="E360" s="2" t="s">
        <v>2426</v>
      </c>
      <c r="F360" s="2" t="s">
        <v>2427</v>
      </c>
      <c r="G360" s="2" t="s">
        <v>190</v>
      </c>
      <c r="H360" s="2" t="s">
        <v>161</v>
      </c>
      <c r="I360" s="2" t="s">
        <v>31</v>
      </c>
      <c r="J360" s="2" t="s">
        <v>2428</v>
      </c>
      <c r="K360" s="2" t="s">
        <v>364</v>
      </c>
      <c r="L360" s="2">
        <v>2</v>
      </c>
      <c r="M360" s="3">
        <v>54.97</v>
      </c>
      <c r="N360" s="2" t="s">
        <v>34</v>
      </c>
      <c r="O360" s="3">
        <v>0</v>
      </c>
      <c r="P360" s="3">
        <v>4.99</v>
      </c>
      <c r="Q360" s="3">
        <v>3.3</v>
      </c>
      <c r="R360" s="3">
        <v>63.26</v>
      </c>
      <c r="S360" s="2" t="s">
        <v>111</v>
      </c>
      <c r="T360" s="2" t="s">
        <v>99</v>
      </c>
      <c r="U360" s="2" t="s">
        <v>37</v>
      </c>
      <c r="V360" s="2" t="s">
        <v>24</v>
      </c>
      <c r="W360" s="3">
        <v>63.26</v>
      </c>
    </row>
    <row r="361" spans="1:23" x14ac:dyDescent="0.3">
      <c r="A361" s="4" t="s">
        <v>2429</v>
      </c>
      <c r="B361" s="4" t="s">
        <v>261</v>
      </c>
      <c r="C361" s="4" t="s">
        <v>2430</v>
      </c>
      <c r="D361" s="4" t="s">
        <v>2431</v>
      </c>
      <c r="E361" s="4" t="s">
        <v>2432</v>
      </c>
      <c r="F361" s="4" t="s">
        <v>2433</v>
      </c>
      <c r="G361" s="4" t="s">
        <v>676</v>
      </c>
      <c r="H361" s="4" t="s">
        <v>677</v>
      </c>
      <c r="I361" s="4" t="s">
        <v>31</v>
      </c>
      <c r="J361" s="4" t="s">
        <v>2434</v>
      </c>
      <c r="K361" s="4" t="s">
        <v>110</v>
      </c>
      <c r="L361" s="4">
        <v>2</v>
      </c>
      <c r="M361" s="5">
        <v>199.97</v>
      </c>
      <c r="N361" s="4" t="s">
        <v>78</v>
      </c>
      <c r="O361" s="5">
        <v>20</v>
      </c>
      <c r="P361" s="5">
        <v>0</v>
      </c>
      <c r="Q361" s="5">
        <v>12.6</v>
      </c>
      <c r="R361" s="5">
        <v>192.57</v>
      </c>
      <c r="S361" s="4" t="s">
        <v>123</v>
      </c>
      <c r="T361" s="4" t="s">
        <v>325</v>
      </c>
      <c r="U361" s="4" t="s">
        <v>66</v>
      </c>
      <c r="V361" s="4" t="s">
        <v>2435</v>
      </c>
      <c r="W361" s="5">
        <v>0</v>
      </c>
    </row>
    <row r="362" spans="1:23" x14ac:dyDescent="0.3">
      <c r="A362" s="2" t="s">
        <v>2436</v>
      </c>
      <c r="B362" s="2" t="s">
        <v>663</v>
      </c>
      <c r="C362" s="2" t="s">
        <v>2437</v>
      </c>
      <c r="D362" s="2" t="s">
        <v>2438</v>
      </c>
      <c r="E362" s="2" t="s">
        <v>2439</v>
      </c>
      <c r="F362" s="2" t="s">
        <v>2440</v>
      </c>
      <c r="G362" s="2" t="s">
        <v>207</v>
      </c>
      <c r="H362" s="2" t="s">
        <v>141</v>
      </c>
      <c r="I362" s="2" t="s">
        <v>31</v>
      </c>
      <c r="J362" s="2" t="s">
        <v>2441</v>
      </c>
      <c r="K362" s="2" t="s">
        <v>33</v>
      </c>
      <c r="L362" s="2">
        <v>3</v>
      </c>
      <c r="M362" s="3">
        <v>117.96</v>
      </c>
      <c r="N362" s="2" t="s">
        <v>78</v>
      </c>
      <c r="O362" s="3">
        <v>11.8</v>
      </c>
      <c r="P362" s="3">
        <v>0</v>
      </c>
      <c r="Q362" s="3">
        <v>9.5500000000000007</v>
      </c>
      <c r="R362" s="3">
        <v>115.71</v>
      </c>
      <c r="S362" s="2" t="s">
        <v>35</v>
      </c>
      <c r="T362" s="2" t="s">
        <v>99</v>
      </c>
      <c r="U362" s="2" t="s">
        <v>66</v>
      </c>
      <c r="V362" s="2" t="s">
        <v>2096</v>
      </c>
      <c r="W362" s="3">
        <v>0</v>
      </c>
    </row>
    <row r="363" spans="1:23" x14ac:dyDescent="0.3">
      <c r="A363" s="4" t="s">
        <v>2442</v>
      </c>
      <c r="B363" s="4" t="s">
        <v>849</v>
      </c>
      <c r="C363" s="4" t="s">
        <v>2443</v>
      </c>
      <c r="D363" s="4" t="s">
        <v>840</v>
      </c>
      <c r="E363" s="4" t="s">
        <v>2444</v>
      </c>
      <c r="F363" s="4" t="s">
        <v>2445</v>
      </c>
      <c r="G363" s="4" t="s">
        <v>140</v>
      </c>
      <c r="H363" s="4" t="s">
        <v>141</v>
      </c>
      <c r="I363" s="4" t="s">
        <v>31</v>
      </c>
      <c r="J363" s="4" t="s">
        <v>2446</v>
      </c>
      <c r="K363" s="4" t="s">
        <v>209</v>
      </c>
      <c r="L363" s="4">
        <v>2</v>
      </c>
      <c r="M363" s="5">
        <v>114.96</v>
      </c>
      <c r="N363" s="4" t="s">
        <v>34</v>
      </c>
      <c r="O363" s="5">
        <v>0</v>
      </c>
      <c r="P363" s="5">
        <v>0</v>
      </c>
      <c r="Q363" s="5">
        <v>9.77</v>
      </c>
      <c r="R363" s="5">
        <v>124.73</v>
      </c>
      <c r="S363" s="4" t="s">
        <v>79</v>
      </c>
      <c r="T363" s="4" t="s">
        <v>99</v>
      </c>
      <c r="U363" s="4" t="s">
        <v>37</v>
      </c>
      <c r="V363" s="4" t="s">
        <v>663</v>
      </c>
      <c r="W363" s="5">
        <v>124.73</v>
      </c>
    </row>
    <row r="364" spans="1:23" x14ac:dyDescent="0.3">
      <c r="A364" s="2" t="s">
        <v>2447</v>
      </c>
      <c r="B364" s="2" t="s">
        <v>124</v>
      </c>
      <c r="C364" s="2" t="s">
        <v>2448</v>
      </c>
      <c r="D364" s="2" t="s">
        <v>2449</v>
      </c>
      <c r="E364" s="2" t="s">
        <v>2450</v>
      </c>
      <c r="F364" s="2" t="s">
        <v>2451</v>
      </c>
      <c r="G364" s="2" t="s">
        <v>347</v>
      </c>
      <c r="H364" s="2" t="s">
        <v>60</v>
      </c>
      <c r="I364" s="2" t="s">
        <v>31</v>
      </c>
      <c r="J364" s="2" t="s">
        <v>2452</v>
      </c>
      <c r="K364" s="2" t="s">
        <v>679</v>
      </c>
      <c r="L364" s="2">
        <v>4</v>
      </c>
      <c r="M364" s="3">
        <v>138.94</v>
      </c>
      <c r="N364" s="2" t="s">
        <v>78</v>
      </c>
      <c r="O364" s="3">
        <v>13.89</v>
      </c>
      <c r="P364" s="3">
        <v>0</v>
      </c>
      <c r="Q364" s="3">
        <v>7.5</v>
      </c>
      <c r="R364" s="3">
        <v>132.55000000000001</v>
      </c>
      <c r="S364" s="2" t="s">
        <v>123</v>
      </c>
      <c r="T364" s="2" t="s">
        <v>183</v>
      </c>
      <c r="U364" s="2" t="s">
        <v>100</v>
      </c>
      <c r="V364" s="2"/>
      <c r="W364" s="3">
        <v>0</v>
      </c>
    </row>
    <row r="365" spans="1:23" x14ac:dyDescent="0.3">
      <c r="A365" s="4" t="s">
        <v>2453</v>
      </c>
      <c r="B365" s="4" t="s">
        <v>1201</v>
      </c>
      <c r="C365" s="4" t="s">
        <v>2454</v>
      </c>
      <c r="D365" s="4" t="s">
        <v>2455</v>
      </c>
      <c r="E365" s="4" t="s">
        <v>2456</v>
      </c>
      <c r="F365" s="4" t="s">
        <v>2457</v>
      </c>
      <c r="G365" s="4" t="s">
        <v>107</v>
      </c>
      <c r="H365" s="4" t="s">
        <v>108</v>
      </c>
      <c r="I365" s="4" t="s">
        <v>31</v>
      </c>
      <c r="J365" s="4" t="s">
        <v>2458</v>
      </c>
      <c r="K365" s="4" t="s">
        <v>122</v>
      </c>
      <c r="L365" s="4">
        <v>3</v>
      </c>
      <c r="M365" s="5">
        <v>189.97</v>
      </c>
      <c r="N365" s="4" t="s">
        <v>34</v>
      </c>
      <c r="O365" s="5">
        <v>0</v>
      </c>
      <c r="P365" s="5">
        <v>0</v>
      </c>
      <c r="Q365" s="5">
        <v>17.100000000000001</v>
      </c>
      <c r="R365" s="5">
        <v>207.07</v>
      </c>
      <c r="S365" s="4" t="s">
        <v>123</v>
      </c>
      <c r="T365" s="4" t="s">
        <v>173</v>
      </c>
      <c r="U365" s="4" t="s">
        <v>37</v>
      </c>
      <c r="V365" s="4" t="s">
        <v>1207</v>
      </c>
      <c r="W365" s="5">
        <v>207.07</v>
      </c>
    </row>
    <row r="366" spans="1:23" x14ac:dyDescent="0.3">
      <c r="A366" s="2" t="s">
        <v>2459</v>
      </c>
      <c r="B366" s="2" t="s">
        <v>1209</v>
      </c>
      <c r="C366" s="2" t="s">
        <v>2460</v>
      </c>
      <c r="D366" s="2" t="s">
        <v>2461</v>
      </c>
      <c r="E366" s="2" t="s">
        <v>2462</v>
      </c>
      <c r="F366" s="2" t="s">
        <v>2463</v>
      </c>
      <c r="G366" s="2" t="s">
        <v>394</v>
      </c>
      <c r="H366" s="2" t="s">
        <v>395</v>
      </c>
      <c r="I366" s="2" t="s">
        <v>31</v>
      </c>
      <c r="J366" s="2" t="s">
        <v>2464</v>
      </c>
      <c r="K366" s="2" t="s">
        <v>77</v>
      </c>
      <c r="L366" s="2">
        <v>1</v>
      </c>
      <c r="M366" s="3">
        <v>104.97</v>
      </c>
      <c r="N366" s="2" t="s">
        <v>63</v>
      </c>
      <c r="O366" s="3">
        <v>26.24</v>
      </c>
      <c r="P366" s="3">
        <v>0</v>
      </c>
      <c r="Q366" s="3">
        <v>4.72</v>
      </c>
      <c r="R366" s="3">
        <v>83.45</v>
      </c>
      <c r="S366" s="2" t="s">
        <v>35</v>
      </c>
      <c r="T366" s="2" t="s">
        <v>65</v>
      </c>
      <c r="U366" s="2" t="s">
        <v>317</v>
      </c>
      <c r="V366" s="2"/>
      <c r="W366" s="3">
        <v>0</v>
      </c>
    </row>
    <row r="367" spans="1:23" x14ac:dyDescent="0.3">
      <c r="A367" s="4" t="s">
        <v>2465</v>
      </c>
      <c r="B367" s="4" t="s">
        <v>831</v>
      </c>
      <c r="C367" s="4" t="s">
        <v>2466</v>
      </c>
      <c r="D367" s="4" t="s">
        <v>2467</v>
      </c>
      <c r="E367" s="4" t="s">
        <v>2468</v>
      </c>
      <c r="F367" s="4" t="s">
        <v>2469</v>
      </c>
      <c r="G367" s="4" t="s">
        <v>140</v>
      </c>
      <c r="H367" s="4" t="s">
        <v>141</v>
      </c>
      <c r="I367" s="4" t="s">
        <v>31</v>
      </c>
      <c r="J367" s="4" t="s">
        <v>2470</v>
      </c>
      <c r="K367" s="4" t="s">
        <v>62</v>
      </c>
      <c r="L367" s="4">
        <v>2</v>
      </c>
      <c r="M367" s="5">
        <v>244.96</v>
      </c>
      <c r="N367" s="4" t="s">
        <v>152</v>
      </c>
      <c r="O367" s="5">
        <v>12.25</v>
      </c>
      <c r="P367" s="5">
        <v>0</v>
      </c>
      <c r="Q367" s="5">
        <v>19.78</v>
      </c>
      <c r="R367" s="5">
        <v>252.49</v>
      </c>
      <c r="S367" s="4" t="s">
        <v>35</v>
      </c>
      <c r="T367" s="4" t="s">
        <v>173</v>
      </c>
      <c r="U367" s="4" t="s">
        <v>66</v>
      </c>
      <c r="V367" s="4" t="s">
        <v>595</v>
      </c>
      <c r="W367" s="5">
        <v>0</v>
      </c>
    </row>
    <row r="368" spans="1:23" x14ac:dyDescent="0.3">
      <c r="A368" s="2" t="s">
        <v>2471</v>
      </c>
      <c r="B368" s="2" t="s">
        <v>374</v>
      </c>
      <c r="C368" s="2" t="s">
        <v>2472</v>
      </c>
      <c r="D368" s="2" t="s">
        <v>2473</v>
      </c>
      <c r="E368" s="2" t="s">
        <v>2474</v>
      </c>
      <c r="F368" s="2" t="s">
        <v>2475</v>
      </c>
      <c r="G368" s="2" t="s">
        <v>1183</v>
      </c>
      <c r="H368" s="2" t="s">
        <v>88</v>
      </c>
      <c r="I368" s="2" t="s">
        <v>31</v>
      </c>
      <c r="J368" s="2" t="s">
        <v>444</v>
      </c>
      <c r="K368" s="2" t="s">
        <v>48</v>
      </c>
      <c r="L368" s="2">
        <v>1</v>
      </c>
      <c r="M368" s="3">
        <v>64.989999999999995</v>
      </c>
      <c r="N368" s="2" t="s">
        <v>152</v>
      </c>
      <c r="O368" s="3">
        <v>3.25</v>
      </c>
      <c r="P368" s="3">
        <v>7.99</v>
      </c>
      <c r="Q368" s="3">
        <v>5.25</v>
      </c>
      <c r="R368" s="3">
        <v>74.98</v>
      </c>
      <c r="S368" s="2" t="s">
        <v>64</v>
      </c>
      <c r="T368" s="2" t="s">
        <v>173</v>
      </c>
      <c r="U368" s="2" t="s">
        <v>66</v>
      </c>
      <c r="V368" s="2" t="s">
        <v>585</v>
      </c>
      <c r="W368" s="3">
        <v>0</v>
      </c>
    </row>
    <row r="369" spans="1:23" x14ac:dyDescent="0.3">
      <c r="A369" s="4" t="s">
        <v>2476</v>
      </c>
      <c r="B369" s="4" t="s">
        <v>585</v>
      </c>
      <c r="C369" s="4" t="s">
        <v>2477</v>
      </c>
      <c r="D369" s="4" t="s">
        <v>1819</v>
      </c>
      <c r="E369" s="4" t="s">
        <v>2478</v>
      </c>
      <c r="F369" s="4" t="s">
        <v>2479</v>
      </c>
      <c r="G369" s="4" t="s">
        <v>107</v>
      </c>
      <c r="H369" s="4" t="s">
        <v>108</v>
      </c>
      <c r="I369" s="4" t="s">
        <v>31</v>
      </c>
      <c r="J369" s="4" t="s">
        <v>2480</v>
      </c>
      <c r="K369" s="4" t="s">
        <v>110</v>
      </c>
      <c r="L369" s="4">
        <v>4</v>
      </c>
      <c r="M369" s="5">
        <v>435.93</v>
      </c>
      <c r="N369" s="4" t="s">
        <v>78</v>
      </c>
      <c r="O369" s="5">
        <v>43.59</v>
      </c>
      <c r="P369" s="5">
        <v>0</v>
      </c>
      <c r="Q369" s="5">
        <v>35.31</v>
      </c>
      <c r="R369" s="5">
        <v>427.65</v>
      </c>
      <c r="S369" s="4" t="s">
        <v>123</v>
      </c>
      <c r="T369" s="4" t="s">
        <v>173</v>
      </c>
      <c r="U369" s="4" t="s">
        <v>66</v>
      </c>
      <c r="V369" s="4" t="s">
        <v>2481</v>
      </c>
      <c r="W369" s="5">
        <v>0</v>
      </c>
    </row>
    <row r="370" spans="1:23" x14ac:dyDescent="0.3">
      <c r="A370" s="2" t="s">
        <v>2482</v>
      </c>
      <c r="B370" s="2" t="s">
        <v>992</v>
      </c>
      <c r="C370" s="2" t="s">
        <v>2483</v>
      </c>
      <c r="D370" s="2" t="s">
        <v>785</v>
      </c>
      <c r="E370" s="2" t="s">
        <v>2484</v>
      </c>
      <c r="F370" s="2" t="s">
        <v>2485</v>
      </c>
      <c r="G370" s="2" t="s">
        <v>29</v>
      </c>
      <c r="H370" s="2" t="s">
        <v>30</v>
      </c>
      <c r="I370" s="2" t="s">
        <v>31</v>
      </c>
      <c r="J370" s="2" t="s">
        <v>283</v>
      </c>
      <c r="K370" s="2" t="s">
        <v>209</v>
      </c>
      <c r="L370" s="2">
        <v>1</v>
      </c>
      <c r="M370" s="3">
        <v>49.99</v>
      </c>
      <c r="N370" s="2" t="s">
        <v>163</v>
      </c>
      <c r="O370" s="3">
        <v>10</v>
      </c>
      <c r="P370" s="3">
        <v>5.99</v>
      </c>
      <c r="Q370" s="3">
        <v>3.2</v>
      </c>
      <c r="R370" s="3">
        <v>49.18</v>
      </c>
      <c r="S370" s="2" t="s">
        <v>35</v>
      </c>
      <c r="T370" s="2" t="s">
        <v>99</v>
      </c>
      <c r="U370" s="2" t="s">
        <v>317</v>
      </c>
      <c r="V370" s="2"/>
      <c r="W370" s="3">
        <v>0</v>
      </c>
    </row>
    <row r="371" spans="1:23" x14ac:dyDescent="0.3">
      <c r="A371" s="4" t="s">
        <v>2486</v>
      </c>
      <c r="B371" s="4" t="s">
        <v>1417</v>
      </c>
      <c r="C371" s="4" t="s">
        <v>2487</v>
      </c>
      <c r="D371" s="4" t="s">
        <v>2488</v>
      </c>
      <c r="E371" s="4" t="s">
        <v>2489</v>
      </c>
      <c r="F371" s="4" t="s">
        <v>2490</v>
      </c>
      <c r="G371" s="4" t="s">
        <v>640</v>
      </c>
      <c r="H371" s="4" t="s">
        <v>161</v>
      </c>
      <c r="I371" s="4" t="s">
        <v>31</v>
      </c>
      <c r="J371" s="4" t="s">
        <v>2491</v>
      </c>
      <c r="K371" s="4" t="s">
        <v>48</v>
      </c>
      <c r="L371" s="4">
        <v>2</v>
      </c>
      <c r="M371" s="5">
        <v>74.98</v>
      </c>
      <c r="N371" s="4" t="s">
        <v>78</v>
      </c>
      <c r="O371" s="5">
        <v>7.5</v>
      </c>
      <c r="P371" s="5">
        <v>7.99</v>
      </c>
      <c r="Q371" s="5">
        <v>6.75</v>
      </c>
      <c r="R371" s="5">
        <v>82.22</v>
      </c>
      <c r="S371" s="4" t="s">
        <v>332</v>
      </c>
      <c r="T371" s="4" t="s">
        <v>99</v>
      </c>
      <c r="U371" s="4" t="s">
        <v>51</v>
      </c>
      <c r="V371" s="4" t="s">
        <v>1055</v>
      </c>
      <c r="W371" s="5">
        <v>0</v>
      </c>
    </row>
    <row r="372" spans="1:23" x14ac:dyDescent="0.3">
      <c r="A372" s="2" t="s">
        <v>2492</v>
      </c>
      <c r="B372" s="2" t="s">
        <v>286</v>
      </c>
      <c r="C372" s="2" t="s">
        <v>2493</v>
      </c>
      <c r="D372" s="2" t="s">
        <v>288</v>
      </c>
      <c r="E372" s="2" t="s">
        <v>2494</v>
      </c>
      <c r="F372" s="2" t="s">
        <v>2495</v>
      </c>
      <c r="G372" s="2" t="s">
        <v>140</v>
      </c>
      <c r="H372" s="2" t="s">
        <v>141</v>
      </c>
      <c r="I372" s="2" t="s">
        <v>31</v>
      </c>
      <c r="J372" s="2" t="s">
        <v>2496</v>
      </c>
      <c r="K372" s="2" t="s">
        <v>77</v>
      </c>
      <c r="L372" s="2">
        <v>2</v>
      </c>
      <c r="M372" s="3">
        <v>74.97</v>
      </c>
      <c r="N372" s="2" t="s">
        <v>34</v>
      </c>
      <c r="O372" s="3">
        <v>0</v>
      </c>
      <c r="P372" s="3">
        <v>5.99</v>
      </c>
      <c r="Q372" s="3">
        <v>5.25</v>
      </c>
      <c r="R372" s="3">
        <v>86.21</v>
      </c>
      <c r="S372" s="2" t="s">
        <v>332</v>
      </c>
      <c r="T372" s="2" t="s">
        <v>36</v>
      </c>
      <c r="U372" s="2" t="s">
        <v>37</v>
      </c>
      <c r="V372" s="2" t="s">
        <v>1823</v>
      </c>
      <c r="W372" s="3">
        <v>86.21</v>
      </c>
    </row>
    <row r="373" spans="1:23" x14ac:dyDescent="0.3">
      <c r="A373" s="4" t="s">
        <v>2497</v>
      </c>
      <c r="B373" s="4" t="s">
        <v>1848</v>
      </c>
      <c r="C373" s="4" t="s">
        <v>2498</v>
      </c>
      <c r="D373" s="4" t="s">
        <v>2499</v>
      </c>
      <c r="E373" s="4" t="s">
        <v>2500</v>
      </c>
      <c r="F373" s="4" t="s">
        <v>2501</v>
      </c>
      <c r="G373" s="4" t="s">
        <v>207</v>
      </c>
      <c r="H373" s="4" t="s">
        <v>141</v>
      </c>
      <c r="I373" s="4" t="s">
        <v>31</v>
      </c>
      <c r="J373" s="4" t="s">
        <v>2502</v>
      </c>
      <c r="K373" s="4" t="s">
        <v>143</v>
      </c>
      <c r="L373" s="4">
        <v>4</v>
      </c>
      <c r="M373" s="5">
        <v>274.94</v>
      </c>
      <c r="N373" s="4" t="s">
        <v>78</v>
      </c>
      <c r="O373" s="5">
        <v>27.49</v>
      </c>
      <c r="P373" s="5">
        <v>0</v>
      </c>
      <c r="Q373" s="5">
        <v>17.32</v>
      </c>
      <c r="R373" s="5">
        <v>264.77</v>
      </c>
      <c r="S373" s="4" t="s">
        <v>64</v>
      </c>
      <c r="T373" s="4" t="s">
        <v>99</v>
      </c>
      <c r="U373" s="4" t="s">
        <v>66</v>
      </c>
      <c r="V373" s="4" t="s">
        <v>2503</v>
      </c>
      <c r="W373" s="5">
        <v>0</v>
      </c>
    </row>
    <row r="374" spans="1:23" x14ac:dyDescent="0.3">
      <c r="A374" s="2" t="s">
        <v>2504</v>
      </c>
      <c r="B374" s="2" t="s">
        <v>736</v>
      </c>
      <c r="C374" s="2" t="s">
        <v>2505</v>
      </c>
      <c r="D374" s="2" t="s">
        <v>1051</v>
      </c>
      <c r="E374" s="2" t="s">
        <v>2506</v>
      </c>
      <c r="F374" s="2" t="s">
        <v>2507</v>
      </c>
      <c r="G374" s="2" t="s">
        <v>140</v>
      </c>
      <c r="H374" s="2" t="s">
        <v>141</v>
      </c>
      <c r="I374" s="2" t="s">
        <v>31</v>
      </c>
      <c r="J374" s="2" t="s">
        <v>2508</v>
      </c>
      <c r="K374" s="2" t="s">
        <v>48</v>
      </c>
      <c r="L374" s="2">
        <v>1</v>
      </c>
      <c r="M374" s="3">
        <v>69.98</v>
      </c>
      <c r="N374" s="2" t="s">
        <v>34</v>
      </c>
      <c r="O374" s="3">
        <v>0</v>
      </c>
      <c r="P374" s="3">
        <v>4.99</v>
      </c>
      <c r="Q374" s="3">
        <v>5.95</v>
      </c>
      <c r="R374" s="3">
        <v>80.92</v>
      </c>
      <c r="S374" s="2" t="s">
        <v>332</v>
      </c>
      <c r="T374" s="2" t="s">
        <v>99</v>
      </c>
      <c r="U374" s="2" t="s">
        <v>66</v>
      </c>
      <c r="V374" s="2" t="s">
        <v>627</v>
      </c>
      <c r="W374" s="3">
        <v>0</v>
      </c>
    </row>
    <row r="375" spans="1:23" x14ac:dyDescent="0.3">
      <c r="A375" s="4" t="s">
        <v>2509</v>
      </c>
      <c r="B375" s="4" t="s">
        <v>831</v>
      </c>
      <c r="C375" s="4" t="s">
        <v>2510</v>
      </c>
      <c r="D375" s="4" t="s">
        <v>1819</v>
      </c>
      <c r="E375" s="4" t="s">
        <v>2511</v>
      </c>
      <c r="F375" s="4" t="s">
        <v>2512</v>
      </c>
      <c r="G375" s="4" t="s">
        <v>207</v>
      </c>
      <c r="H375" s="4" t="s">
        <v>141</v>
      </c>
      <c r="I375" s="4" t="s">
        <v>31</v>
      </c>
      <c r="J375" s="4" t="s">
        <v>2513</v>
      </c>
      <c r="K375" s="4" t="s">
        <v>48</v>
      </c>
      <c r="L375" s="4">
        <v>2</v>
      </c>
      <c r="M375" s="5">
        <v>189.95</v>
      </c>
      <c r="N375" s="4" t="s">
        <v>34</v>
      </c>
      <c r="O375" s="5">
        <v>0</v>
      </c>
      <c r="P375" s="5">
        <v>0</v>
      </c>
      <c r="Q375" s="5">
        <v>17.100000000000001</v>
      </c>
      <c r="R375" s="5">
        <v>207.05</v>
      </c>
      <c r="S375" s="4" t="s">
        <v>79</v>
      </c>
      <c r="T375" s="4" t="s">
        <v>99</v>
      </c>
      <c r="U375" s="4" t="s">
        <v>51</v>
      </c>
      <c r="V375" s="4" t="s">
        <v>2514</v>
      </c>
      <c r="W375" s="5">
        <v>0</v>
      </c>
    </row>
    <row r="376" spans="1:23" x14ac:dyDescent="0.3">
      <c r="A376" s="2" t="s">
        <v>2515</v>
      </c>
      <c r="B376" s="2" t="s">
        <v>2303</v>
      </c>
      <c r="C376" s="2" t="s">
        <v>2516</v>
      </c>
      <c r="D376" s="2" t="s">
        <v>2517</v>
      </c>
      <c r="E376" s="2" t="s">
        <v>2518</v>
      </c>
      <c r="F376" s="2" t="s">
        <v>2519</v>
      </c>
      <c r="G376" s="2" t="s">
        <v>394</v>
      </c>
      <c r="H376" s="2" t="s">
        <v>395</v>
      </c>
      <c r="I376" s="2" t="s">
        <v>31</v>
      </c>
      <c r="J376" s="2" t="s">
        <v>151</v>
      </c>
      <c r="K376" s="2" t="s">
        <v>110</v>
      </c>
      <c r="L376" s="2">
        <v>1</v>
      </c>
      <c r="M376" s="3">
        <v>39.99</v>
      </c>
      <c r="N376" s="2" t="s">
        <v>152</v>
      </c>
      <c r="O376" s="3">
        <v>2</v>
      </c>
      <c r="P376" s="3">
        <v>4.99</v>
      </c>
      <c r="Q376" s="3">
        <v>3.42</v>
      </c>
      <c r="R376" s="3">
        <v>46.4</v>
      </c>
      <c r="S376" s="2" t="s">
        <v>35</v>
      </c>
      <c r="T376" s="2" t="s">
        <v>99</v>
      </c>
      <c r="U376" s="2" t="s">
        <v>66</v>
      </c>
      <c r="V376" s="2" t="s">
        <v>649</v>
      </c>
      <c r="W376" s="3">
        <v>0</v>
      </c>
    </row>
    <row r="377" spans="1:23" x14ac:dyDescent="0.3">
      <c r="A377" s="4" t="s">
        <v>2520</v>
      </c>
      <c r="B377" s="4" t="s">
        <v>1108</v>
      </c>
      <c r="C377" s="4" t="s">
        <v>2521</v>
      </c>
      <c r="D377" s="4" t="s">
        <v>2522</v>
      </c>
      <c r="E377" s="4" t="s">
        <v>2523</v>
      </c>
      <c r="F377" s="4" t="s">
        <v>2524</v>
      </c>
      <c r="G377" s="4" t="s">
        <v>207</v>
      </c>
      <c r="H377" s="4" t="s">
        <v>141</v>
      </c>
      <c r="I377" s="4" t="s">
        <v>31</v>
      </c>
      <c r="J377" s="4" t="s">
        <v>2525</v>
      </c>
      <c r="K377" s="4" t="s">
        <v>679</v>
      </c>
      <c r="L377" s="4">
        <v>2</v>
      </c>
      <c r="M377" s="5">
        <v>94.96</v>
      </c>
      <c r="N377" s="4" t="s">
        <v>78</v>
      </c>
      <c r="O377" s="5">
        <v>9.5</v>
      </c>
      <c r="P377" s="5">
        <v>0</v>
      </c>
      <c r="Q377" s="5">
        <v>7.26</v>
      </c>
      <c r="R377" s="5">
        <v>92.72</v>
      </c>
      <c r="S377" s="4" t="s">
        <v>123</v>
      </c>
      <c r="T377" s="4" t="s">
        <v>173</v>
      </c>
      <c r="U377" s="4" t="s">
        <v>317</v>
      </c>
      <c r="V377" s="4"/>
      <c r="W377" s="5">
        <v>0</v>
      </c>
    </row>
    <row r="378" spans="1:23" x14ac:dyDescent="0.3">
      <c r="A378" s="2" t="s">
        <v>2526</v>
      </c>
      <c r="B378" s="2" t="s">
        <v>1631</v>
      </c>
      <c r="C378" s="2" t="s">
        <v>2527</v>
      </c>
      <c r="D378" s="2" t="s">
        <v>2528</v>
      </c>
      <c r="E378" s="2" t="s">
        <v>2529</v>
      </c>
      <c r="F378" s="2" t="s">
        <v>2530</v>
      </c>
      <c r="G378" s="2" t="s">
        <v>802</v>
      </c>
      <c r="H378" s="2" t="s">
        <v>88</v>
      </c>
      <c r="I378" s="2" t="s">
        <v>31</v>
      </c>
      <c r="J378" s="2" t="s">
        <v>1232</v>
      </c>
      <c r="K378" s="2" t="s">
        <v>77</v>
      </c>
      <c r="L378" s="2">
        <v>1</v>
      </c>
      <c r="M378" s="3">
        <v>34.99</v>
      </c>
      <c r="N378" s="2" t="s">
        <v>34</v>
      </c>
      <c r="O378" s="3">
        <v>0</v>
      </c>
      <c r="P378" s="3">
        <v>4.99</v>
      </c>
      <c r="Q378" s="3">
        <v>2.8</v>
      </c>
      <c r="R378" s="3">
        <v>42.78</v>
      </c>
      <c r="S378" s="2" t="s">
        <v>123</v>
      </c>
      <c r="T378" s="2" t="s">
        <v>99</v>
      </c>
      <c r="U378" s="2" t="s">
        <v>100</v>
      </c>
      <c r="V378" s="2"/>
      <c r="W378" s="3">
        <v>0</v>
      </c>
    </row>
    <row r="379" spans="1:23" x14ac:dyDescent="0.3">
      <c r="A379" s="4" t="s">
        <v>2531</v>
      </c>
      <c r="B379" s="4" t="s">
        <v>2532</v>
      </c>
      <c r="C379" s="4" t="s">
        <v>2533</v>
      </c>
      <c r="D379" s="4" t="s">
        <v>719</v>
      </c>
      <c r="E379" s="4" t="s">
        <v>2534</v>
      </c>
      <c r="F379" s="4" t="s">
        <v>2535</v>
      </c>
      <c r="G379" s="4" t="s">
        <v>428</v>
      </c>
      <c r="H379" s="4" t="s">
        <v>429</v>
      </c>
      <c r="I379" s="4" t="s">
        <v>31</v>
      </c>
      <c r="J379" s="4" t="s">
        <v>267</v>
      </c>
      <c r="K379" s="4" t="s">
        <v>62</v>
      </c>
      <c r="L379" s="4">
        <v>1</v>
      </c>
      <c r="M379" s="5">
        <v>54.99</v>
      </c>
      <c r="N379" s="4" t="s">
        <v>163</v>
      </c>
      <c r="O379" s="5">
        <v>11</v>
      </c>
      <c r="P379" s="5">
        <v>7.99</v>
      </c>
      <c r="Q379" s="5">
        <v>3.08</v>
      </c>
      <c r="R379" s="5">
        <v>55.06</v>
      </c>
      <c r="S379" s="4" t="s">
        <v>35</v>
      </c>
      <c r="T379" s="4" t="s">
        <v>144</v>
      </c>
      <c r="U379" s="4" t="s">
        <v>66</v>
      </c>
      <c r="V379" s="4" t="s">
        <v>1194</v>
      </c>
      <c r="W379" s="5">
        <v>0</v>
      </c>
    </row>
    <row r="380" spans="1:23" x14ac:dyDescent="0.3">
      <c r="A380" s="2" t="s">
        <v>2536</v>
      </c>
      <c r="B380" s="2" t="s">
        <v>619</v>
      </c>
      <c r="C380" s="2" t="s">
        <v>2537</v>
      </c>
      <c r="D380" s="2" t="s">
        <v>104</v>
      </c>
      <c r="E380" s="2" t="s">
        <v>2538</v>
      </c>
      <c r="F380" s="2" t="s">
        <v>2539</v>
      </c>
      <c r="G380" s="2" t="s">
        <v>171</v>
      </c>
      <c r="H380" s="2" t="s">
        <v>88</v>
      </c>
      <c r="I380" s="2" t="s">
        <v>31</v>
      </c>
      <c r="J380" s="2" t="s">
        <v>2540</v>
      </c>
      <c r="K380" s="2" t="s">
        <v>122</v>
      </c>
      <c r="L380" s="2">
        <v>4</v>
      </c>
      <c r="M380" s="3">
        <v>258.94</v>
      </c>
      <c r="N380" s="2" t="s">
        <v>49</v>
      </c>
      <c r="O380" s="3">
        <v>38.840000000000003</v>
      </c>
      <c r="P380" s="3">
        <v>0</v>
      </c>
      <c r="Q380" s="3">
        <v>22.01</v>
      </c>
      <c r="R380" s="3">
        <v>242.11</v>
      </c>
      <c r="S380" s="2" t="s">
        <v>123</v>
      </c>
      <c r="T380" s="2" t="s">
        <v>144</v>
      </c>
      <c r="U380" s="2" t="s">
        <v>66</v>
      </c>
      <c r="V380" s="2" t="s">
        <v>1625</v>
      </c>
      <c r="W380" s="3">
        <v>0</v>
      </c>
    </row>
    <row r="381" spans="1:23" x14ac:dyDescent="0.3">
      <c r="A381" s="4" t="s">
        <v>2541</v>
      </c>
      <c r="B381" s="4" t="s">
        <v>382</v>
      </c>
      <c r="C381" s="4" t="s">
        <v>2542</v>
      </c>
      <c r="D381" s="4" t="s">
        <v>2543</v>
      </c>
      <c r="E381" s="4" t="s">
        <v>2544</v>
      </c>
      <c r="F381" s="4" t="s">
        <v>2545</v>
      </c>
      <c r="G381" s="4" t="s">
        <v>87</v>
      </c>
      <c r="H381" s="4" t="s">
        <v>88</v>
      </c>
      <c r="I381" s="4" t="s">
        <v>31</v>
      </c>
      <c r="J381" s="4" t="s">
        <v>2546</v>
      </c>
      <c r="K381" s="4" t="s">
        <v>122</v>
      </c>
      <c r="L381" s="4">
        <v>2</v>
      </c>
      <c r="M381" s="5">
        <v>212.96</v>
      </c>
      <c r="N381" s="4" t="s">
        <v>34</v>
      </c>
      <c r="O381" s="5">
        <v>0</v>
      </c>
      <c r="P381" s="5">
        <v>0</v>
      </c>
      <c r="Q381" s="5">
        <v>12.78</v>
      </c>
      <c r="R381" s="5">
        <v>225.74</v>
      </c>
      <c r="S381" s="4" t="s">
        <v>123</v>
      </c>
      <c r="T381" s="4" t="s">
        <v>99</v>
      </c>
      <c r="U381" s="4" t="s">
        <v>66</v>
      </c>
      <c r="V381" s="4" t="s">
        <v>328</v>
      </c>
      <c r="W381" s="5">
        <v>0</v>
      </c>
    </row>
    <row r="382" spans="1:23" x14ac:dyDescent="0.3">
      <c r="A382" s="2" t="s">
        <v>2547</v>
      </c>
      <c r="B382" s="2" t="s">
        <v>112</v>
      </c>
      <c r="C382" s="2" t="s">
        <v>2548</v>
      </c>
      <c r="D382" s="2" t="s">
        <v>2549</v>
      </c>
      <c r="E382" s="2" t="s">
        <v>2550</v>
      </c>
      <c r="F382" s="2" t="s">
        <v>2551</v>
      </c>
      <c r="G382" s="2" t="s">
        <v>59</v>
      </c>
      <c r="H382" s="2" t="s">
        <v>60</v>
      </c>
      <c r="I382" s="2" t="s">
        <v>31</v>
      </c>
      <c r="J382" s="2" t="s">
        <v>2552</v>
      </c>
      <c r="K382" s="2" t="s">
        <v>143</v>
      </c>
      <c r="L382" s="2">
        <v>2</v>
      </c>
      <c r="M382" s="3">
        <v>114.98</v>
      </c>
      <c r="N382" s="2" t="s">
        <v>78</v>
      </c>
      <c r="O382" s="3">
        <v>11.5</v>
      </c>
      <c r="P382" s="3">
        <v>0</v>
      </c>
      <c r="Q382" s="3">
        <v>10.35</v>
      </c>
      <c r="R382" s="3">
        <v>113.83</v>
      </c>
      <c r="S382" s="2" t="s">
        <v>123</v>
      </c>
      <c r="T382" s="2" t="s">
        <v>173</v>
      </c>
      <c r="U382" s="2" t="s">
        <v>37</v>
      </c>
      <c r="V382" s="2" t="s">
        <v>742</v>
      </c>
      <c r="W382" s="3">
        <v>113.83</v>
      </c>
    </row>
    <row r="383" spans="1:23" x14ac:dyDescent="0.3">
      <c r="A383" s="4" t="s">
        <v>2553</v>
      </c>
      <c r="B383" s="4" t="s">
        <v>447</v>
      </c>
      <c r="C383" s="4" t="s">
        <v>2554</v>
      </c>
      <c r="D383" s="4" t="s">
        <v>2555</v>
      </c>
      <c r="E383" s="4" t="s">
        <v>2556</v>
      </c>
      <c r="F383" s="4" t="s">
        <v>2557</v>
      </c>
      <c r="G383" s="4" t="s">
        <v>291</v>
      </c>
      <c r="H383" s="4" t="s">
        <v>292</v>
      </c>
      <c r="I383" s="4" t="s">
        <v>31</v>
      </c>
      <c r="J383" s="4" t="s">
        <v>2558</v>
      </c>
      <c r="K383" s="4" t="s">
        <v>679</v>
      </c>
      <c r="L383" s="4">
        <v>3</v>
      </c>
      <c r="M383" s="5">
        <v>189.96</v>
      </c>
      <c r="N383" s="4" t="s">
        <v>34</v>
      </c>
      <c r="O383" s="5">
        <v>0</v>
      </c>
      <c r="P383" s="5">
        <v>0</v>
      </c>
      <c r="Q383" s="5">
        <v>16.149999999999999</v>
      </c>
      <c r="R383" s="5">
        <v>206.11</v>
      </c>
      <c r="S383" s="4" t="s">
        <v>123</v>
      </c>
      <c r="T383" s="4" t="s">
        <v>99</v>
      </c>
      <c r="U383" s="4" t="s">
        <v>317</v>
      </c>
      <c r="V383" s="4"/>
      <c r="W383" s="5">
        <v>0</v>
      </c>
    </row>
    <row r="384" spans="1:23" x14ac:dyDescent="0.3">
      <c r="A384" s="2" t="s">
        <v>2559</v>
      </c>
      <c r="B384" s="2" t="s">
        <v>2296</v>
      </c>
      <c r="C384" s="2" t="s">
        <v>2560</v>
      </c>
      <c r="D384" s="2" t="s">
        <v>2561</v>
      </c>
      <c r="E384" s="2" t="s">
        <v>2562</v>
      </c>
      <c r="F384" s="2" t="s">
        <v>2563</v>
      </c>
      <c r="G384" s="2" t="s">
        <v>282</v>
      </c>
      <c r="H384" s="2" t="s">
        <v>88</v>
      </c>
      <c r="I384" s="2" t="s">
        <v>31</v>
      </c>
      <c r="J384" s="2" t="s">
        <v>2564</v>
      </c>
      <c r="K384" s="2" t="s">
        <v>122</v>
      </c>
      <c r="L384" s="2">
        <v>2</v>
      </c>
      <c r="M384" s="3">
        <v>154.97999999999999</v>
      </c>
      <c r="N384" s="2" t="s">
        <v>152</v>
      </c>
      <c r="O384" s="3">
        <v>7.75</v>
      </c>
      <c r="P384" s="3">
        <v>0</v>
      </c>
      <c r="Q384" s="3">
        <v>12.51</v>
      </c>
      <c r="R384" s="3">
        <v>159.74</v>
      </c>
      <c r="S384" s="2" t="s">
        <v>64</v>
      </c>
      <c r="T384" s="2" t="s">
        <v>99</v>
      </c>
      <c r="U384" s="2" t="s">
        <v>66</v>
      </c>
      <c r="V384" s="2" t="s">
        <v>2565</v>
      </c>
      <c r="W384" s="3">
        <v>0</v>
      </c>
    </row>
    <row r="385" spans="1:23" x14ac:dyDescent="0.3">
      <c r="A385" s="4" t="s">
        <v>2566</v>
      </c>
      <c r="B385" s="4" t="s">
        <v>210</v>
      </c>
      <c r="C385" s="4" t="s">
        <v>2567</v>
      </c>
      <c r="D385" s="4" t="s">
        <v>2568</v>
      </c>
      <c r="E385" s="4" t="s">
        <v>2569</v>
      </c>
      <c r="F385" s="4" t="s">
        <v>2570</v>
      </c>
      <c r="G385" s="4" t="s">
        <v>394</v>
      </c>
      <c r="H385" s="4" t="s">
        <v>395</v>
      </c>
      <c r="I385" s="4" t="s">
        <v>31</v>
      </c>
      <c r="J385" s="4" t="s">
        <v>1238</v>
      </c>
      <c r="K385" s="4" t="s">
        <v>209</v>
      </c>
      <c r="L385" s="4">
        <v>1</v>
      </c>
      <c r="M385" s="5">
        <v>39.99</v>
      </c>
      <c r="N385" s="4" t="s">
        <v>78</v>
      </c>
      <c r="O385" s="5">
        <v>4</v>
      </c>
      <c r="P385" s="5">
        <v>9.99</v>
      </c>
      <c r="Q385" s="5">
        <v>2.88</v>
      </c>
      <c r="R385" s="5">
        <v>48.86</v>
      </c>
      <c r="S385" s="4" t="s">
        <v>35</v>
      </c>
      <c r="T385" s="4" t="s">
        <v>99</v>
      </c>
      <c r="U385" s="4" t="s">
        <v>66</v>
      </c>
      <c r="V385" s="4" t="s">
        <v>656</v>
      </c>
      <c r="W385" s="5">
        <v>0</v>
      </c>
    </row>
    <row r="386" spans="1:23" x14ac:dyDescent="0.3">
      <c r="A386" s="2" t="s">
        <v>2571</v>
      </c>
      <c r="B386" s="2" t="s">
        <v>453</v>
      </c>
      <c r="C386" s="2" t="s">
        <v>2572</v>
      </c>
      <c r="D386" s="2" t="s">
        <v>2573</v>
      </c>
      <c r="E386" s="2" t="s">
        <v>2574</v>
      </c>
      <c r="F386" s="2" t="s">
        <v>2575</v>
      </c>
      <c r="G386" s="2" t="s">
        <v>131</v>
      </c>
      <c r="H386" s="2" t="s">
        <v>88</v>
      </c>
      <c r="I386" s="2" t="s">
        <v>31</v>
      </c>
      <c r="J386" s="2" t="s">
        <v>2576</v>
      </c>
      <c r="K386" s="2" t="s">
        <v>33</v>
      </c>
      <c r="L386" s="2">
        <v>1</v>
      </c>
      <c r="M386" s="3">
        <v>99.98</v>
      </c>
      <c r="N386" s="2" t="s">
        <v>152</v>
      </c>
      <c r="O386" s="3">
        <v>5</v>
      </c>
      <c r="P386" s="3">
        <v>0</v>
      </c>
      <c r="Q386" s="3">
        <v>8.5500000000000007</v>
      </c>
      <c r="R386" s="3">
        <v>103.53</v>
      </c>
      <c r="S386" s="2" t="s">
        <v>79</v>
      </c>
      <c r="T386" s="2" t="s">
        <v>99</v>
      </c>
      <c r="U386" s="2" t="s">
        <v>100</v>
      </c>
      <c r="V386" s="2"/>
      <c r="W386" s="3">
        <v>0</v>
      </c>
    </row>
    <row r="387" spans="1:23" x14ac:dyDescent="0.3">
      <c r="A387" s="4" t="s">
        <v>2577</v>
      </c>
      <c r="B387" s="4" t="s">
        <v>1341</v>
      </c>
      <c r="C387" s="4" t="s">
        <v>2578</v>
      </c>
      <c r="D387" s="4" t="s">
        <v>2579</v>
      </c>
      <c r="E387" s="4" t="s">
        <v>2580</v>
      </c>
      <c r="F387" s="4" t="s">
        <v>2581</v>
      </c>
      <c r="G387" s="4" t="s">
        <v>171</v>
      </c>
      <c r="H387" s="4" t="s">
        <v>88</v>
      </c>
      <c r="I387" s="4" t="s">
        <v>31</v>
      </c>
      <c r="J387" s="4" t="s">
        <v>2582</v>
      </c>
      <c r="K387" s="4" t="s">
        <v>122</v>
      </c>
      <c r="L387" s="4">
        <v>2</v>
      </c>
      <c r="M387" s="5">
        <v>119.97</v>
      </c>
      <c r="N387" s="4" t="s">
        <v>78</v>
      </c>
      <c r="O387" s="5">
        <v>12</v>
      </c>
      <c r="P387" s="5">
        <v>0</v>
      </c>
      <c r="Q387" s="5">
        <v>7.56</v>
      </c>
      <c r="R387" s="5">
        <v>115.53</v>
      </c>
      <c r="S387" s="4" t="s">
        <v>64</v>
      </c>
      <c r="T387" s="4" t="s">
        <v>99</v>
      </c>
      <c r="U387" s="4" t="s">
        <v>317</v>
      </c>
      <c r="V387" s="4"/>
      <c r="W387" s="5">
        <v>0</v>
      </c>
    </row>
    <row r="388" spans="1:23" x14ac:dyDescent="0.3">
      <c r="A388" s="2" t="s">
        <v>2583</v>
      </c>
      <c r="B388" s="2" t="s">
        <v>2584</v>
      </c>
      <c r="C388" s="2" t="s">
        <v>2585</v>
      </c>
      <c r="D388" s="2" t="s">
        <v>2586</v>
      </c>
      <c r="E388" s="2" t="s">
        <v>2587</v>
      </c>
      <c r="F388" s="2" t="s">
        <v>2588</v>
      </c>
      <c r="G388" s="2" t="s">
        <v>190</v>
      </c>
      <c r="H388" s="2" t="s">
        <v>161</v>
      </c>
      <c r="I388" s="2" t="s">
        <v>31</v>
      </c>
      <c r="J388" s="2" t="s">
        <v>503</v>
      </c>
      <c r="K388" s="2" t="s">
        <v>122</v>
      </c>
      <c r="L388" s="2">
        <v>1</v>
      </c>
      <c r="M388" s="3">
        <v>59.99</v>
      </c>
      <c r="N388" s="2" t="s">
        <v>34</v>
      </c>
      <c r="O388" s="3">
        <v>0</v>
      </c>
      <c r="P388" s="3">
        <v>4.99</v>
      </c>
      <c r="Q388" s="3">
        <v>5.4</v>
      </c>
      <c r="R388" s="3">
        <v>70.38</v>
      </c>
      <c r="S388" s="2" t="s">
        <v>35</v>
      </c>
      <c r="T388" s="2" t="s">
        <v>99</v>
      </c>
      <c r="U388" s="2" t="s">
        <v>37</v>
      </c>
      <c r="V388" s="2" t="s">
        <v>2270</v>
      </c>
      <c r="W388" s="3">
        <v>70.38</v>
      </c>
    </row>
    <row r="389" spans="1:23" x14ac:dyDescent="0.3">
      <c r="A389" s="4" t="s">
        <v>2589</v>
      </c>
      <c r="B389" s="4" t="s">
        <v>67</v>
      </c>
      <c r="C389" s="4" t="s">
        <v>2590</v>
      </c>
      <c r="D389" s="4" t="s">
        <v>2591</v>
      </c>
      <c r="E389" s="4" t="s">
        <v>2592</v>
      </c>
      <c r="F389" s="4" t="s">
        <v>2593</v>
      </c>
      <c r="G389" s="4" t="s">
        <v>640</v>
      </c>
      <c r="H389" s="4" t="s">
        <v>161</v>
      </c>
      <c r="I389" s="4" t="s">
        <v>31</v>
      </c>
      <c r="J389" s="4" t="s">
        <v>577</v>
      </c>
      <c r="K389" s="4" t="s">
        <v>364</v>
      </c>
      <c r="L389" s="4">
        <v>1</v>
      </c>
      <c r="M389" s="5">
        <v>19.989999999999998</v>
      </c>
      <c r="N389" s="4" t="s">
        <v>152</v>
      </c>
      <c r="O389" s="5">
        <v>1</v>
      </c>
      <c r="P389" s="5">
        <v>9.99</v>
      </c>
      <c r="Q389" s="5">
        <v>1.9</v>
      </c>
      <c r="R389" s="5">
        <v>30.88</v>
      </c>
      <c r="S389" s="4" t="s">
        <v>332</v>
      </c>
      <c r="T389" s="4" t="s">
        <v>99</v>
      </c>
      <c r="U389" s="4" t="s">
        <v>66</v>
      </c>
      <c r="V389" s="4" t="s">
        <v>496</v>
      </c>
      <c r="W389" s="5">
        <v>0</v>
      </c>
    </row>
    <row r="390" spans="1:23" x14ac:dyDescent="0.3">
      <c r="A390" s="2" t="s">
        <v>2594</v>
      </c>
      <c r="B390" s="2" t="s">
        <v>1055</v>
      </c>
      <c r="C390" s="2" t="s">
        <v>2595</v>
      </c>
      <c r="D390" s="2" t="s">
        <v>2596</v>
      </c>
      <c r="E390" s="2" t="s">
        <v>2597</v>
      </c>
      <c r="F390" s="2" t="s">
        <v>2598</v>
      </c>
      <c r="G390" s="2" t="s">
        <v>87</v>
      </c>
      <c r="H390" s="2" t="s">
        <v>88</v>
      </c>
      <c r="I390" s="2" t="s">
        <v>31</v>
      </c>
      <c r="J390" s="2" t="s">
        <v>2599</v>
      </c>
      <c r="K390" s="2" t="s">
        <v>62</v>
      </c>
      <c r="L390" s="2">
        <v>4</v>
      </c>
      <c r="M390" s="3">
        <v>133.96</v>
      </c>
      <c r="N390" s="2" t="s">
        <v>78</v>
      </c>
      <c r="O390" s="3">
        <v>13.4</v>
      </c>
      <c r="P390" s="3">
        <v>0</v>
      </c>
      <c r="Q390" s="3">
        <v>10.25</v>
      </c>
      <c r="R390" s="3">
        <v>130.81</v>
      </c>
      <c r="S390" s="2" t="s">
        <v>123</v>
      </c>
      <c r="T390" s="2" t="s">
        <v>65</v>
      </c>
      <c r="U390" s="2" t="s">
        <v>66</v>
      </c>
      <c r="V390" s="2" t="s">
        <v>358</v>
      </c>
      <c r="W390" s="3">
        <v>0</v>
      </c>
    </row>
    <row r="391" spans="1:23" x14ac:dyDescent="0.3">
      <c r="A391" s="4" t="s">
        <v>2600</v>
      </c>
      <c r="B391" s="4" t="s">
        <v>915</v>
      </c>
      <c r="C391" s="4" t="s">
        <v>2601</v>
      </c>
      <c r="D391" s="4" t="s">
        <v>1751</v>
      </c>
      <c r="E391" s="4" t="s">
        <v>2602</v>
      </c>
      <c r="F391" s="4" t="s">
        <v>2603</v>
      </c>
      <c r="G391" s="4" t="s">
        <v>282</v>
      </c>
      <c r="H391" s="4" t="s">
        <v>88</v>
      </c>
      <c r="I391" s="4" t="s">
        <v>31</v>
      </c>
      <c r="J391" s="4" t="s">
        <v>172</v>
      </c>
      <c r="K391" s="4" t="s">
        <v>122</v>
      </c>
      <c r="L391" s="4">
        <v>1</v>
      </c>
      <c r="M391" s="5">
        <v>69.989999999999995</v>
      </c>
      <c r="N391" s="4" t="s">
        <v>78</v>
      </c>
      <c r="O391" s="5">
        <v>7</v>
      </c>
      <c r="P391" s="5">
        <v>9.99</v>
      </c>
      <c r="Q391" s="5">
        <v>5.35</v>
      </c>
      <c r="R391" s="5">
        <v>78.33</v>
      </c>
      <c r="S391" s="4" t="s">
        <v>64</v>
      </c>
      <c r="T391" s="4" t="s">
        <v>173</v>
      </c>
      <c r="U391" s="4" t="s">
        <v>66</v>
      </c>
      <c r="V391" s="4" t="s">
        <v>1580</v>
      </c>
      <c r="W391" s="5">
        <v>0</v>
      </c>
    </row>
    <row r="392" spans="1:23" x14ac:dyDescent="0.3">
      <c r="A392" s="2" t="s">
        <v>2604</v>
      </c>
      <c r="B392" s="2" t="s">
        <v>1873</v>
      </c>
      <c r="C392" s="2" t="s">
        <v>2605</v>
      </c>
      <c r="D392" s="2" t="s">
        <v>2606</v>
      </c>
      <c r="E392" s="2" t="s">
        <v>2607</v>
      </c>
      <c r="F392" s="2" t="s">
        <v>2608</v>
      </c>
      <c r="G392" s="2" t="s">
        <v>242</v>
      </c>
      <c r="H392" s="2" t="s">
        <v>243</v>
      </c>
      <c r="I392" s="2" t="s">
        <v>31</v>
      </c>
      <c r="J392" s="2" t="s">
        <v>387</v>
      </c>
      <c r="K392" s="2" t="s">
        <v>33</v>
      </c>
      <c r="L392" s="2">
        <v>1</v>
      </c>
      <c r="M392" s="3">
        <v>35.99</v>
      </c>
      <c r="N392" s="2" t="s">
        <v>34</v>
      </c>
      <c r="O392" s="3">
        <v>0</v>
      </c>
      <c r="P392" s="3">
        <v>4.99</v>
      </c>
      <c r="Q392" s="3">
        <v>2.16</v>
      </c>
      <c r="R392" s="3">
        <v>43.14</v>
      </c>
      <c r="S392" s="2" t="s">
        <v>35</v>
      </c>
      <c r="T392" s="2" t="s">
        <v>99</v>
      </c>
      <c r="U392" s="2" t="s">
        <v>66</v>
      </c>
      <c r="V392" s="2" t="s">
        <v>406</v>
      </c>
      <c r="W392" s="3">
        <v>0</v>
      </c>
    </row>
    <row r="393" spans="1:23" x14ac:dyDescent="0.3">
      <c r="A393" s="4" t="s">
        <v>2609</v>
      </c>
      <c r="B393" s="4" t="s">
        <v>2610</v>
      </c>
      <c r="C393" s="4" t="s">
        <v>2611</v>
      </c>
      <c r="D393" s="4" t="s">
        <v>2218</v>
      </c>
      <c r="E393" s="4" t="s">
        <v>2612</v>
      </c>
      <c r="F393" s="4" t="s">
        <v>2613</v>
      </c>
      <c r="G393" s="4" t="s">
        <v>160</v>
      </c>
      <c r="H393" s="4" t="s">
        <v>161</v>
      </c>
      <c r="I393" s="4" t="s">
        <v>31</v>
      </c>
      <c r="J393" s="4" t="s">
        <v>2614</v>
      </c>
      <c r="K393" s="4" t="s">
        <v>48</v>
      </c>
      <c r="L393" s="4">
        <v>2</v>
      </c>
      <c r="M393" s="5">
        <v>314.94</v>
      </c>
      <c r="N393" s="4" t="s">
        <v>78</v>
      </c>
      <c r="O393" s="5">
        <v>31.49</v>
      </c>
      <c r="P393" s="5">
        <v>0</v>
      </c>
      <c r="Q393" s="5">
        <v>24.09</v>
      </c>
      <c r="R393" s="5">
        <v>307.54000000000002</v>
      </c>
      <c r="S393" s="4" t="s">
        <v>111</v>
      </c>
      <c r="T393" s="4" t="s">
        <v>99</v>
      </c>
      <c r="U393" s="4" t="s">
        <v>66</v>
      </c>
      <c r="V393" s="4" t="s">
        <v>1623</v>
      </c>
      <c r="W393" s="5">
        <v>0</v>
      </c>
    </row>
    <row r="394" spans="1:23" x14ac:dyDescent="0.3">
      <c r="A394" s="2" t="s">
        <v>2615</v>
      </c>
      <c r="B394" s="2" t="s">
        <v>2616</v>
      </c>
      <c r="C394" s="2" t="s">
        <v>2617</v>
      </c>
      <c r="D394" s="2" t="s">
        <v>2618</v>
      </c>
      <c r="E394" s="2" t="s">
        <v>2619</v>
      </c>
      <c r="F394" s="2" t="s">
        <v>2620</v>
      </c>
      <c r="G394" s="2" t="s">
        <v>1183</v>
      </c>
      <c r="H394" s="2" t="s">
        <v>88</v>
      </c>
      <c r="I394" s="2" t="s">
        <v>31</v>
      </c>
      <c r="J394" s="2" t="s">
        <v>2621</v>
      </c>
      <c r="K394" s="2" t="s">
        <v>679</v>
      </c>
      <c r="L394" s="2">
        <v>5</v>
      </c>
      <c r="M394" s="3">
        <v>239.95</v>
      </c>
      <c r="N394" s="2" t="s">
        <v>163</v>
      </c>
      <c r="O394" s="3">
        <v>47.99</v>
      </c>
      <c r="P394" s="3">
        <v>0</v>
      </c>
      <c r="Q394" s="3">
        <v>19.2</v>
      </c>
      <c r="R394" s="3">
        <v>211.16</v>
      </c>
      <c r="S394" s="2" t="s">
        <v>35</v>
      </c>
      <c r="T394" s="2" t="s">
        <v>99</v>
      </c>
      <c r="U394" s="2" t="s">
        <v>66</v>
      </c>
      <c r="V394" s="2" t="s">
        <v>1124</v>
      </c>
      <c r="W394" s="3">
        <v>0</v>
      </c>
    </row>
    <row r="395" spans="1:23" x14ac:dyDescent="0.3">
      <c r="A395" s="4" t="s">
        <v>2622</v>
      </c>
      <c r="B395" s="4" t="s">
        <v>619</v>
      </c>
      <c r="C395" s="4" t="s">
        <v>2623</v>
      </c>
      <c r="D395" s="4" t="s">
        <v>2624</v>
      </c>
      <c r="E395" s="4" t="s">
        <v>2625</v>
      </c>
      <c r="F395" s="4" t="s">
        <v>2626</v>
      </c>
      <c r="G395" s="4" t="s">
        <v>107</v>
      </c>
      <c r="H395" s="4" t="s">
        <v>108</v>
      </c>
      <c r="I395" s="4" t="s">
        <v>31</v>
      </c>
      <c r="J395" s="4" t="s">
        <v>2627</v>
      </c>
      <c r="K395" s="4" t="s">
        <v>209</v>
      </c>
      <c r="L395" s="4">
        <v>2</v>
      </c>
      <c r="M395" s="5">
        <v>118.97</v>
      </c>
      <c r="N395" s="4" t="s">
        <v>78</v>
      </c>
      <c r="O395" s="5">
        <v>11.9</v>
      </c>
      <c r="P395" s="5">
        <v>0</v>
      </c>
      <c r="Q395" s="5">
        <v>9.64</v>
      </c>
      <c r="R395" s="5">
        <v>116.71</v>
      </c>
      <c r="S395" s="4" t="s">
        <v>123</v>
      </c>
      <c r="T395" s="4" t="s">
        <v>36</v>
      </c>
      <c r="U395" s="4" t="s">
        <v>51</v>
      </c>
      <c r="V395" s="4" t="s">
        <v>245</v>
      </c>
      <c r="W395" s="5">
        <v>0</v>
      </c>
    </row>
    <row r="396" spans="1:23" x14ac:dyDescent="0.3">
      <c r="A396" s="2" t="s">
        <v>2628</v>
      </c>
      <c r="B396" s="2" t="s">
        <v>1000</v>
      </c>
      <c r="C396" s="2" t="s">
        <v>2629</v>
      </c>
      <c r="D396" s="2" t="s">
        <v>2630</v>
      </c>
      <c r="E396" s="2" t="s">
        <v>2631</v>
      </c>
      <c r="F396" s="2" t="s">
        <v>2632</v>
      </c>
      <c r="G396" s="2" t="s">
        <v>251</v>
      </c>
      <c r="H396" s="2" t="s">
        <v>252</v>
      </c>
      <c r="I396" s="2" t="s">
        <v>31</v>
      </c>
      <c r="J396" s="2" t="s">
        <v>132</v>
      </c>
      <c r="K396" s="2" t="s">
        <v>48</v>
      </c>
      <c r="L396" s="2">
        <v>1</v>
      </c>
      <c r="M396" s="3">
        <v>129.97999999999999</v>
      </c>
      <c r="N396" s="2" t="s">
        <v>78</v>
      </c>
      <c r="O396" s="3">
        <v>13</v>
      </c>
      <c r="P396" s="3">
        <v>0</v>
      </c>
      <c r="Q396" s="3">
        <v>8.19</v>
      </c>
      <c r="R396" s="3">
        <v>125.17</v>
      </c>
      <c r="S396" s="2" t="s">
        <v>111</v>
      </c>
      <c r="T396" s="2" t="s">
        <v>99</v>
      </c>
      <c r="U396" s="2" t="s">
        <v>100</v>
      </c>
      <c r="V396" s="2"/>
      <c r="W396" s="3">
        <v>0</v>
      </c>
    </row>
    <row r="397" spans="1:23" x14ac:dyDescent="0.3">
      <c r="A397" s="4" t="s">
        <v>2633</v>
      </c>
      <c r="B397" s="4" t="s">
        <v>851</v>
      </c>
      <c r="C397" s="4" t="s">
        <v>2634</v>
      </c>
      <c r="D397" s="4" t="s">
        <v>2635</v>
      </c>
      <c r="E397" s="4" t="s">
        <v>2636</v>
      </c>
      <c r="F397" s="4" t="s">
        <v>2637</v>
      </c>
      <c r="G397" s="4" t="s">
        <v>74</v>
      </c>
      <c r="H397" s="4" t="s">
        <v>75</v>
      </c>
      <c r="I397" s="4" t="s">
        <v>31</v>
      </c>
      <c r="J397" s="4" t="s">
        <v>2638</v>
      </c>
      <c r="K397" s="4" t="s">
        <v>62</v>
      </c>
      <c r="L397" s="4">
        <v>3</v>
      </c>
      <c r="M397" s="5">
        <v>229.94</v>
      </c>
      <c r="N397" s="4" t="s">
        <v>34</v>
      </c>
      <c r="O397" s="5">
        <v>0</v>
      </c>
      <c r="P397" s="5">
        <v>0</v>
      </c>
      <c r="Q397" s="5">
        <v>22.99</v>
      </c>
      <c r="R397" s="5">
        <v>252.93</v>
      </c>
      <c r="S397" s="4" t="s">
        <v>35</v>
      </c>
      <c r="T397" s="4" t="s">
        <v>99</v>
      </c>
      <c r="U397" s="4" t="s">
        <v>317</v>
      </c>
      <c r="V397" s="4"/>
      <c r="W397" s="5">
        <v>0</v>
      </c>
    </row>
    <row r="398" spans="1:23" x14ac:dyDescent="0.3">
      <c r="A398" s="2" t="s">
        <v>2639</v>
      </c>
      <c r="B398" s="2" t="s">
        <v>1347</v>
      </c>
      <c r="C398" s="2" t="s">
        <v>2640</v>
      </c>
      <c r="D398" s="2" t="s">
        <v>2641</v>
      </c>
      <c r="E398" s="2" t="s">
        <v>2642</v>
      </c>
      <c r="F398" s="2" t="s">
        <v>2643</v>
      </c>
      <c r="G398" s="2" t="s">
        <v>692</v>
      </c>
      <c r="H398" s="2" t="s">
        <v>693</v>
      </c>
      <c r="I398" s="2" t="s">
        <v>31</v>
      </c>
      <c r="J398" s="2" t="s">
        <v>2644</v>
      </c>
      <c r="K398" s="2" t="s">
        <v>48</v>
      </c>
      <c r="L398" s="2">
        <v>2</v>
      </c>
      <c r="M398" s="3">
        <v>75.98</v>
      </c>
      <c r="N398" s="2" t="s">
        <v>78</v>
      </c>
      <c r="O398" s="3">
        <v>7.6</v>
      </c>
      <c r="P398" s="3">
        <v>0</v>
      </c>
      <c r="Q398" s="3">
        <v>5.47</v>
      </c>
      <c r="R398" s="3">
        <v>73.849999999999994</v>
      </c>
      <c r="S398" s="2" t="s">
        <v>64</v>
      </c>
      <c r="T398" s="2" t="s">
        <v>99</v>
      </c>
      <c r="U398" s="2" t="s">
        <v>66</v>
      </c>
      <c r="V398" s="2" t="s">
        <v>2645</v>
      </c>
      <c r="W398" s="3">
        <v>0</v>
      </c>
    </row>
    <row r="399" spans="1:23" x14ac:dyDescent="0.3">
      <c r="A399" s="4" t="s">
        <v>2646</v>
      </c>
      <c r="B399" s="4" t="s">
        <v>2647</v>
      </c>
      <c r="C399" s="4" t="s">
        <v>2648</v>
      </c>
      <c r="D399" s="4" t="s">
        <v>2649</v>
      </c>
      <c r="E399" s="4" t="s">
        <v>2650</v>
      </c>
      <c r="F399" s="4" t="s">
        <v>2651</v>
      </c>
      <c r="G399" s="4" t="s">
        <v>242</v>
      </c>
      <c r="H399" s="4" t="s">
        <v>243</v>
      </c>
      <c r="I399" s="4" t="s">
        <v>31</v>
      </c>
      <c r="J399" s="4" t="s">
        <v>2652</v>
      </c>
      <c r="K399" s="4" t="s">
        <v>122</v>
      </c>
      <c r="L399" s="4">
        <v>3</v>
      </c>
      <c r="M399" s="5">
        <v>234.97</v>
      </c>
      <c r="N399" s="4" t="s">
        <v>34</v>
      </c>
      <c r="O399" s="5">
        <v>0</v>
      </c>
      <c r="P399" s="5">
        <v>0</v>
      </c>
      <c r="Q399" s="5">
        <v>19.97</v>
      </c>
      <c r="R399" s="5">
        <v>254.94</v>
      </c>
      <c r="S399" s="4" t="s">
        <v>123</v>
      </c>
      <c r="T399" s="4" t="s">
        <v>99</v>
      </c>
      <c r="U399" s="4" t="s">
        <v>317</v>
      </c>
      <c r="V399" s="4"/>
      <c r="W399" s="5">
        <v>0</v>
      </c>
    </row>
    <row r="400" spans="1:23" x14ac:dyDescent="0.3">
      <c r="A400" s="2" t="s">
        <v>2653</v>
      </c>
      <c r="B400" s="2" t="s">
        <v>463</v>
      </c>
      <c r="C400" s="2" t="s">
        <v>2654</v>
      </c>
      <c r="D400" s="2" t="s">
        <v>2655</v>
      </c>
      <c r="E400" s="2" t="s">
        <v>2656</v>
      </c>
      <c r="F400" s="2" t="s">
        <v>2657</v>
      </c>
      <c r="G400" s="2" t="s">
        <v>107</v>
      </c>
      <c r="H400" s="2" t="s">
        <v>108</v>
      </c>
      <c r="I400" s="2" t="s">
        <v>31</v>
      </c>
      <c r="J400" s="2" t="s">
        <v>2658</v>
      </c>
      <c r="K400" s="2" t="s">
        <v>33</v>
      </c>
      <c r="L400" s="2">
        <v>1</v>
      </c>
      <c r="M400" s="3">
        <v>37.979999999999997</v>
      </c>
      <c r="N400" s="2" t="s">
        <v>34</v>
      </c>
      <c r="O400" s="3">
        <v>0</v>
      </c>
      <c r="P400" s="3">
        <v>9.99</v>
      </c>
      <c r="Q400" s="3">
        <v>3.42</v>
      </c>
      <c r="R400" s="3">
        <v>51.39</v>
      </c>
      <c r="S400" s="2" t="s">
        <v>123</v>
      </c>
      <c r="T400" s="2" t="s">
        <v>99</v>
      </c>
      <c r="U400" s="2" t="s">
        <v>66</v>
      </c>
      <c r="V400" s="2" t="s">
        <v>851</v>
      </c>
      <c r="W400" s="3">
        <v>0</v>
      </c>
    </row>
    <row r="401" spans="1:23" x14ac:dyDescent="0.3">
      <c r="A401" s="4" t="s">
        <v>2659</v>
      </c>
      <c r="B401" s="4" t="s">
        <v>2004</v>
      </c>
      <c r="C401" s="4" t="s">
        <v>2660</v>
      </c>
      <c r="D401" s="4" t="s">
        <v>2661</v>
      </c>
      <c r="E401" s="4" t="s">
        <v>2662</v>
      </c>
      <c r="F401" s="4" t="s">
        <v>2663</v>
      </c>
      <c r="G401" s="4" t="s">
        <v>119</v>
      </c>
      <c r="H401" s="4" t="s">
        <v>120</v>
      </c>
      <c r="I401" s="4" t="s">
        <v>31</v>
      </c>
      <c r="J401" s="4" t="s">
        <v>2664</v>
      </c>
      <c r="K401" s="4" t="s">
        <v>122</v>
      </c>
      <c r="L401" s="4">
        <v>2</v>
      </c>
      <c r="M401" s="5">
        <v>116.96</v>
      </c>
      <c r="N401" s="4" t="s">
        <v>78</v>
      </c>
      <c r="O401" s="5">
        <v>11.7</v>
      </c>
      <c r="P401" s="5">
        <v>0</v>
      </c>
      <c r="Q401" s="5">
        <v>8.42</v>
      </c>
      <c r="R401" s="5">
        <v>113.68</v>
      </c>
      <c r="S401" s="4" t="s">
        <v>332</v>
      </c>
      <c r="T401" s="4" t="s">
        <v>99</v>
      </c>
      <c r="U401" s="4" t="s">
        <v>317</v>
      </c>
      <c r="V401" s="4"/>
      <c r="W401" s="5">
        <v>0</v>
      </c>
    </row>
    <row r="402" spans="1:23" x14ac:dyDescent="0.3">
      <c r="A402" s="2" t="s">
        <v>2665</v>
      </c>
      <c r="B402" s="2" t="s">
        <v>38</v>
      </c>
      <c r="C402" s="2" t="s">
        <v>2666</v>
      </c>
      <c r="D402" s="2" t="s">
        <v>2667</v>
      </c>
      <c r="E402" s="2" t="s">
        <v>2668</v>
      </c>
      <c r="F402" s="2" t="s">
        <v>2669</v>
      </c>
      <c r="G402" s="2" t="s">
        <v>119</v>
      </c>
      <c r="H402" s="2" t="s">
        <v>120</v>
      </c>
      <c r="I402" s="2" t="s">
        <v>31</v>
      </c>
      <c r="J402" s="2" t="s">
        <v>371</v>
      </c>
      <c r="K402" s="2" t="s">
        <v>122</v>
      </c>
      <c r="L402" s="2">
        <v>1</v>
      </c>
      <c r="M402" s="3">
        <v>109.99</v>
      </c>
      <c r="N402" s="2" t="s">
        <v>163</v>
      </c>
      <c r="O402" s="3">
        <v>22</v>
      </c>
      <c r="P402" s="3">
        <v>0</v>
      </c>
      <c r="Q402" s="3">
        <v>6.16</v>
      </c>
      <c r="R402" s="3">
        <v>94.15</v>
      </c>
      <c r="S402" s="2" t="s">
        <v>123</v>
      </c>
      <c r="T402" s="2" t="s">
        <v>144</v>
      </c>
      <c r="U402" s="2" t="s">
        <v>100</v>
      </c>
      <c r="V402" s="2"/>
      <c r="W402" s="3">
        <v>0</v>
      </c>
    </row>
    <row r="403" spans="1:23" x14ac:dyDescent="0.3">
      <c r="A403" s="4" t="s">
        <v>2670</v>
      </c>
      <c r="B403" s="4" t="s">
        <v>2671</v>
      </c>
      <c r="C403" s="4" t="s">
        <v>2672</v>
      </c>
      <c r="D403" s="4" t="s">
        <v>2673</v>
      </c>
      <c r="E403" s="4" t="s">
        <v>2674</v>
      </c>
      <c r="F403" s="4" t="s">
        <v>2675</v>
      </c>
      <c r="G403" s="4" t="s">
        <v>692</v>
      </c>
      <c r="H403" s="4" t="s">
        <v>693</v>
      </c>
      <c r="I403" s="4" t="s">
        <v>31</v>
      </c>
      <c r="J403" s="4" t="s">
        <v>217</v>
      </c>
      <c r="K403" s="4" t="s">
        <v>110</v>
      </c>
      <c r="L403" s="4">
        <v>1</v>
      </c>
      <c r="M403" s="5">
        <v>22.99</v>
      </c>
      <c r="N403" s="4" t="s">
        <v>34</v>
      </c>
      <c r="O403" s="5">
        <v>0</v>
      </c>
      <c r="P403" s="5">
        <v>4.99</v>
      </c>
      <c r="Q403" s="5">
        <v>1.38</v>
      </c>
      <c r="R403" s="5">
        <v>29.36</v>
      </c>
      <c r="S403" s="4" t="s">
        <v>35</v>
      </c>
      <c r="T403" s="4" t="s">
        <v>99</v>
      </c>
      <c r="U403" s="4" t="s">
        <v>51</v>
      </c>
      <c r="V403" s="4" t="s">
        <v>114</v>
      </c>
      <c r="W403" s="5">
        <v>0</v>
      </c>
    </row>
    <row r="404" spans="1:23" x14ac:dyDescent="0.3">
      <c r="A404" s="2" t="s">
        <v>2676</v>
      </c>
      <c r="B404" s="2" t="s">
        <v>1095</v>
      </c>
      <c r="C404" s="2" t="s">
        <v>2677</v>
      </c>
      <c r="D404" s="2" t="s">
        <v>2678</v>
      </c>
      <c r="E404" s="2" t="s">
        <v>2679</v>
      </c>
      <c r="F404" s="2" t="s">
        <v>2680</v>
      </c>
      <c r="G404" s="2" t="s">
        <v>640</v>
      </c>
      <c r="H404" s="2" t="s">
        <v>161</v>
      </c>
      <c r="I404" s="2" t="s">
        <v>31</v>
      </c>
      <c r="J404" s="2" t="s">
        <v>2681</v>
      </c>
      <c r="K404" s="2" t="s">
        <v>209</v>
      </c>
      <c r="L404" s="2">
        <v>2</v>
      </c>
      <c r="M404" s="3">
        <v>149.97999999999999</v>
      </c>
      <c r="N404" s="2" t="s">
        <v>78</v>
      </c>
      <c r="O404" s="3">
        <v>15</v>
      </c>
      <c r="P404" s="3">
        <v>0</v>
      </c>
      <c r="Q404" s="3">
        <v>9.4499999999999993</v>
      </c>
      <c r="R404" s="3">
        <v>144.43</v>
      </c>
      <c r="S404" s="2" t="s">
        <v>123</v>
      </c>
      <c r="T404" s="2" t="s">
        <v>50</v>
      </c>
      <c r="U404" s="2" t="s">
        <v>100</v>
      </c>
      <c r="V404" s="2"/>
      <c r="W404" s="3">
        <v>0</v>
      </c>
    </row>
    <row r="405" spans="1:23" x14ac:dyDescent="0.3">
      <c r="A405" s="4" t="s">
        <v>2682</v>
      </c>
      <c r="B405" s="4" t="s">
        <v>1176</v>
      </c>
      <c r="C405" s="4" t="s">
        <v>2683</v>
      </c>
      <c r="D405" s="4" t="s">
        <v>2684</v>
      </c>
      <c r="E405" s="4" t="s">
        <v>2685</v>
      </c>
      <c r="F405" s="4" t="s">
        <v>2686</v>
      </c>
      <c r="G405" s="4" t="s">
        <v>140</v>
      </c>
      <c r="H405" s="4" t="s">
        <v>141</v>
      </c>
      <c r="I405" s="4" t="s">
        <v>31</v>
      </c>
      <c r="J405" s="4" t="s">
        <v>2687</v>
      </c>
      <c r="K405" s="4" t="s">
        <v>143</v>
      </c>
      <c r="L405" s="4">
        <v>5</v>
      </c>
      <c r="M405" s="5">
        <v>496.93</v>
      </c>
      <c r="N405" s="4" t="s">
        <v>78</v>
      </c>
      <c r="O405" s="5">
        <v>49.69</v>
      </c>
      <c r="P405" s="5">
        <v>0</v>
      </c>
      <c r="Q405" s="5">
        <v>40.25</v>
      </c>
      <c r="R405" s="5">
        <v>487.49</v>
      </c>
      <c r="S405" s="4" t="s">
        <v>35</v>
      </c>
      <c r="T405" s="4" t="s">
        <v>65</v>
      </c>
      <c r="U405" s="4" t="s">
        <v>51</v>
      </c>
      <c r="V405" s="4" t="s">
        <v>959</v>
      </c>
      <c r="W405" s="5">
        <v>0</v>
      </c>
    </row>
    <row r="406" spans="1:23" x14ac:dyDescent="0.3">
      <c r="A406" s="2" t="s">
        <v>2688</v>
      </c>
      <c r="B406" s="2" t="s">
        <v>2285</v>
      </c>
      <c r="C406" s="2" t="s">
        <v>2689</v>
      </c>
      <c r="D406" s="2" t="s">
        <v>2690</v>
      </c>
      <c r="E406" s="2" t="s">
        <v>2691</v>
      </c>
      <c r="F406" s="2" t="s">
        <v>2692</v>
      </c>
      <c r="G406" s="2" t="s">
        <v>140</v>
      </c>
      <c r="H406" s="2" t="s">
        <v>141</v>
      </c>
      <c r="I406" s="2" t="s">
        <v>31</v>
      </c>
      <c r="J406" s="2" t="s">
        <v>782</v>
      </c>
      <c r="K406" s="2" t="s">
        <v>122</v>
      </c>
      <c r="L406" s="2">
        <v>2</v>
      </c>
      <c r="M406" s="3">
        <v>93.98</v>
      </c>
      <c r="N406" s="2" t="s">
        <v>163</v>
      </c>
      <c r="O406" s="3">
        <v>18.8</v>
      </c>
      <c r="P406" s="3">
        <v>0</v>
      </c>
      <c r="Q406" s="3">
        <v>4.51</v>
      </c>
      <c r="R406" s="3">
        <v>79.69</v>
      </c>
      <c r="S406" s="2" t="s">
        <v>123</v>
      </c>
      <c r="T406" s="2" t="s">
        <v>325</v>
      </c>
      <c r="U406" s="2" t="s">
        <v>37</v>
      </c>
      <c r="V406" s="2" t="s">
        <v>1176</v>
      </c>
      <c r="W406" s="3">
        <v>79.69</v>
      </c>
    </row>
    <row r="407" spans="1:23" x14ac:dyDescent="0.3">
      <c r="A407" s="4" t="s">
        <v>2693</v>
      </c>
      <c r="B407" s="4" t="s">
        <v>1209</v>
      </c>
      <c r="C407" s="4" t="s">
        <v>2694</v>
      </c>
      <c r="D407" s="4" t="s">
        <v>2695</v>
      </c>
      <c r="E407" s="4" t="s">
        <v>2696</v>
      </c>
      <c r="F407" s="4" t="s">
        <v>2697</v>
      </c>
      <c r="G407" s="4" t="s">
        <v>394</v>
      </c>
      <c r="H407" s="4" t="s">
        <v>395</v>
      </c>
      <c r="I407" s="4" t="s">
        <v>31</v>
      </c>
      <c r="J407" s="4" t="s">
        <v>293</v>
      </c>
      <c r="K407" s="4" t="s">
        <v>122</v>
      </c>
      <c r="L407" s="4">
        <v>1</v>
      </c>
      <c r="M407" s="5">
        <v>149.97999999999999</v>
      </c>
      <c r="N407" s="4" t="s">
        <v>78</v>
      </c>
      <c r="O407" s="5">
        <v>15</v>
      </c>
      <c r="P407" s="5">
        <v>0</v>
      </c>
      <c r="Q407" s="5">
        <v>12.15</v>
      </c>
      <c r="R407" s="5">
        <v>147.13</v>
      </c>
      <c r="S407" s="4" t="s">
        <v>111</v>
      </c>
      <c r="T407" s="4" t="s">
        <v>36</v>
      </c>
      <c r="U407" s="4" t="s">
        <v>66</v>
      </c>
      <c r="V407" s="4" t="s">
        <v>2698</v>
      </c>
      <c r="W407" s="5">
        <v>0</v>
      </c>
    </row>
    <row r="408" spans="1:23" x14ac:dyDescent="0.3">
      <c r="A408" s="2" t="s">
        <v>2699</v>
      </c>
      <c r="B408" s="2" t="s">
        <v>2171</v>
      </c>
      <c r="C408" s="2" t="s">
        <v>2700</v>
      </c>
      <c r="D408" s="2" t="s">
        <v>2701</v>
      </c>
      <c r="E408" s="2" t="s">
        <v>2702</v>
      </c>
      <c r="F408" s="2" t="s">
        <v>2703</v>
      </c>
      <c r="G408" s="2" t="s">
        <v>160</v>
      </c>
      <c r="H408" s="2" t="s">
        <v>161</v>
      </c>
      <c r="I408" s="2" t="s">
        <v>31</v>
      </c>
      <c r="J408" s="2" t="s">
        <v>2704</v>
      </c>
      <c r="K408" s="2" t="s">
        <v>209</v>
      </c>
      <c r="L408" s="2">
        <v>4</v>
      </c>
      <c r="M408" s="3">
        <v>354.93</v>
      </c>
      <c r="N408" s="2" t="s">
        <v>34</v>
      </c>
      <c r="O408" s="3">
        <v>0</v>
      </c>
      <c r="P408" s="3">
        <v>0</v>
      </c>
      <c r="Q408" s="3">
        <v>21.3</v>
      </c>
      <c r="R408" s="3">
        <v>376.23</v>
      </c>
      <c r="S408" s="2" t="s">
        <v>35</v>
      </c>
      <c r="T408" s="2" t="s">
        <v>183</v>
      </c>
      <c r="U408" s="2" t="s">
        <v>100</v>
      </c>
      <c r="V408" s="2"/>
      <c r="W408" s="3">
        <v>0</v>
      </c>
    </row>
    <row r="409" spans="1:23" x14ac:dyDescent="0.3">
      <c r="A409" s="4" t="s">
        <v>2705</v>
      </c>
      <c r="B409" s="4" t="s">
        <v>453</v>
      </c>
      <c r="C409" s="4" t="s">
        <v>2706</v>
      </c>
      <c r="D409" s="4" t="s">
        <v>2707</v>
      </c>
      <c r="E409" s="4" t="s">
        <v>2708</v>
      </c>
      <c r="F409" s="4" t="s">
        <v>2709</v>
      </c>
      <c r="G409" s="4" t="s">
        <v>131</v>
      </c>
      <c r="H409" s="4" t="s">
        <v>88</v>
      </c>
      <c r="I409" s="4" t="s">
        <v>31</v>
      </c>
      <c r="J409" s="4" t="s">
        <v>2710</v>
      </c>
      <c r="K409" s="4" t="s">
        <v>33</v>
      </c>
      <c r="L409" s="4">
        <v>4</v>
      </c>
      <c r="M409" s="5">
        <v>211.94</v>
      </c>
      <c r="N409" s="4" t="s">
        <v>34</v>
      </c>
      <c r="O409" s="5">
        <v>0</v>
      </c>
      <c r="P409" s="5">
        <v>0</v>
      </c>
      <c r="Q409" s="5">
        <v>21.19</v>
      </c>
      <c r="R409" s="5">
        <v>233.13</v>
      </c>
      <c r="S409" s="4" t="s">
        <v>35</v>
      </c>
      <c r="T409" s="4" t="s">
        <v>50</v>
      </c>
      <c r="U409" s="4" t="s">
        <v>317</v>
      </c>
      <c r="V409" s="4"/>
      <c r="W409" s="5">
        <v>0</v>
      </c>
    </row>
    <row r="410" spans="1:23" x14ac:dyDescent="0.3">
      <c r="A410" s="2" t="s">
        <v>2711</v>
      </c>
      <c r="B410" s="2" t="s">
        <v>1873</v>
      </c>
      <c r="C410" s="2" t="s">
        <v>2712</v>
      </c>
      <c r="D410" s="2" t="s">
        <v>2713</v>
      </c>
      <c r="E410" s="2" t="s">
        <v>2714</v>
      </c>
      <c r="F410" s="2" t="s">
        <v>2715</v>
      </c>
      <c r="G410" s="2" t="s">
        <v>347</v>
      </c>
      <c r="H410" s="2" t="s">
        <v>60</v>
      </c>
      <c r="I410" s="2" t="s">
        <v>31</v>
      </c>
      <c r="J410" s="2" t="s">
        <v>1320</v>
      </c>
      <c r="K410" s="2" t="s">
        <v>364</v>
      </c>
      <c r="L410" s="2">
        <v>1</v>
      </c>
      <c r="M410" s="3">
        <v>89.98</v>
      </c>
      <c r="N410" s="2" t="s">
        <v>78</v>
      </c>
      <c r="O410" s="3">
        <v>9</v>
      </c>
      <c r="P410" s="3">
        <v>0</v>
      </c>
      <c r="Q410" s="3">
        <v>8.1</v>
      </c>
      <c r="R410" s="3">
        <v>89.08</v>
      </c>
      <c r="S410" s="2" t="s">
        <v>332</v>
      </c>
      <c r="T410" s="2" t="s">
        <v>36</v>
      </c>
      <c r="U410" s="2" t="s">
        <v>66</v>
      </c>
      <c r="V410" s="2" t="s">
        <v>166</v>
      </c>
      <c r="W410" s="3">
        <v>0</v>
      </c>
    </row>
    <row r="411" spans="1:23" x14ac:dyDescent="0.3">
      <c r="A411" s="4" t="s">
        <v>2716</v>
      </c>
      <c r="B411" s="4" t="s">
        <v>2247</v>
      </c>
      <c r="C411" s="4" t="s">
        <v>2717</v>
      </c>
      <c r="D411" s="4" t="s">
        <v>2718</v>
      </c>
      <c r="E411" s="4" t="s">
        <v>2719</v>
      </c>
      <c r="F411" s="4" t="s">
        <v>2720</v>
      </c>
      <c r="G411" s="4" t="s">
        <v>140</v>
      </c>
      <c r="H411" s="4" t="s">
        <v>141</v>
      </c>
      <c r="I411" s="4" t="s">
        <v>31</v>
      </c>
      <c r="J411" s="4" t="s">
        <v>2721</v>
      </c>
      <c r="K411" s="4" t="s">
        <v>679</v>
      </c>
      <c r="L411" s="4">
        <v>1</v>
      </c>
      <c r="M411" s="5">
        <v>29.98</v>
      </c>
      <c r="N411" s="4" t="s">
        <v>163</v>
      </c>
      <c r="O411" s="5">
        <v>6</v>
      </c>
      <c r="P411" s="5">
        <v>7.99</v>
      </c>
      <c r="Q411" s="5">
        <v>2.16</v>
      </c>
      <c r="R411" s="5">
        <v>34.130000000000003</v>
      </c>
      <c r="S411" s="4" t="s">
        <v>64</v>
      </c>
      <c r="T411" s="4" t="s">
        <v>99</v>
      </c>
      <c r="U411" s="4" t="s">
        <v>317</v>
      </c>
      <c r="V411" s="4"/>
      <c r="W411" s="5">
        <v>0</v>
      </c>
    </row>
    <row r="412" spans="1:23" x14ac:dyDescent="0.3">
      <c r="A412" s="2" t="s">
        <v>2722</v>
      </c>
      <c r="B412" s="2" t="s">
        <v>2723</v>
      </c>
      <c r="C412" s="2" t="s">
        <v>2724</v>
      </c>
      <c r="D412" s="2" t="s">
        <v>2725</v>
      </c>
      <c r="E412" s="2" t="s">
        <v>2726</v>
      </c>
      <c r="F412" s="2" t="s">
        <v>2727</v>
      </c>
      <c r="G412" s="2" t="s">
        <v>180</v>
      </c>
      <c r="H412" s="2" t="s">
        <v>181</v>
      </c>
      <c r="I412" s="2" t="s">
        <v>31</v>
      </c>
      <c r="J412" s="2" t="s">
        <v>2576</v>
      </c>
      <c r="K412" s="2" t="s">
        <v>33</v>
      </c>
      <c r="L412" s="2">
        <v>1</v>
      </c>
      <c r="M412" s="3">
        <v>99.98</v>
      </c>
      <c r="N412" s="2" t="s">
        <v>163</v>
      </c>
      <c r="O412" s="3">
        <v>20</v>
      </c>
      <c r="P412" s="3">
        <v>0</v>
      </c>
      <c r="Q412" s="3">
        <v>7.2</v>
      </c>
      <c r="R412" s="3">
        <v>87.18</v>
      </c>
      <c r="S412" s="2" t="s">
        <v>64</v>
      </c>
      <c r="T412" s="2" t="s">
        <v>173</v>
      </c>
      <c r="U412" s="2" t="s">
        <v>66</v>
      </c>
      <c r="V412" s="2" t="s">
        <v>1529</v>
      </c>
      <c r="W412" s="3">
        <v>0</v>
      </c>
    </row>
    <row r="413" spans="1:23" x14ac:dyDescent="0.3">
      <c r="A413" s="4" t="s">
        <v>2728</v>
      </c>
      <c r="B413" s="4" t="s">
        <v>2729</v>
      </c>
      <c r="C413" s="4" t="s">
        <v>2730</v>
      </c>
      <c r="D413" s="4" t="s">
        <v>2731</v>
      </c>
      <c r="E413" s="4" t="s">
        <v>2732</v>
      </c>
      <c r="F413" s="4" t="s">
        <v>2733</v>
      </c>
      <c r="G413" s="4" t="s">
        <v>140</v>
      </c>
      <c r="H413" s="4" t="s">
        <v>141</v>
      </c>
      <c r="I413" s="4" t="s">
        <v>31</v>
      </c>
      <c r="J413" s="4" t="s">
        <v>151</v>
      </c>
      <c r="K413" s="4" t="s">
        <v>110</v>
      </c>
      <c r="L413" s="4">
        <v>1</v>
      </c>
      <c r="M413" s="5">
        <v>39.99</v>
      </c>
      <c r="N413" s="4" t="s">
        <v>34</v>
      </c>
      <c r="O413" s="5">
        <v>0</v>
      </c>
      <c r="P413" s="5">
        <v>4.99</v>
      </c>
      <c r="Q413" s="5">
        <v>3.6</v>
      </c>
      <c r="R413" s="5">
        <v>48.58</v>
      </c>
      <c r="S413" s="4" t="s">
        <v>35</v>
      </c>
      <c r="T413" s="4" t="s">
        <v>173</v>
      </c>
      <c r="U413" s="4" t="s">
        <v>66</v>
      </c>
      <c r="V413" s="4" t="s">
        <v>489</v>
      </c>
      <c r="W413" s="5">
        <v>0</v>
      </c>
    </row>
    <row r="414" spans="1:23" x14ac:dyDescent="0.3">
      <c r="A414" s="2" t="s">
        <v>2734</v>
      </c>
      <c r="B414" s="2" t="s">
        <v>619</v>
      </c>
      <c r="C414" s="2" t="s">
        <v>2735</v>
      </c>
      <c r="D414" s="2" t="s">
        <v>2736</v>
      </c>
      <c r="E414" s="2" t="s">
        <v>2737</v>
      </c>
      <c r="F414" s="2" t="s">
        <v>2738</v>
      </c>
      <c r="G414" s="2" t="s">
        <v>676</v>
      </c>
      <c r="H414" s="2" t="s">
        <v>677</v>
      </c>
      <c r="I414" s="2" t="s">
        <v>31</v>
      </c>
      <c r="J414" s="2" t="s">
        <v>2739</v>
      </c>
      <c r="K414" s="2" t="s">
        <v>122</v>
      </c>
      <c r="L414" s="2">
        <v>2</v>
      </c>
      <c r="M414" s="3">
        <v>117.98</v>
      </c>
      <c r="N414" s="2" t="s">
        <v>34</v>
      </c>
      <c r="O414" s="3">
        <v>0</v>
      </c>
      <c r="P414" s="3">
        <v>0</v>
      </c>
      <c r="Q414" s="3">
        <v>10.029999999999999</v>
      </c>
      <c r="R414" s="3">
        <v>128.01</v>
      </c>
      <c r="S414" s="2" t="s">
        <v>111</v>
      </c>
      <c r="T414" s="2" t="s">
        <v>99</v>
      </c>
      <c r="U414" s="2" t="s">
        <v>100</v>
      </c>
      <c r="V414" s="2"/>
      <c r="W414" s="3">
        <v>0</v>
      </c>
    </row>
    <row r="415" spans="1:23" x14ac:dyDescent="0.3">
      <c r="A415" s="4" t="s">
        <v>2740</v>
      </c>
      <c r="B415" s="4" t="s">
        <v>736</v>
      </c>
      <c r="C415" s="4" t="s">
        <v>2741</v>
      </c>
      <c r="D415" s="4" t="s">
        <v>2742</v>
      </c>
      <c r="E415" s="4" t="s">
        <v>2743</v>
      </c>
      <c r="F415" s="4" t="s">
        <v>2744</v>
      </c>
      <c r="G415" s="4" t="s">
        <v>131</v>
      </c>
      <c r="H415" s="4" t="s">
        <v>88</v>
      </c>
      <c r="I415" s="4" t="s">
        <v>31</v>
      </c>
      <c r="J415" s="4" t="s">
        <v>2745</v>
      </c>
      <c r="K415" s="4" t="s">
        <v>110</v>
      </c>
      <c r="L415" s="4">
        <v>3</v>
      </c>
      <c r="M415" s="5">
        <v>187.97</v>
      </c>
      <c r="N415" s="4" t="s">
        <v>49</v>
      </c>
      <c r="O415" s="5">
        <v>28.2</v>
      </c>
      <c r="P415" s="5">
        <v>0</v>
      </c>
      <c r="Q415" s="5">
        <v>9.59</v>
      </c>
      <c r="R415" s="5">
        <v>169.36</v>
      </c>
      <c r="S415" s="4" t="s">
        <v>35</v>
      </c>
      <c r="T415" s="4" t="s">
        <v>36</v>
      </c>
      <c r="U415" s="4" t="s">
        <v>100</v>
      </c>
      <c r="V415" s="4"/>
      <c r="W415" s="5">
        <v>0</v>
      </c>
    </row>
    <row r="416" spans="1:23" x14ac:dyDescent="0.3">
      <c r="A416" s="2" t="s">
        <v>2746</v>
      </c>
      <c r="B416" s="2" t="s">
        <v>2004</v>
      </c>
      <c r="C416" s="2" t="s">
        <v>2747</v>
      </c>
      <c r="D416" s="2" t="s">
        <v>2748</v>
      </c>
      <c r="E416" s="2" t="s">
        <v>2749</v>
      </c>
      <c r="F416" s="2" t="s">
        <v>2750</v>
      </c>
      <c r="G416" s="2" t="s">
        <v>224</v>
      </c>
      <c r="H416" s="2" t="s">
        <v>225</v>
      </c>
      <c r="I416" s="2" t="s">
        <v>31</v>
      </c>
      <c r="J416" s="2" t="s">
        <v>2751</v>
      </c>
      <c r="K416" s="2" t="s">
        <v>33</v>
      </c>
      <c r="L416" s="2">
        <v>5</v>
      </c>
      <c r="M416" s="3">
        <v>262.93</v>
      </c>
      <c r="N416" s="2" t="s">
        <v>34</v>
      </c>
      <c r="O416" s="3">
        <v>0</v>
      </c>
      <c r="P416" s="3">
        <v>0</v>
      </c>
      <c r="Q416" s="3">
        <v>18.41</v>
      </c>
      <c r="R416" s="3">
        <v>281.33999999999997</v>
      </c>
      <c r="S416" s="2" t="s">
        <v>123</v>
      </c>
      <c r="T416" s="2" t="s">
        <v>99</v>
      </c>
      <c r="U416" s="2" t="s">
        <v>66</v>
      </c>
      <c r="V416" s="2" t="s">
        <v>1865</v>
      </c>
      <c r="W416" s="3">
        <v>0</v>
      </c>
    </row>
    <row r="417" spans="1:23" x14ac:dyDescent="0.3">
      <c r="A417" s="4" t="s">
        <v>2752</v>
      </c>
      <c r="B417" s="4" t="s">
        <v>2296</v>
      </c>
      <c r="C417" s="4" t="s">
        <v>2753</v>
      </c>
      <c r="D417" s="4" t="s">
        <v>2754</v>
      </c>
      <c r="E417" s="4" t="s">
        <v>2755</v>
      </c>
      <c r="F417" s="4" t="s">
        <v>2756</v>
      </c>
      <c r="G417" s="4" t="s">
        <v>190</v>
      </c>
      <c r="H417" s="4" t="s">
        <v>161</v>
      </c>
      <c r="I417" s="4" t="s">
        <v>31</v>
      </c>
      <c r="J417" s="4" t="s">
        <v>1238</v>
      </c>
      <c r="K417" s="4" t="s">
        <v>209</v>
      </c>
      <c r="L417" s="4">
        <v>1</v>
      </c>
      <c r="M417" s="5">
        <v>39.99</v>
      </c>
      <c r="N417" s="4" t="s">
        <v>34</v>
      </c>
      <c r="O417" s="5">
        <v>0</v>
      </c>
      <c r="P417" s="5">
        <v>9.99</v>
      </c>
      <c r="Q417" s="5">
        <v>3.4</v>
      </c>
      <c r="R417" s="5">
        <v>53.38</v>
      </c>
      <c r="S417" s="4" t="s">
        <v>123</v>
      </c>
      <c r="T417" s="4" t="s">
        <v>65</v>
      </c>
      <c r="U417" s="4" t="s">
        <v>66</v>
      </c>
      <c r="V417" s="4" t="s">
        <v>579</v>
      </c>
      <c r="W417" s="5">
        <v>0</v>
      </c>
    </row>
    <row r="418" spans="1:23" x14ac:dyDescent="0.3">
      <c r="A418" s="2" t="s">
        <v>2757</v>
      </c>
      <c r="B418" s="2" t="s">
        <v>421</v>
      </c>
      <c r="C418" s="2" t="s">
        <v>2758</v>
      </c>
      <c r="D418" s="2" t="s">
        <v>2759</v>
      </c>
      <c r="E418" s="2" t="s">
        <v>2760</v>
      </c>
      <c r="F418" s="2" t="s">
        <v>2761</v>
      </c>
      <c r="G418" s="2" t="s">
        <v>251</v>
      </c>
      <c r="H418" s="2" t="s">
        <v>252</v>
      </c>
      <c r="I418" s="2" t="s">
        <v>31</v>
      </c>
      <c r="J418" s="2" t="s">
        <v>2762</v>
      </c>
      <c r="K418" s="2" t="s">
        <v>33</v>
      </c>
      <c r="L418" s="2">
        <v>3</v>
      </c>
      <c r="M418" s="3">
        <v>214.94</v>
      </c>
      <c r="N418" s="2" t="s">
        <v>49</v>
      </c>
      <c r="O418" s="3">
        <v>32.24</v>
      </c>
      <c r="P418" s="3">
        <v>0</v>
      </c>
      <c r="Q418" s="3">
        <v>15.53</v>
      </c>
      <c r="R418" s="3">
        <v>198.23</v>
      </c>
      <c r="S418" s="2" t="s">
        <v>123</v>
      </c>
      <c r="T418" s="2" t="s">
        <v>144</v>
      </c>
      <c r="U418" s="2" t="s">
        <v>100</v>
      </c>
      <c r="V418" s="2"/>
      <c r="W418" s="3">
        <v>0</v>
      </c>
    </row>
    <row r="419" spans="1:23" x14ac:dyDescent="0.3">
      <c r="A419" s="4" t="s">
        <v>2763</v>
      </c>
      <c r="B419" s="4" t="s">
        <v>102</v>
      </c>
      <c r="C419" s="4" t="s">
        <v>2764</v>
      </c>
      <c r="D419" s="4" t="s">
        <v>2425</v>
      </c>
      <c r="E419" s="4" t="s">
        <v>2765</v>
      </c>
      <c r="F419" s="4" t="s">
        <v>2766</v>
      </c>
      <c r="G419" s="4" t="s">
        <v>119</v>
      </c>
      <c r="H419" s="4" t="s">
        <v>120</v>
      </c>
      <c r="I419" s="4" t="s">
        <v>31</v>
      </c>
      <c r="J419" s="4" t="s">
        <v>526</v>
      </c>
      <c r="K419" s="4" t="s">
        <v>110</v>
      </c>
      <c r="L419" s="4">
        <v>1</v>
      </c>
      <c r="M419" s="5">
        <v>32.99</v>
      </c>
      <c r="N419" s="4" t="s">
        <v>163</v>
      </c>
      <c r="O419" s="5">
        <v>6.6</v>
      </c>
      <c r="P419" s="5">
        <v>4.99</v>
      </c>
      <c r="Q419" s="5">
        <v>2.2400000000000002</v>
      </c>
      <c r="R419" s="5">
        <v>33.619999999999997</v>
      </c>
      <c r="S419" s="4" t="s">
        <v>64</v>
      </c>
      <c r="T419" s="4" t="s">
        <v>36</v>
      </c>
      <c r="U419" s="4" t="s">
        <v>100</v>
      </c>
      <c r="V419" s="4"/>
      <c r="W419" s="5">
        <v>0</v>
      </c>
    </row>
    <row r="420" spans="1:23" x14ac:dyDescent="0.3">
      <c r="A420" s="2" t="s">
        <v>2767</v>
      </c>
      <c r="B420" s="2" t="s">
        <v>2015</v>
      </c>
      <c r="C420" s="2" t="s">
        <v>2768</v>
      </c>
      <c r="D420" s="2" t="s">
        <v>2769</v>
      </c>
      <c r="E420" s="2" t="s">
        <v>2770</v>
      </c>
      <c r="F420" s="2" t="s">
        <v>2771</v>
      </c>
      <c r="G420" s="2" t="s">
        <v>29</v>
      </c>
      <c r="H420" s="2" t="s">
        <v>30</v>
      </c>
      <c r="I420" s="2" t="s">
        <v>31</v>
      </c>
      <c r="J420" s="2" t="s">
        <v>503</v>
      </c>
      <c r="K420" s="2" t="s">
        <v>122</v>
      </c>
      <c r="L420" s="2">
        <v>1</v>
      </c>
      <c r="M420" s="3">
        <v>59.99</v>
      </c>
      <c r="N420" s="2" t="s">
        <v>78</v>
      </c>
      <c r="O420" s="3">
        <v>6</v>
      </c>
      <c r="P420" s="3">
        <v>9.99</v>
      </c>
      <c r="Q420" s="3">
        <v>3.78</v>
      </c>
      <c r="R420" s="3">
        <v>67.760000000000005</v>
      </c>
      <c r="S420" s="2" t="s">
        <v>111</v>
      </c>
      <c r="T420" s="2" t="s">
        <v>144</v>
      </c>
      <c r="U420" s="2" t="s">
        <v>317</v>
      </c>
      <c r="V420" s="2"/>
      <c r="W420" s="3">
        <v>0</v>
      </c>
    </row>
    <row r="421" spans="1:23" x14ac:dyDescent="0.3">
      <c r="A421" s="4" t="s">
        <v>2772</v>
      </c>
      <c r="B421" s="4" t="s">
        <v>924</v>
      </c>
      <c r="C421" s="4" t="s">
        <v>2773</v>
      </c>
      <c r="D421" s="4" t="s">
        <v>2774</v>
      </c>
      <c r="E421" s="4" t="s">
        <v>2775</v>
      </c>
      <c r="F421" s="4" t="s">
        <v>2776</v>
      </c>
      <c r="G421" s="4" t="s">
        <v>59</v>
      </c>
      <c r="H421" s="4" t="s">
        <v>60</v>
      </c>
      <c r="I421" s="4" t="s">
        <v>31</v>
      </c>
      <c r="J421" s="4" t="s">
        <v>1997</v>
      </c>
      <c r="K421" s="4" t="s">
        <v>143</v>
      </c>
      <c r="L421" s="4">
        <v>1</v>
      </c>
      <c r="M421" s="5">
        <v>129.99</v>
      </c>
      <c r="N421" s="4" t="s">
        <v>34</v>
      </c>
      <c r="O421" s="5">
        <v>0</v>
      </c>
      <c r="P421" s="5">
        <v>0</v>
      </c>
      <c r="Q421" s="5">
        <v>9.1</v>
      </c>
      <c r="R421" s="5">
        <v>139.09</v>
      </c>
      <c r="S421" s="4" t="s">
        <v>64</v>
      </c>
      <c r="T421" s="4" t="s">
        <v>99</v>
      </c>
      <c r="U421" s="4" t="s">
        <v>317</v>
      </c>
      <c r="V421" s="4"/>
      <c r="W421" s="5">
        <v>0</v>
      </c>
    </row>
    <row r="422" spans="1:23" x14ac:dyDescent="0.3">
      <c r="A422" s="2" t="s">
        <v>2777</v>
      </c>
      <c r="B422" s="2" t="s">
        <v>328</v>
      </c>
      <c r="C422" s="2" t="s">
        <v>2778</v>
      </c>
      <c r="D422" s="2" t="s">
        <v>2779</v>
      </c>
      <c r="E422" s="2" t="s">
        <v>2780</v>
      </c>
      <c r="F422" s="2" t="s">
        <v>2781</v>
      </c>
      <c r="G422" s="2" t="s">
        <v>1730</v>
      </c>
      <c r="H422" s="2" t="s">
        <v>161</v>
      </c>
      <c r="I422" s="2" t="s">
        <v>31</v>
      </c>
      <c r="J422" s="2" t="s">
        <v>1141</v>
      </c>
      <c r="K422" s="2" t="s">
        <v>122</v>
      </c>
      <c r="L422" s="2">
        <v>1</v>
      </c>
      <c r="M422" s="3">
        <v>74.989999999999995</v>
      </c>
      <c r="N422" s="2" t="s">
        <v>63</v>
      </c>
      <c r="O422" s="3">
        <v>18.75</v>
      </c>
      <c r="P422" s="3">
        <v>4.99</v>
      </c>
      <c r="Q422" s="3">
        <v>3.37</v>
      </c>
      <c r="R422" s="3">
        <v>64.599999999999994</v>
      </c>
      <c r="S422" s="2" t="s">
        <v>35</v>
      </c>
      <c r="T422" s="2" t="s">
        <v>99</v>
      </c>
      <c r="U422" s="2" t="s">
        <v>66</v>
      </c>
      <c r="V422" s="2" t="s">
        <v>333</v>
      </c>
      <c r="W422" s="3">
        <v>0</v>
      </c>
    </row>
    <row r="423" spans="1:23" x14ac:dyDescent="0.3">
      <c r="A423" s="4" t="s">
        <v>2782</v>
      </c>
      <c r="B423" s="4" t="s">
        <v>145</v>
      </c>
      <c r="C423" s="4" t="s">
        <v>2783</v>
      </c>
      <c r="D423" s="4" t="s">
        <v>2784</v>
      </c>
      <c r="E423" s="4" t="s">
        <v>2785</v>
      </c>
      <c r="F423" s="4" t="s">
        <v>2786</v>
      </c>
      <c r="G423" s="4" t="s">
        <v>242</v>
      </c>
      <c r="H423" s="4" t="s">
        <v>243</v>
      </c>
      <c r="I423" s="4" t="s">
        <v>31</v>
      </c>
      <c r="J423" s="4" t="s">
        <v>533</v>
      </c>
      <c r="K423" s="4" t="s">
        <v>209</v>
      </c>
      <c r="L423" s="4">
        <v>1</v>
      </c>
      <c r="M423" s="5">
        <v>239.98</v>
      </c>
      <c r="N423" s="4" t="s">
        <v>63</v>
      </c>
      <c r="O423" s="5">
        <v>59.99</v>
      </c>
      <c r="P423" s="5">
        <v>0</v>
      </c>
      <c r="Q423" s="5">
        <v>16.2</v>
      </c>
      <c r="R423" s="5">
        <v>196.19</v>
      </c>
      <c r="S423" s="4" t="s">
        <v>64</v>
      </c>
      <c r="T423" s="4" t="s">
        <v>144</v>
      </c>
      <c r="U423" s="4" t="s">
        <v>100</v>
      </c>
      <c r="V423" s="4"/>
      <c r="W423" s="5">
        <v>0</v>
      </c>
    </row>
    <row r="424" spans="1:23" x14ac:dyDescent="0.3">
      <c r="A424" s="2" t="s">
        <v>2787</v>
      </c>
      <c r="B424" s="2" t="s">
        <v>1488</v>
      </c>
      <c r="C424" s="2" t="s">
        <v>2788</v>
      </c>
      <c r="D424" s="2" t="s">
        <v>2789</v>
      </c>
      <c r="E424" s="2" t="s">
        <v>2790</v>
      </c>
      <c r="F424" s="2" t="s">
        <v>2791</v>
      </c>
      <c r="G424" s="2" t="s">
        <v>59</v>
      </c>
      <c r="H424" s="2" t="s">
        <v>60</v>
      </c>
      <c r="I424" s="2" t="s">
        <v>31</v>
      </c>
      <c r="J424" s="2" t="s">
        <v>2792</v>
      </c>
      <c r="K424" s="2" t="s">
        <v>209</v>
      </c>
      <c r="L424" s="2">
        <v>1</v>
      </c>
      <c r="M424" s="3">
        <v>79.98</v>
      </c>
      <c r="N424" s="2" t="s">
        <v>78</v>
      </c>
      <c r="O424" s="3">
        <v>8</v>
      </c>
      <c r="P424" s="3">
        <v>0</v>
      </c>
      <c r="Q424" s="3">
        <v>5.04</v>
      </c>
      <c r="R424" s="3">
        <v>77.02</v>
      </c>
      <c r="S424" s="2" t="s">
        <v>64</v>
      </c>
      <c r="T424" s="2" t="s">
        <v>144</v>
      </c>
      <c r="U424" s="2" t="s">
        <v>37</v>
      </c>
      <c r="V424" s="2" t="s">
        <v>1618</v>
      </c>
      <c r="W424" s="3">
        <v>77.02</v>
      </c>
    </row>
    <row r="425" spans="1:23" x14ac:dyDescent="0.3">
      <c r="A425" s="4" t="s">
        <v>2793</v>
      </c>
      <c r="B425" s="4" t="s">
        <v>806</v>
      </c>
      <c r="C425" s="4" t="s">
        <v>2794</v>
      </c>
      <c r="D425" s="4" t="s">
        <v>2795</v>
      </c>
      <c r="E425" s="4" t="s">
        <v>2796</v>
      </c>
      <c r="F425" s="4" t="s">
        <v>2797</v>
      </c>
      <c r="G425" s="4" t="s">
        <v>131</v>
      </c>
      <c r="H425" s="4" t="s">
        <v>88</v>
      </c>
      <c r="I425" s="4" t="s">
        <v>31</v>
      </c>
      <c r="J425" s="4" t="s">
        <v>2798</v>
      </c>
      <c r="K425" s="4" t="s">
        <v>364</v>
      </c>
      <c r="L425" s="4">
        <v>1</v>
      </c>
      <c r="M425" s="5">
        <v>39.979999999999997</v>
      </c>
      <c r="N425" s="4" t="s">
        <v>34</v>
      </c>
      <c r="O425" s="5">
        <v>0</v>
      </c>
      <c r="P425" s="5">
        <v>5.99</v>
      </c>
      <c r="Q425" s="5">
        <v>3.4</v>
      </c>
      <c r="R425" s="5">
        <v>49.37</v>
      </c>
      <c r="S425" s="4" t="s">
        <v>35</v>
      </c>
      <c r="T425" s="4" t="s">
        <v>173</v>
      </c>
      <c r="U425" s="4" t="s">
        <v>66</v>
      </c>
      <c r="V425" s="4" t="s">
        <v>284</v>
      </c>
      <c r="W425" s="5">
        <v>0</v>
      </c>
    </row>
    <row r="426" spans="1:23" x14ac:dyDescent="0.3">
      <c r="A426" s="2" t="s">
        <v>2799</v>
      </c>
      <c r="B426" s="2" t="s">
        <v>641</v>
      </c>
      <c r="C426" s="2" t="s">
        <v>2800</v>
      </c>
      <c r="D426" s="2" t="s">
        <v>2801</v>
      </c>
      <c r="E426" s="2" t="s">
        <v>2802</v>
      </c>
      <c r="F426" s="2" t="s">
        <v>2803</v>
      </c>
      <c r="G426" s="2" t="s">
        <v>140</v>
      </c>
      <c r="H426" s="2" t="s">
        <v>141</v>
      </c>
      <c r="I426" s="2" t="s">
        <v>31</v>
      </c>
      <c r="J426" s="2" t="s">
        <v>577</v>
      </c>
      <c r="K426" s="2" t="s">
        <v>364</v>
      </c>
      <c r="L426" s="2">
        <v>1</v>
      </c>
      <c r="M426" s="3">
        <v>19.989999999999998</v>
      </c>
      <c r="N426" s="2" t="s">
        <v>49</v>
      </c>
      <c r="O426" s="3">
        <v>3</v>
      </c>
      <c r="P426" s="3">
        <v>9.99</v>
      </c>
      <c r="Q426" s="3">
        <v>1.53</v>
      </c>
      <c r="R426" s="3">
        <v>28.51</v>
      </c>
      <c r="S426" s="2" t="s">
        <v>332</v>
      </c>
      <c r="T426" s="2" t="s">
        <v>99</v>
      </c>
      <c r="U426" s="2" t="s">
        <v>66</v>
      </c>
      <c r="V426" s="2" t="s">
        <v>915</v>
      </c>
      <c r="W426" s="3">
        <v>0</v>
      </c>
    </row>
    <row r="427" spans="1:23" x14ac:dyDescent="0.3">
      <c r="A427" s="4" t="s">
        <v>2804</v>
      </c>
      <c r="B427" s="4" t="s">
        <v>2805</v>
      </c>
      <c r="C427" s="4" t="s">
        <v>2806</v>
      </c>
      <c r="D427" s="4" t="s">
        <v>2807</v>
      </c>
      <c r="E427" s="4" t="s">
        <v>2808</v>
      </c>
      <c r="F427" s="4" t="s">
        <v>2809</v>
      </c>
      <c r="G427" s="4" t="s">
        <v>180</v>
      </c>
      <c r="H427" s="4" t="s">
        <v>181</v>
      </c>
      <c r="I427" s="4" t="s">
        <v>31</v>
      </c>
      <c r="J427" s="4" t="s">
        <v>283</v>
      </c>
      <c r="K427" s="4" t="s">
        <v>209</v>
      </c>
      <c r="L427" s="4">
        <v>1</v>
      </c>
      <c r="M427" s="5">
        <v>49.99</v>
      </c>
      <c r="N427" s="4" t="s">
        <v>34</v>
      </c>
      <c r="O427" s="5">
        <v>0</v>
      </c>
      <c r="P427" s="5">
        <v>5.99</v>
      </c>
      <c r="Q427" s="5">
        <v>4.5</v>
      </c>
      <c r="R427" s="5">
        <v>60.48</v>
      </c>
      <c r="S427" s="4" t="s">
        <v>35</v>
      </c>
      <c r="T427" s="4" t="s">
        <v>36</v>
      </c>
      <c r="U427" s="4" t="s">
        <v>37</v>
      </c>
      <c r="V427" s="4" t="s">
        <v>286</v>
      </c>
      <c r="W427" s="5">
        <v>60.48</v>
      </c>
    </row>
    <row r="428" spans="1:23" x14ac:dyDescent="0.3">
      <c r="A428" s="2" t="s">
        <v>2810</v>
      </c>
      <c r="B428" s="2" t="s">
        <v>2149</v>
      </c>
      <c r="C428" s="2" t="s">
        <v>2811</v>
      </c>
      <c r="D428" s="2" t="s">
        <v>840</v>
      </c>
      <c r="E428" s="2" t="s">
        <v>2812</v>
      </c>
      <c r="F428" s="2" t="s">
        <v>2813</v>
      </c>
      <c r="G428" s="2" t="s">
        <v>251</v>
      </c>
      <c r="H428" s="2" t="s">
        <v>252</v>
      </c>
      <c r="I428" s="2" t="s">
        <v>31</v>
      </c>
      <c r="J428" s="2" t="s">
        <v>2814</v>
      </c>
      <c r="K428" s="2" t="s">
        <v>679</v>
      </c>
      <c r="L428" s="2">
        <v>2</v>
      </c>
      <c r="M428" s="3">
        <v>47.98</v>
      </c>
      <c r="N428" s="2" t="s">
        <v>152</v>
      </c>
      <c r="O428" s="3">
        <v>2.4</v>
      </c>
      <c r="P428" s="3">
        <v>9.99</v>
      </c>
      <c r="Q428" s="3">
        <v>4.5599999999999996</v>
      </c>
      <c r="R428" s="3">
        <v>60.13</v>
      </c>
      <c r="S428" s="2" t="s">
        <v>35</v>
      </c>
      <c r="T428" s="2" t="s">
        <v>183</v>
      </c>
      <c r="U428" s="2" t="s">
        <v>317</v>
      </c>
      <c r="V428" s="2"/>
      <c r="W428" s="3">
        <v>0</v>
      </c>
    </row>
    <row r="429" spans="1:23" x14ac:dyDescent="0.3">
      <c r="A429" s="4" t="s">
        <v>2815</v>
      </c>
      <c r="B429" s="4" t="s">
        <v>397</v>
      </c>
      <c r="C429" s="4" t="s">
        <v>2816</v>
      </c>
      <c r="D429" s="4" t="s">
        <v>2817</v>
      </c>
      <c r="E429" s="4" t="s">
        <v>2818</v>
      </c>
      <c r="F429" s="4" t="s">
        <v>2819</v>
      </c>
      <c r="G429" s="4" t="s">
        <v>428</v>
      </c>
      <c r="H429" s="4" t="s">
        <v>429</v>
      </c>
      <c r="I429" s="4" t="s">
        <v>31</v>
      </c>
      <c r="J429" s="4" t="s">
        <v>2820</v>
      </c>
      <c r="K429" s="4" t="s">
        <v>209</v>
      </c>
      <c r="L429" s="4">
        <v>3</v>
      </c>
      <c r="M429" s="5">
        <v>254.97</v>
      </c>
      <c r="N429" s="4" t="s">
        <v>63</v>
      </c>
      <c r="O429" s="5">
        <v>63.74</v>
      </c>
      <c r="P429" s="5">
        <v>0</v>
      </c>
      <c r="Q429" s="5">
        <v>15.3</v>
      </c>
      <c r="R429" s="5">
        <v>206.53</v>
      </c>
      <c r="S429" s="4" t="s">
        <v>332</v>
      </c>
      <c r="T429" s="4" t="s">
        <v>99</v>
      </c>
      <c r="U429" s="4" t="s">
        <v>66</v>
      </c>
      <c r="V429" s="4" t="s">
        <v>1713</v>
      </c>
      <c r="W429" s="5">
        <v>0</v>
      </c>
    </row>
    <row r="430" spans="1:23" x14ac:dyDescent="0.3">
      <c r="A430" s="2" t="s">
        <v>2821</v>
      </c>
      <c r="B430" s="2" t="s">
        <v>992</v>
      </c>
      <c r="C430" s="2" t="s">
        <v>2822</v>
      </c>
      <c r="D430" s="2" t="s">
        <v>2823</v>
      </c>
      <c r="E430" s="2" t="s">
        <v>2824</v>
      </c>
      <c r="F430" s="2" t="s">
        <v>2825</v>
      </c>
      <c r="G430" s="2" t="s">
        <v>640</v>
      </c>
      <c r="H430" s="2" t="s">
        <v>161</v>
      </c>
      <c r="I430" s="2" t="s">
        <v>31</v>
      </c>
      <c r="J430" s="2" t="s">
        <v>977</v>
      </c>
      <c r="K430" s="2" t="s">
        <v>77</v>
      </c>
      <c r="L430" s="2">
        <v>2</v>
      </c>
      <c r="M430" s="3">
        <v>67.98</v>
      </c>
      <c r="N430" s="2" t="s">
        <v>34</v>
      </c>
      <c r="O430" s="3">
        <v>0</v>
      </c>
      <c r="P430" s="3">
        <v>9.99</v>
      </c>
      <c r="Q430" s="3">
        <v>5.44</v>
      </c>
      <c r="R430" s="3">
        <v>83.41</v>
      </c>
      <c r="S430" s="2" t="s">
        <v>64</v>
      </c>
      <c r="T430" s="2" t="s">
        <v>99</v>
      </c>
      <c r="U430" s="2" t="s">
        <v>51</v>
      </c>
      <c r="V430" s="2" t="s">
        <v>333</v>
      </c>
      <c r="W430" s="3">
        <v>0</v>
      </c>
    </row>
    <row r="431" spans="1:23" x14ac:dyDescent="0.3">
      <c r="A431" s="4" t="s">
        <v>2826</v>
      </c>
      <c r="B431" s="4" t="s">
        <v>1781</v>
      </c>
      <c r="C431" s="4" t="s">
        <v>2827</v>
      </c>
      <c r="D431" s="4" t="s">
        <v>320</v>
      </c>
      <c r="E431" s="4" t="s">
        <v>2828</v>
      </c>
      <c r="F431" s="4" t="s">
        <v>2829</v>
      </c>
      <c r="G431" s="4" t="s">
        <v>394</v>
      </c>
      <c r="H431" s="4" t="s">
        <v>395</v>
      </c>
      <c r="I431" s="4" t="s">
        <v>31</v>
      </c>
      <c r="J431" s="4" t="s">
        <v>2830</v>
      </c>
      <c r="K431" s="4" t="s">
        <v>110</v>
      </c>
      <c r="L431" s="4">
        <v>3</v>
      </c>
      <c r="M431" s="5">
        <v>249.96</v>
      </c>
      <c r="N431" s="4" t="s">
        <v>78</v>
      </c>
      <c r="O431" s="5">
        <v>25</v>
      </c>
      <c r="P431" s="5">
        <v>0</v>
      </c>
      <c r="Q431" s="5">
        <v>20.25</v>
      </c>
      <c r="R431" s="5">
        <v>245.21</v>
      </c>
      <c r="S431" s="4" t="s">
        <v>64</v>
      </c>
      <c r="T431" s="4" t="s">
        <v>183</v>
      </c>
      <c r="U431" s="4" t="s">
        <v>51</v>
      </c>
      <c r="V431" s="4" t="s">
        <v>2831</v>
      </c>
      <c r="W431" s="5">
        <v>0</v>
      </c>
    </row>
    <row r="432" spans="1:23" x14ac:dyDescent="0.3">
      <c r="A432" s="2" t="s">
        <v>2832</v>
      </c>
      <c r="B432" s="2" t="s">
        <v>1848</v>
      </c>
      <c r="C432" s="2" t="s">
        <v>2833</v>
      </c>
      <c r="D432" s="2" t="s">
        <v>2834</v>
      </c>
      <c r="E432" s="2" t="s">
        <v>2835</v>
      </c>
      <c r="F432" s="2" t="s">
        <v>2836</v>
      </c>
      <c r="G432" s="2" t="s">
        <v>180</v>
      </c>
      <c r="H432" s="2" t="s">
        <v>181</v>
      </c>
      <c r="I432" s="2" t="s">
        <v>31</v>
      </c>
      <c r="J432" s="2" t="s">
        <v>2837</v>
      </c>
      <c r="K432" s="2" t="s">
        <v>679</v>
      </c>
      <c r="L432" s="2">
        <v>2</v>
      </c>
      <c r="M432" s="3">
        <v>44.98</v>
      </c>
      <c r="N432" s="2" t="s">
        <v>152</v>
      </c>
      <c r="O432" s="3">
        <v>2.25</v>
      </c>
      <c r="P432" s="3">
        <v>9.99</v>
      </c>
      <c r="Q432" s="3">
        <v>3.42</v>
      </c>
      <c r="R432" s="3">
        <v>56.14</v>
      </c>
      <c r="S432" s="2" t="s">
        <v>64</v>
      </c>
      <c r="T432" s="2" t="s">
        <v>36</v>
      </c>
      <c r="U432" s="2" t="s">
        <v>100</v>
      </c>
      <c r="V432" s="2"/>
      <c r="W432" s="3">
        <v>0</v>
      </c>
    </row>
    <row r="433" spans="1:23" x14ac:dyDescent="0.3">
      <c r="A433" s="4" t="s">
        <v>2838</v>
      </c>
      <c r="B433" s="4" t="s">
        <v>2839</v>
      </c>
      <c r="C433" s="4" t="s">
        <v>2840</v>
      </c>
      <c r="D433" s="4" t="s">
        <v>2841</v>
      </c>
      <c r="E433" s="4" t="s">
        <v>2842</v>
      </c>
      <c r="F433" s="4" t="s">
        <v>2843</v>
      </c>
      <c r="G433" s="4" t="s">
        <v>640</v>
      </c>
      <c r="H433" s="4" t="s">
        <v>161</v>
      </c>
      <c r="I433" s="4" t="s">
        <v>31</v>
      </c>
      <c r="J433" s="4" t="s">
        <v>1148</v>
      </c>
      <c r="K433" s="4" t="s">
        <v>33</v>
      </c>
      <c r="L433" s="4">
        <v>1</v>
      </c>
      <c r="M433" s="5">
        <v>18.989999999999998</v>
      </c>
      <c r="N433" s="4" t="s">
        <v>63</v>
      </c>
      <c r="O433" s="5">
        <v>4.75</v>
      </c>
      <c r="P433" s="5">
        <v>4.99</v>
      </c>
      <c r="Q433" s="5">
        <v>1.42</v>
      </c>
      <c r="R433" s="5">
        <v>20.65</v>
      </c>
      <c r="S433" s="4" t="s">
        <v>35</v>
      </c>
      <c r="T433" s="4" t="s">
        <v>173</v>
      </c>
      <c r="U433" s="4" t="s">
        <v>66</v>
      </c>
      <c r="V433" s="4" t="s">
        <v>851</v>
      </c>
      <c r="W433" s="5">
        <v>0</v>
      </c>
    </row>
    <row r="434" spans="1:23" x14ac:dyDescent="0.3">
      <c r="A434" s="2" t="s">
        <v>2844</v>
      </c>
      <c r="B434" s="2" t="s">
        <v>2729</v>
      </c>
      <c r="C434" s="2" t="s">
        <v>2845</v>
      </c>
      <c r="D434" s="2" t="s">
        <v>2846</v>
      </c>
      <c r="E434" s="2" t="s">
        <v>2847</v>
      </c>
      <c r="F434" s="2" t="s">
        <v>2848</v>
      </c>
      <c r="G434" s="2" t="s">
        <v>394</v>
      </c>
      <c r="H434" s="2" t="s">
        <v>395</v>
      </c>
      <c r="I434" s="2" t="s">
        <v>31</v>
      </c>
      <c r="J434" s="2" t="s">
        <v>1269</v>
      </c>
      <c r="K434" s="2" t="s">
        <v>77</v>
      </c>
      <c r="L434" s="2">
        <v>1</v>
      </c>
      <c r="M434" s="3">
        <v>27.99</v>
      </c>
      <c r="N434" s="2" t="s">
        <v>78</v>
      </c>
      <c r="O434" s="3">
        <v>2.8</v>
      </c>
      <c r="P434" s="3">
        <v>7.99</v>
      </c>
      <c r="Q434" s="3">
        <v>2.02</v>
      </c>
      <c r="R434" s="3">
        <v>35.200000000000003</v>
      </c>
      <c r="S434" s="2" t="s">
        <v>123</v>
      </c>
      <c r="T434" s="2" t="s">
        <v>183</v>
      </c>
      <c r="U434" s="2" t="s">
        <v>66</v>
      </c>
      <c r="V434" s="2" t="s">
        <v>54</v>
      </c>
      <c r="W434" s="3">
        <v>0</v>
      </c>
    </row>
    <row r="435" spans="1:23" x14ac:dyDescent="0.3">
      <c r="A435" s="4" t="s">
        <v>2849</v>
      </c>
      <c r="B435" s="4" t="s">
        <v>2176</v>
      </c>
      <c r="C435" s="4" t="s">
        <v>2850</v>
      </c>
      <c r="D435" s="4" t="s">
        <v>900</v>
      </c>
      <c r="E435" s="4" t="s">
        <v>2851</v>
      </c>
      <c r="F435" s="4" t="s">
        <v>2852</v>
      </c>
      <c r="G435" s="4" t="s">
        <v>403</v>
      </c>
      <c r="H435" s="4" t="s">
        <v>404</v>
      </c>
      <c r="I435" s="4" t="s">
        <v>31</v>
      </c>
      <c r="J435" s="4" t="s">
        <v>2853</v>
      </c>
      <c r="K435" s="4" t="s">
        <v>209</v>
      </c>
      <c r="L435" s="4">
        <v>2</v>
      </c>
      <c r="M435" s="5">
        <v>84.98</v>
      </c>
      <c r="N435" s="4" t="s">
        <v>78</v>
      </c>
      <c r="O435" s="5">
        <v>8.5</v>
      </c>
      <c r="P435" s="5">
        <v>0</v>
      </c>
      <c r="Q435" s="5">
        <v>6.88</v>
      </c>
      <c r="R435" s="5">
        <v>83.36</v>
      </c>
      <c r="S435" s="4" t="s">
        <v>123</v>
      </c>
      <c r="T435" s="4" t="s">
        <v>99</v>
      </c>
      <c r="U435" s="4" t="s">
        <v>317</v>
      </c>
      <c r="V435" s="4"/>
      <c r="W435" s="5">
        <v>0</v>
      </c>
    </row>
    <row r="436" spans="1:23" x14ac:dyDescent="0.3">
      <c r="A436" s="2" t="s">
        <v>2854</v>
      </c>
      <c r="B436" s="2" t="s">
        <v>2149</v>
      </c>
      <c r="C436" s="2" t="s">
        <v>2855</v>
      </c>
      <c r="D436" s="2" t="s">
        <v>2856</v>
      </c>
      <c r="E436" s="2" t="s">
        <v>2857</v>
      </c>
      <c r="F436" s="2" t="s">
        <v>2858</v>
      </c>
      <c r="G436" s="2" t="s">
        <v>107</v>
      </c>
      <c r="H436" s="2" t="s">
        <v>108</v>
      </c>
      <c r="I436" s="2" t="s">
        <v>31</v>
      </c>
      <c r="J436" s="2" t="s">
        <v>2859</v>
      </c>
      <c r="K436" s="2" t="s">
        <v>77</v>
      </c>
      <c r="L436" s="2">
        <v>3</v>
      </c>
      <c r="M436" s="3">
        <v>97.97</v>
      </c>
      <c r="N436" s="2" t="s">
        <v>49</v>
      </c>
      <c r="O436" s="3">
        <v>14.7</v>
      </c>
      <c r="P436" s="3">
        <v>0</v>
      </c>
      <c r="Q436" s="3">
        <v>6.66</v>
      </c>
      <c r="R436" s="3">
        <v>89.93</v>
      </c>
      <c r="S436" s="2" t="s">
        <v>123</v>
      </c>
      <c r="T436" s="2" t="s">
        <v>50</v>
      </c>
      <c r="U436" s="2" t="s">
        <v>100</v>
      </c>
      <c r="V436" s="2"/>
      <c r="W436" s="3">
        <v>0</v>
      </c>
    </row>
    <row r="437" spans="1:23" x14ac:dyDescent="0.3">
      <c r="A437" s="4" t="s">
        <v>2860</v>
      </c>
      <c r="B437" s="4" t="s">
        <v>1846</v>
      </c>
      <c r="C437" s="4" t="s">
        <v>2861</v>
      </c>
      <c r="D437" s="4" t="s">
        <v>2348</v>
      </c>
      <c r="E437" s="4" t="s">
        <v>2862</v>
      </c>
      <c r="F437" s="4" t="s">
        <v>2863</v>
      </c>
      <c r="G437" s="4" t="s">
        <v>676</v>
      </c>
      <c r="H437" s="4" t="s">
        <v>677</v>
      </c>
      <c r="I437" s="4" t="s">
        <v>31</v>
      </c>
      <c r="J437" s="4" t="s">
        <v>2864</v>
      </c>
      <c r="K437" s="4" t="s">
        <v>110</v>
      </c>
      <c r="L437" s="4">
        <v>2</v>
      </c>
      <c r="M437" s="5">
        <v>197.96</v>
      </c>
      <c r="N437" s="4" t="s">
        <v>63</v>
      </c>
      <c r="O437" s="5">
        <v>49.49</v>
      </c>
      <c r="P437" s="5">
        <v>0</v>
      </c>
      <c r="Q437" s="5">
        <v>13.36</v>
      </c>
      <c r="R437" s="5">
        <v>161.83000000000001</v>
      </c>
      <c r="S437" s="4" t="s">
        <v>332</v>
      </c>
      <c r="T437" s="4" t="s">
        <v>50</v>
      </c>
      <c r="U437" s="4" t="s">
        <v>37</v>
      </c>
      <c r="V437" s="4" t="s">
        <v>2865</v>
      </c>
      <c r="W437" s="5">
        <v>161.83000000000001</v>
      </c>
    </row>
    <row r="438" spans="1:23" x14ac:dyDescent="0.3">
      <c r="A438" s="2" t="s">
        <v>2866</v>
      </c>
      <c r="B438" s="2" t="s">
        <v>703</v>
      </c>
      <c r="C438" s="2" t="s">
        <v>2867</v>
      </c>
      <c r="D438" s="2" t="s">
        <v>2868</v>
      </c>
      <c r="E438" s="2" t="s">
        <v>2869</v>
      </c>
      <c r="F438" s="2" t="s">
        <v>2870</v>
      </c>
      <c r="G438" s="2" t="s">
        <v>282</v>
      </c>
      <c r="H438" s="2" t="s">
        <v>88</v>
      </c>
      <c r="I438" s="2" t="s">
        <v>31</v>
      </c>
      <c r="J438" s="2" t="s">
        <v>172</v>
      </c>
      <c r="K438" s="2" t="s">
        <v>122</v>
      </c>
      <c r="L438" s="2">
        <v>1</v>
      </c>
      <c r="M438" s="3">
        <v>69.989999999999995</v>
      </c>
      <c r="N438" s="2" t="s">
        <v>152</v>
      </c>
      <c r="O438" s="3">
        <v>3.5</v>
      </c>
      <c r="P438" s="3">
        <v>9.99</v>
      </c>
      <c r="Q438" s="3">
        <v>3.99</v>
      </c>
      <c r="R438" s="3">
        <v>80.47</v>
      </c>
      <c r="S438" s="2" t="s">
        <v>332</v>
      </c>
      <c r="T438" s="2" t="s">
        <v>36</v>
      </c>
      <c r="U438" s="2" t="s">
        <v>317</v>
      </c>
      <c r="V438" s="2"/>
      <c r="W438" s="3">
        <v>0</v>
      </c>
    </row>
    <row r="439" spans="1:23" x14ac:dyDescent="0.3">
      <c r="A439" s="4" t="s">
        <v>2871</v>
      </c>
      <c r="B439" s="4" t="s">
        <v>1271</v>
      </c>
      <c r="C439" s="4" t="s">
        <v>2872</v>
      </c>
      <c r="D439" s="4" t="s">
        <v>1138</v>
      </c>
      <c r="E439" s="4" t="s">
        <v>2873</v>
      </c>
      <c r="F439" s="4" t="s">
        <v>2874</v>
      </c>
      <c r="G439" s="4" t="s">
        <v>119</v>
      </c>
      <c r="H439" s="4" t="s">
        <v>120</v>
      </c>
      <c r="I439" s="4" t="s">
        <v>31</v>
      </c>
      <c r="J439" s="4" t="s">
        <v>2875</v>
      </c>
      <c r="K439" s="4" t="s">
        <v>364</v>
      </c>
      <c r="L439" s="4">
        <v>2</v>
      </c>
      <c r="M439" s="5">
        <v>374.96</v>
      </c>
      <c r="N439" s="4" t="s">
        <v>63</v>
      </c>
      <c r="O439" s="5">
        <v>93.74</v>
      </c>
      <c r="P439" s="5">
        <v>0</v>
      </c>
      <c r="Q439" s="5">
        <v>19.690000000000001</v>
      </c>
      <c r="R439" s="5">
        <v>300.91000000000003</v>
      </c>
      <c r="S439" s="4" t="s">
        <v>35</v>
      </c>
      <c r="T439" s="4" t="s">
        <v>99</v>
      </c>
      <c r="U439" s="4" t="s">
        <v>66</v>
      </c>
      <c r="V439" s="4" t="s">
        <v>406</v>
      </c>
      <c r="W439" s="5">
        <v>0</v>
      </c>
    </row>
    <row r="440" spans="1:23" x14ac:dyDescent="0.3">
      <c r="A440" s="2" t="s">
        <v>2876</v>
      </c>
      <c r="B440" s="2" t="s">
        <v>1446</v>
      </c>
      <c r="C440" s="2" t="s">
        <v>2877</v>
      </c>
      <c r="D440" s="2" t="s">
        <v>2878</v>
      </c>
      <c r="E440" s="2" t="s">
        <v>2879</v>
      </c>
      <c r="F440" s="2" t="s">
        <v>2880</v>
      </c>
      <c r="G440" s="2" t="s">
        <v>131</v>
      </c>
      <c r="H440" s="2" t="s">
        <v>88</v>
      </c>
      <c r="I440" s="2" t="s">
        <v>31</v>
      </c>
      <c r="J440" s="2" t="s">
        <v>1238</v>
      </c>
      <c r="K440" s="2" t="s">
        <v>209</v>
      </c>
      <c r="L440" s="2">
        <v>1</v>
      </c>
      <c r="M440" s="3">
        <v>39.99</v>
      </c>
      <c r="N440" s="2" t="s">
        <v>49</v>
      </c>
      <c r="O440" s="3">
        <v>6</v>
      </c>
      <c r="P440" s="3">
        <v>7.99</v>
      </c>
      <c r="Q440" s="3">
        <v>2.72</v>
      </c>
      <c r="R440" s="3">
        <v>44.7</v>
      </c>
      <c r="S440" s="2" t="s">
        <v>123</v>
      </c>
      <c r="T440" s="2" t="s">
        <v>183</v>
      </c>
      <c r="U440" s="2" t="s">
        <v>66</v>
      </c>
      <c r="V440" s="2" t="s">
        <v>1296</v>
      </c>
      <c r="W440" s="3">
        <v>0</v>
      </c>
    </row>
    <row r="441" spans="1:23" x14ac:dyDescent="0.3">
      <c r="A441" s="4" t="s">
        <v>2881</v>
      </c>
      <c r="B441" s="4" t="s">
        <v>1618</v>
      </c>
      <c r="C441" s="4" t="s">
        <v>2882</v>
      </c>
      <c r="D441" s="4" t="s">
        <v>2543</v>
      </c>
      <c r="E441" s="4" t="s">
        <v>2883</v>
      </c>
      <c r="F441" s="4" t="s">
        <v>2884</v>
      </c>
      <c r="G441" s="4" t="s">
        <v>347</v>
      </c>
      <c r="H441" s="4" t="s">
        <v>60</v>
      </c>
      <c r="I441" s="4" t="s">
        <v>31</v>
      </c>
      <c r="J441" s="4" t="s">
        <v>191</v>
      </c>
      <c r="K441" s="4" t="s">
        <v>77</v>
      </c>
      <c r="L441" s="4">
        <v>1</v>
      </c>
      <c r="M441" s="5">
        <v>24.99</v>
      </c>
      <c r="N441" s="4" t="s">
        <v>49</v>
      </c>
      <c r="O441" s="5">
        <v>3.75</v>
      </c>
      <c r="P441" s="5">
        <v>4.99</v>
      </c>
      <c r="Q441" s="5">
        <v>1.81</v>
      </c>
      <c r="R441" s="5">
        <v>28.04</v>
      </c>
      <c r="S441" s="4" t="s">
        <v>35</v>
      </c>
      <c r="T441" s="4" t="s">
        <v>36</v>
      </c>
      <c r="U441" s="4" t="s">
        <v>66</v>
      </c>
      <c r="V441" s="4" t="s">
        <v>2176</v>
      </c>
      <c r="W441" s="5">
        <v>0</v>
      </c>
    </row>
    <row r="442" spans="1:23" x14ac:dyDescent="0.3">
      <c r="A442" s="2" t="s">
        <v>2885</v>
      </c>
      <c r="B442" s="2" t="s">
        <v>2886</v>
      </c>
      <c r="C442" s="2" t="s">
        <v>2887</v>
      </c>
      <c r="D442" s="2" t="s">
        <v>1241</v>
      </c>
      <c r="E442" s="2" t="s">
        <v>2888</v>
      </c>
      <c r="F442" s="2" t="s">
        <v>2889</v>
      </c>
      <c r="G442" s="2" t="s">
        <v>107</v>
      </c>
      <c r="H442" s="2" t="s">
        <v>108</v>
      </c>
      <c r="I442" s="2" t="s">
        <v>31</v>
      </c>
      <c r="J442" s="2" t="s">
        <v>267</v>
      </c>
      <c r="K442" s="2" t="s">
        <v>62</v>
      </c>
      <c r="L442" s="2">
        <v>1</v>
      </c>
      <c r="M442" s="3">
        <v>54.99</v>
      </c>
      <c r="N442" s="2" t="s">
        <v>34</v>
      </c>
      <c r="O442" s="3">
        <v>0</v>
      </c>
      <c r="P442" s="3">
        <v>5.99</v>
      </c>
      <c r="Q442" s="3">
        <v>4.4000000000000004</v>
      </c>
      <c r="R442" s="3">
        <v>65.38</v>
      </c>
      <c r="S442" s="2" t="s">
        <v>123</v>
      </c>
      <c r="T442" s="2" t="s">
        <v>99</v>
      </c>
      <c r="U442" s="2" t="s">
        <v>66</v>
      </c>
      <c r="V442" s="2" t="s">
        <v>1477</v>
      </c>
      <c r="W442" s="3">
        <v>0</v>
      </c>
    </row>
    <row r="443" spans="1:23" x14ac:dyDescent="0.3">
      <c r="A443" s="4" t="s">
        <v>2890</v>
      </c>
      <c r="B443" s="4" t="s">
        <v>335</v>
      </c>
      <c r="C443" s="4" t="s">
        <v>2891</v>
      </c>
      <c r="D443" s="4" t="s">
        <v>2892</v>
      </c>
      <c r="E443" s="4" t="s">
        <v>2893</v>
      </c>
      <c r="F443" s="4" t="s">
        <v>2894</v>
      </c>
      <c r="G443" s="4" t="s">
        <v>224</v>
      </c>
      <c r="H443" s="4" t="s">
        <v>225</v>
      </c>
      <c r="I443" s="4" t="s">
        <v>31</v>
      </c>
      <c r="J443" s="4" t="s">
        <v>2895</v>
      </c>
      <c r="K443" s="4" t="s">
        <v>209</v>
      </c>
      <c r="L443" s="4">
        <v>5</v>
      </c>
      <c r="M443" s="5">
        <v>454.94</v>
      </c>
      <c r="N443" s="4" t="s">
        <v>152</v>
      </c>
      <c r="O443" s="5">
        <v>22.75</v>
      </c>
      <c r="P443" s="5">
        <v>0</v>
      </c>
      <c r="Q443" s="5">
        <v>38.9</v>
      </c>
      <c r="R443" s="5">
        <v>471.09</v>
      </c>
      <c r="S443" s="4" t="s">
        <v>35</v>
      </c>
      <c r="T443" s="4" t="s">
        <v>99</v>
      </c>
      <c r="U443" s="4" t="s">
        <v>37</v>
      </c>
      <c r="V443" s="4" t="s">
        <v>1573</v>
      </c>
      <c r="W443" s="5">
        <v>471.09</v>
      </c>
    </row>
    <row r="444" spans="1:23" x14ac:dyDescent="0.3">
      <c r="A444" s="2" t="s">
        <v>2896</v>
      </c>
      <c r="B444" s="2" t="s">
        <v>1560</v>
      </c>
      <c r="C444" s="2" t="s">
        <v>2897</v>
      </c>
      <c r="D444" s="2" t="s">
        <v>2898</v>
      </c>
      <c r="E444" s="2" t="s">
        <v>2899</v>
      </c>
      <c r="F444" s="2" t="s">
        <v>2900</v>
      </c>
      <c r="G444" s="2" t="s">
        <v>224</v>
      </c>
      <c r="H444" s="2" t="s">
        <v>225</v>
      </c>
      <c r="I444" s="2" t="s">
        <v>31</v>
      </c>
      <c r="J444" s="2" t="s">
        <v>217</v>
      </c>
      <c r="K444" s="2" t="s">
        <v>110</v>
      </c>
      <c r="L444" s="2">
        <v>1</v>
      </c>
      <c r="M444" s="3">
        <v>22.99</v>
      </c>
      <c r="N444" s="2" t="s">
        <v>78</v>
      </c>
      <c r="O444" s="3">
        <v>2.2999999999999998</v>
      </c>
      <c r="P444" s="3">
        <v>7.99</v>
      </c>
      <c r="Q444" s="3">
        <v>2.0699999999999998</v>
      </c>
      <c r="R444" s="3">
        <v>30.75</v>
      </c>
      <c r="S444" s="2" t="s">
        <v>35</v>
      </c>
      <c r="T444" s="2" t="s">
        <v>144</v>
      </c>
      <c r="U444" s="2" t="s">
        <v>100</v>
      </c>
      <c r="V444" s="2"/>
      <c r="W444" s="3">
        <v>0</v>
      </c>
    </row>
    <row r="445" spans="1:23" x14ac:dyDescent="0.3">
      <c r="A445" s="4" t="s">
        <v>2901</v>
      </c>
      <c r="B445" s="4" t="s">
        <v>2902</v>
      </c>
      <c r="C445" s="4" t="s">
        <v>2903</v>
      </c>
      <c r="D445" s="4" t="s">
        <v>2904</v>
      </c>
      <c r="E445" s="4" t="s">
        <v>2905</v>
      </c>
      <c r="F445" s="4" t="s">
        <v>2906</v>
      </c>
      <c r="G445" s="4" t="s">
        <v>45</v>
      </c>
      <c r="H445" s="4" t="s">
        <v>46</v>
      </c>
      <c r="I445" s="4" t="s">
        <v>31</v>
      </c>
      <c r="J445" s="4" t="s">
        <v>2907</v>
      </c>
      <c r="K445" s="4" t="s">
        <v>110</v>
      </c>
      <c r="L445" s="4">
        <v>2</v>
      </c>
      <c r="M445" s="5">
        <v>57.98</v>
      </c>
      <c r="N445" s="4" t="s">
        <v>34</v>
      </c>
      <c r="O445" s="5">
        <v>0</v>
      </c>
      <c r="P445" s="5">
        <v>5.99</v>
      </c>
      <c r="Q445" s="5">
        <v>4.93</v>
      </c>
      <c r="R445" s="5">
        <v>68.900000000000006</v>
      </c>
      <c r="S445" s="4" t="s">
        <v>64</v>
      </c>
      <c r="T445" s="4" t="s">
        <v>144</v>
      </c>
      <c r="U445" s="4" t="s">
        <v>100</v>
      </c>
      <c r="V445" s="4"/>
      <c r="W445" s="5">
        <v>0</v>
      </c>
    </row>
    <row r="446" spans="1:23" x14ac:dyDescent="0.3">
      <c r="A446" s="2" t="s">
        <v>2908</v>
      </c>
      <c r="B446" s="2" t="s">
        <v>261</v>
      </c>
      <c r="C446" s="2" t="s">
        <v>2909</v>
      </c>
      <c r="D446" s="2" t="s">
        <v>2910</v>
      </c>
      <c r="E446" s="2" t="s">
        <v>2911</v>
      </c>
      <c r="F446" s="2" t="s">
        <v>2912</v>
      </c>
      <c r="G446" s="2" t="s">
        <v>428</v>
      </c>
      <c r="H446" s="2" t="s">
        <v>429</v>
      </c>
      <c r="I446" s="2" t="s">
        <v>31</v>
      </c>
      <c r="J446" s="2" t="s">
        <v>2913</v>
      </c>
      <c r="K446" s="2" t="s">
        <v>77</v>
      </c>
      <c r="L446" s="2">
        <v>2</v>
      </c>
      <c r="M446" s="3">
        <v>92.98</v>
      </c>
      <c r="N446" s="2" t="s">
        <v>49</v>
      </c>
      <c r="O446" s="3">
        <v>13.95</v>
      </c>
      <c r="P446" s="3">
        <v>0</v>
      </c>
      <c r="Q446" s="3">
        <v>5.53</v>
      </c>
      <c r="R446" s="3">
        <v>84.56</v>
      </c>
      <c r="S446" s="2" t="s">
        <v>111</v>
      </c>
      <c r="T446" s="2" t="s">
        <v>183</v>
      </c>
      <c r="U446" s="2" t="s">
        <v>66</v>
      </c>
      <c r="V446" s="2" t="s">
        <v>461</v>
      </c>
      <c r="W446" s="3">
        <v>0</v>
      </c>
    </row>
    <row r="447" spans="1:23" x14ac:dyDescent="0.3">
      <c r="A447" s="4" t="s">
        <v>2914</v>
      </c>
      <c r="B447" s="4" t="s">
        <v>2915</v>
      </c>
      <c r="C447" s="4" t="s">
        <v>2916</v>
      </c>
      <c r="D447" s="4" t="s">
        <v>2917</v>
      </c>
      <c r="E447" s="4" t="s">
        <v>2918</v>
      </c>
      <c r="F447" s="4" t="s">
        <v>2919</v>
      </c>
      <c r="G447" s="4" t="s">
        <v>160</v>
      </c>
      <c r="H447" s="4" t="s">
        <v>161</v>
      </c>
      <c r="I447" s="4" t="s">
        <v>31</v>
      </c>
      <c r="J447" s="4" t="s">
        <v>2920</v>
      </c>
      <c r="K447" s="4" t="s">
        <v>33</v>
      </c>
      <c r="L447" s="4">
        <v>2</v>
      </c>
      <c r="M447" s="5">
        <v>74.97</v>
      </c>
      <c r="N447" s="4" t="s">
        <v>78</v>
      </c>
      <c r="O447" s="5">
        <v>7.5</v>
      </c>
      <c r="P447" s="5">
        <v>5.99</v>
      </c>
      <c r="Q447" s="5">
        <v>4.72</v>
      </c>
      <c r="R447" s="5">
        <v>78.180000000000007</v>
      </c>
      <c r="S447" s="4" t="s">
        <v>98</v>
      </c>
      <c r="T447" s="4" t="s">
        <v>50</v>
      </c>
      <c r="U447" s="4" t="s">
        <v>66</v>
      </c>
      <c r="V447" s="4" t="s">
        <v>858</v>
      </c>
      <c r="W447" s="5">
        <v>0</v>
      </c>
    </row>
    <row r="448" spans="1:23" x14ac:dyDescent="0.3">
      <c r="A448" s="2" t="s">
        <v>2921</v>
      </c>
      <c r="B448" s="2" t="s">
        <v>40</v>
      </c>
      <c r="C448" s="2" t="s">
        <v>2922</v>
      </c>
      <c r="D448" s="2" t="s">
        <v>2923</v>
      </c>
      <c r="E448" s="2" t="s">
        <v>2924</v>
      </c>
      <c r="F448" s="2" t="s">
        <v>2925</v>
      </c>
      <c r="G448" s="2" t="s">
        <v>224</v>
      </c>
      <c r="H448" s="2" t="s">
        <v>225</v>
      </c>
      <c r="I448" s="2" t="s">
        <v>31</v>
      </c>
      <c r="J448" s="2" t="s">
        <v>661</v>
      </c>
      <c r="K448" s="2" t="s">
        <v>143</v>
      </c>
      <c r="L448" s="2">
        <v>1</v>
      </c>
      <c r="M448" s="3">
        <v>79.989999999999995</v>
      </c>
      <c r="N448" s="2" t="s">
        <v>63</v>
      </c>
      <c r="O448" s="3">
        <v>20</v>
      </c>
      <c r="P448" s="3">
        <v>0</v>
      </c>
      <c r="Q448" s="3">
        <v>4.2</v>
      </c>
      <c r="R448" s="3">
        <v>64.19</v>
      </c>
      <c r="S448" s="2" t="s">
        <v>64</v>
      </c>
      <c r="T448" s="2" t="s">
        <v>36</v>
      </c>
      <c r="U448" s="2" t="s">
        <v>66</v>
      </c>
      <c r="V448" s="2" t="s">
        <v>52</v>
      </c>
      <c r="W448" s="3">
        <v>0</v>
      </c>
    </row>
    <row r="449" spans="1:23" x14ac:dyDescent="0.3">
      <c r="A449" s="4" t="s">
        <v>2926</v>
      </c>
      <c r="B449" s="4" t="s">
        <v>2240</v>
      </c>
      <c r="C449" s="4" t="s">
        <v>2927</v>
      </c>
      <c r="D449" s="4" t="s">
        <v>2928</v>
      </c>
      <c r="E449" s="4" t="s">
        <v>2929</v>
      </c>
      <c r="F449" s="4" t="s">
        <v>2930</v>
      </c>
      <c r="G449" s="4" t="s">
        <v>207</v>
      </c>
      <c r="H449" s="4" t="s">
        <v>141</v>
      </c>
      <c r="I449" s="4" t="s">
        <v>31</v>
      </c>
      <c r="J449" s="4" t="s">
        <v>2931</v>
      </c>
      <c r="K449" s="4" t="s">
        <v>122</v>
      </c>
      <c r="L449" s="4">
        <v>3</v>
      </c>
      <c r="M449" s="5">
        <v>284.95</v>
      </c>
      <c r="N449" s="4" t="s">
        <v>152</v>
      </c>
      <c r="O449" s="5">
        <v>14.25</v>
      </c>
      <c r="P449" s="5">
        <v>0</v>
      </c>
      <c r="Q449" s="5">
        <v>21.66</v>
      </c>
      <c r="R449" s="5">
        <v>292.36</v>
      </c>
      <c r="S449" s="4" t="s">
        <v>64</v>
      </c>
      <c r="T449" s="4" t="s">
        <v>65</v>
      </c>
      <c r="U449" s="4" t="s">
        <v>66</v>
      </c>
      <c r="V449" s="4" t="s">
        <v>619</v>
      </c>
      <c r="W449" s="5">
        <v>0</v>
      </c>
    </row>
    <row r="450" spans="1:23" x14ac:dyDescent="0.3">
      <c r="A450" s="2" t="s">
        <v>2932</v>
      </c>
      <c r="B450" s="2" t="s">
        <v>2210</v>
      </c>
      <c r="C450" s="2" t="s">
        <v>2933</v>
      </c>
      <c r="D450" s="2" t="s">
        <v>2934</v>
      </c>
      <c r="E450" s="2" t="s">
        <v>2935</v>
      </c>
      <c r="F450" s="2" t="s">
        <v>2936</v>
      </c>
      <c r="G450" s="2" t="s">
        <v>74</v>
      </c>
      <c r="H450" s="2" t="s">
        <v>75</v>
      </c>
      <c r="I450" s="2" t="s">
        <v>31</v>
      </c>
      <c r="J450" s="2" t="s">
        <v>1572</v>
      </c>
      <c r="K450" s="2" t="s">
        <v>143</v>
      </c>
      <c r="L450" s="2">
        <v>2</v>
      </c>
      <c r="M450" s="3">
        <v>157.97999999999999</v>
      </c>
      <c r="N450" s="2" t="s">
        <v>34</v>
      </c>
      <c r="O450" s="3">
        <v>0</v>
      </c>
      <c r="P450" s="3">
        <v>0</v>
      </c>
      <c r="Q450" s="3">
        <v>9.48</v>
      </c>
      <c r="R450" s="3">
        <v>167.46</v>
      </c>
      <c r="S450" s="2" t="s">
        <v>35</v>
      </c>
      <c r="T450" s="2" t="s">
        <v>173</v>
      </c>
      <c r="U450" s="2" t="s">
        <v>100</v>
      </c>
      <c r="V450" s="2"/>
      <c r="W450" s="3">
        <v>0</v>
      </c>
    </row>
    <row r="451" spans="1:23" x14ac:dyDescent="0.3">
      <c r="A451" s="4" t="s">
        <v>2937</v>
      </c>
      <c r="B451" s="4" t="s">
        <v>536</v>
      </c>
      <c r="C451" s="4" t="s">
        <v>2938</v>
      </c>
      <c r="D451" s="4" t="s">
        <v>2939</v>
      </c>
      <c r="E451" s="4" t="s">
        <v>2940</v>
      </c>
      <c r="F451" s="4" t="s">
        <v>2941</v>
      </c>
      <c r="G451" s="4" t="s">
        <v>180</v>
      </c>
      <c r="H451" s="4" t="s">
        <v>181</v>
      </c>
      <c r="I451" s="4" t="s">
        <v>31</v>
      </c>
      <c r="J451" s="4" t="s">
        <v>2942</v>
      </c>
      <c r="K451" s="4" t="s">
        <v>364</v>
      </c>
      <c r="L451" s="4">
        <v>5</v>
      </c>
      <c r="M451" s="5">
        <v>204.95</v>
      </c>
      <c r="N451" s="4" t="s">
        <v>34</v>
      </c>
      <c r="O451" s="5">
        <v>0</v>
      </c>
      <c r="P451" s="5">
        <v>0</v>
      </c>
      <c r="Q451" s="5">
        <v>18.45</v>
      </c>
      <c r="R451" s="5">
        <v>223.4</v>
      </c>
      <c r="S451" s="4" t="s">
        <v>332</v>
      </c>
      <c r="T451" s="4" t="s">
        <v>50</v>
      </c>
      <c r="U451" s="4" t="s">
        <v>66</v>
      </c>
      <c r="V451" s="4" t="s">
        <v>1469</v>
      </c>
      <c r="W451" s="5">
        <v>0</v>
      </c>
    </row>
    <row r="452" spans="1:23" x14ac:dyDescent="0.3">
      <c r="A452" s="2" t="s">
        <v>2943</v>
      </c>
      <c r="B452" s="2" t="s">
        <v>671</v>
      </c>
      <c r="C452" s="2" t="s">
        <v>2944</v>
      </c>
      <c r="D452" s="2" t="s">
        <v>2945</v>
      </c>
      <c r="E452" s="2" t="s">
        <v>2946</v>
      </c>
      <c r="F452" s="2" t="s">
        <v>2947</v>
      </c>
      <c r="G452" s="2" t="s">
        <v>224</v>
      </c>
      <c r="H452" s="2" t="s">
        <v>225</v>
      </c>
      <c r="I452" s="2" t="s">
        <v>31</v>
      </c>
      <c r="J452" s="2" t="s">
        <v>2948</v>
      </c>
      <c r="K452" s="2" t="s">
        <v>110</v>
      </c>
      <c r="L452" s="2">
        <v>3</v>
      </c>
      <c r="M452" s="3">
        <v>72.97</v>
      </c>
      <c r="N452" s="2" t="s">
        <v>34</v>
      </c>
      <c r="O452" s="3">
        <v>0</v>
      </c>
      <c r="P452" s="3">
        <v>4.99</v>
      </c>
      <c r="Q452" s="3">
        <v>6.2</v>
      </c>
      <c r="R452" s="3">
        <v>84.16</v>
      </c>
      <c r="S452" s="2" t="s">
        <v>35</v>
      </c>
      <c r="T452" s="2" t="s">
        <v>183</v>
      </c>
      <c r="U452" s="2" t="s">
        <v>66</v>
      </c>
      <c r="V452" s="2" t="s">
        <v>736</v>
      </c>
      <c r="W452" s="3">
        <v>0</v>
      </c>
    </row>
    <row r="453" spans="1:23" x14ac:dyDescent="0.3">
      <c r="A453" s="4" t="s">
        <v>2949</v>
      </c>
      <c r="B453" s="4" t="s">
        <v>2950</v>
      </c>
      <c r="C453" s="4" t="s">
        <v>2951</v>
      </c>
      <c r="D453" s="4" t="s">
        <v>2952</v>
      </c>
      <c r="E453" s="4" t="s">
        <v>2953</v>
      </c>
      <c r="F453" s="4" t="s">
        <v>2954</v>
      </c>
      <c r="G453" s="4" t="s">
        <v>59</v>
      </c>
      <c r="H453" s="4" t="s">
        <v>60</v>
      </c>
      <c r="I453" s="4" t="s">
        <v>31</v>
      </c>
      <c r="J453" s="4" t="s">
        <v>2955</v>
      </c>
      <c r="K453" s="4" t="s">
        <v>143</v>
      </c>
      <c r="L453" s="4">
        <v>2</v>
      </c>
      <c r="M453" s="5">
        <v>104.98</v>
      </c>
      <c r="N453" s="4" t="s">
        <v>34</v>
      </c>
      <c r="O453" s="5">
        <v>0</v>
      </c>
      <c r="P453" s="5">
        <v>0</v>
      </c>
      <c r="Q453" s="5">
        <v>9.4499999999999993</v>
      </c>
      <c r="R453" s="5">
        <v>114.43</v>
      </c>
      <c r="S453" s="4" t="s">
        <v>332</v>
      </c>
      <c r="T453" s="4" t="s">
        <v>99</v>
      </c>
      <c r="U453" s="4" t="s">
        <v>66</v>
      </c>
      <c r="V453" s="4" t="s">
        <v>744</v>
      </c>
      <c r="W453" s="5">
        <v>0</v>
      </c>
    </row>
    <row r="454" spans="1:23" x14ac:dyDescent="0.3">
      <c r="A454" s="2" t="s">
        <v>2956</v>
      </c>
      <c r="B454" s="2" t="s">
        <v>2957</v>
      </c>
      <c r="C454" s="2" t="s">
        <v>2958</v>
      </c>
      <c r="D454" s="2" t="s">
        <v>2959</v>
      </c>
      <c r="E454" s="2" t="s">
        <v>2960</v>
      </c>
      <c r="F454" s="2" t="s">
        <v>2961</v>
      </c>
      <c r="G454" s="2" t="s">
        <v>802</v>
      </c>
      <c r="H454" s="2" t="s">
        <v>88</v>
      </c>
      <c r="I454" s="2" t="s">
        <v>31</v>
      </c>
      <c r="J454" s="2" t="s">
        <v>2962</v>
      </c>
      <c r="K454" s="2" t="s">
        <v>77</v>
      </c>
      <c r="L454" s="2">
        <v>2</v>
      </c>
      <c r="M454" s="3">
        <v>64.98</v>
      </c>
      <c r="N454" s="2" t="s">
        <v>152</v>
      </c>
      <c r="O454" s="3">
        <v>3.25</v>
      </c>
      <c r="P454" s="3">
        <v>4.99</v>
      </c>
      <c r="Q454" s="3">
        <v>5.56</v>
      </c>
      <c r="R454" s="3">
        <v>72.28</v>
      </c>
      <c r="S454" s="2" t="s">
        <v>332</v>
      </c>
      <c r="T454" s="2" t="s">
        <v>99</v>
      </c>
      <c r="U454" s="2" t="s">
        <v>66</v>
      </c>
      <c r="V454" s="2" t="s">
        <v>2963</v>
      </c>
      <c r="W454" s="3">
        <v>0</v>
      </c>
    </row>
    <row r="455" spans="1:23" x14ac:dyDescent="0.3">
      <c r="A455" s="4" t="s">
        <v>2964</v>
      </c>
      <c r="B455" s="4" t="s">
        <v>2965</v>
      </c>
      <c r="C455" s="4" t="s">
        <v>2966</v>
      </c>
      <c r="D455" s="4" t="s">
        <v>2967</v>
      </c>
      <c r="E455" s="4" t="s">
        <v>2968</v>
      </c>
      <c r="F455" s="4" t="s">
        <v>2969</v>
      </c>
      <c r="G455" s="4" t="s">
        <v>45</v>
      </c>
      <c r="H455" s="4" t="s">
        <v>46</v>
      </c>
      <c r="I455" s="4" t="s">
        <v>31</v>
      </c>
      <c r="J455" s="4" t="s">
        <v>1340</v>
      </c>
      <c r="K455" s="4" t="s">
        <v>209</v>
      </c>
      <c r="L455" s="4">
        <v>1</v>
      </c>
      <c r="M455" s="5">
        <v>119.99</v>
      </c>
      <c r="N455" s="4" t="s">
        <v>49</v>
      </c>
      <c r="O455" s="5">
        <v>18</v>
      </c>
      <c r="P455" s="5">
        <v>0</v>
      </c>
      <c r="Q455" s="5">
        <v>9.18</v>
      </c>
      <c r="R455" s="5">
        <v>111.17</v>
      </c>
      <c r="S455" s="4" t="s">
        <v>437</v>
      </c>
      <c r="T455" s="4" t="s">
        <v>144</v>
      </c>
      <c r="U455" s="4" t="s">
        <v>66</v>
      </c>
      <c r="V455" s="4" t="s">
        <v>527</v>
      </c>
      <c r="W455" s="5">
        <v>0</v>
      </c>
    </row>
    <row r="456" spans="1:23" x14ac:dyDescent="0.3">
      <c r="A456" s="2" t="s">
        <v>2970</v>
      </c>
      <c r="B456" s="2" t="s">
        <v>2412</v>
      </c>
      <c r="C456" s="2" t="s">
        <v>2971</v>
      </c>
      <c r="D456" s="2" t="s">
        <v>2972</v>
      </c>
      <c r="E456" s="2" t="s">
        <v>2973</v>
      </c>
      <c r="F456" s="2" t="s">
        <v>2974</v>
      </c>
      <c r="G456" s="2" t="s">
        <v>190</v>
      </c>
      <c r="H456" s="2" t="s">
        <v>161</v>
      </c>
      <c r="I456" s="2" t="s">
        <v>31</v>
      </c>
      <c r="J456" s="2" t="s">
        <v>2975</v>
      </c>
      <c r="K456" s="2" t="s">
        <v>143</v>
      </c>
      <c r="L456" s="2">
        <v>5</v>
      </c>
      <c r="M456" s="3">
        <v>379.94</v>
      </c>
      <c r="N456" s="2" t="s">
        <v>34</v>
      </c>
      <c r="O456" s="3">
        <v>0</v>
      </c>
      <c r="P456" s="3">
        <v>0</v>
      </c>
      <c r="Q456" s="3">
        <v>37.99</v>
      </c>
      <c r="R456" s="3">
        <v>417.93</v>
      </c>
      <c r="S456" s="2" t="s">
        <v>79</v>
      </c>
      <c r="T456" s="2" t="s">
        <v>183</v>
      </c>
      <c r="U456" s="2" t="s">
        <v>51</v>
      </c>
      <c r="V456" s="2" t="s">
        <v>498</v>
      </c>
      <c r="W456" s="3">
        <v>0</v>
      </c>
    </row>
    <row r="457" spans="1:23" x14ac:dyDescent="0.3">
      <c r="A457" s="4" t="s">
        <v>2976</v>
      </c>
      <c r="B457" s="4" t="s">
        <v>1000</v>
      </c>
      <c r="C457" s="4" t="s">
        <v>2977</v>
      </c>
      <c r="D457" s="4" t="s">
        <v>2978</v>
      </c>
      <c r="E457" s="4" t="s">
        <v>2979</v>
      </c>
      <c r="F457" s="4" t="s">
        <v>2980</v>
      </c>
      <c r="G457" s="4" t="s">
        <v>74</v>
      </c>
      <c r="H457" s="4" t="s">
        <v>75</v>
      </c>
      <c r="I457" s="4" t="s">
        <v>31</v>
      </c>
      <c r="J457" s="4" t="s">
        <v>1141</v>
      </c>
      <c r="K457" s="4" t="s">
        <v>122</v>
      </c>
      <c r="L457" s="4">
        <v>1</v>
      </c>
      <c r="M457" s="5">
        <v>74.989999999999995</v>
      </c>
      <c r="N457" s="4" t="s">
        <v>34</v>
      </c>
      <c r="O457" s="5">
        <v>0</v>
      </c>
      <c r="P457" s="5">
        <v>9.99</v>
      </c>
      <c r="Q457" s="5">
        <v>5.25</v>
      </c>
      <c r="R457" s="5">
        <v>90.23</v>
      </c>
      <c r="S457" s="4" t="s">
        <v>79</v>
      </c>
      <c r="T457" s="4" t="s">
        <v>36</v>
      </c>
      <c r="U457" s="4" t="s">
        <v>66</v>
      </c>
      <c r="V457" s="4" t="s">
        <v>764</v>
      </c>
      <c r="W457" s="5">
        <v>0</v>
      </c>
    </row>
    <row r="458" spans="1:23" x14ac:dyDescent="0.3">
      <c r="A458" s="2" t="s">
        <v>2981</v>
      </c>
      <c r="B458" s="2" t="s">
        <v>562</v>
      </c>
      <c r="C458" s="2" t="s">
        <v>2982</v>
      </c>
      <c r="D458" s="2" t="s">
        <v>2983</v>
      </c>
      <c r="E458" s="2" t="s">
        <v>2984</v>
      </c>
      <c r="F458" s="2" t="s">
        <v>2985</v>
      </c>
      <c r="G458" s="2" t="s">
        <v>242</v>
      </c>
      <c r="H458" s="2" t="s">
        <v>243</v>
      </c>
      <c r="I458" s="2" t="s">
        <v>31</v>
      </c>
      <c r="J458" s="2" t="s">
        <v>379</v>
      </c>
      <c r="K458" s="2" t="s">
        <v>209</v>
      </c>
      <c r="L458" s="2">
        <v>1</v>
      </c>
      <c r="M458" s="3">
        <v>89.99</v>
      </c>
      <c r="N458" s="2" t="s">
        <v>34</v>
      </c>
      <c r="O458" s="3">
        <v>0</v>
      </c>
      <c r="P458" s="3">
        <v>0</v>
      </c>
      <c r="Q458" s="3">
        <v>7.2</v>
      </c>
      <c r="R458" s="3">
        <v>97.19</v>
      </c>
      <c r="S458" s="2" t="s">
        <v>35</v>
      </c>
      <c r="T458" s="2" t="s">
        <v>99</v>
      </c>
      <c r="U458" s="2" t="s">
        <v>66</v>
      </c>
      <c r="V458" s="2" t="s">
        <v>1458</v>
      </c>
      <c r="W458" s="3">
        <v>0</v>
      </c>
    </row>
    <row r="459" spans="1:23" x14ac:dyDescent="0.3">
      <c r="A459" s="4" t="s">
        <v>2986</v>
      </c>
      <c r="B459" s="4" t="s">
        <v>635</v>
      </c>
      <c r="C459" s="4" t="s">
        <v>2987</v>
      </c>
      <c r="D459" s="4" t="s">
        <v>2988</v>
      </c>
      <c r="E459" s="4" t="s">
        <v>2989</v>
      </c>
      <c r="F459" s="4" t="s">
        <v>2990</v>
      </c>
      <c r="G459" s="4" t="s">
        <v>1183</v>
      </c>
      <c r="H459" s="4" t="s">
        <v>88</v>
      </c>
      <c r="I459" s="4" t="s">
        <v>31</v>
      </c>
      <c r="J459" s="4" t="s">
        <v>2991</v>
      </c>
      <c r="K459" s="4" t="s">
        <v>33</v>
      </c>
      <c r="L459" s="4">
        <v>4</v>
      </c>
      <c r="M459" s="5">
        <v>245.95</v>
      </c>
      <c r="N459" s="4" t="s">
        <v>34</v>
      </c>
      <c r="O459" s="5">
        <v>0</v>
      </c>
      <c r="P459" s="5">
        <v>0</v>
      </c>
      <c r="Q459" s="5">
        <v>14.76</v>
      </c>
      <c r="R459" s="5">
        <v>260.70999999999998</v>
      </c>
      <c r="S459" s="4" t="s">
        <v>111</v>
      </c>
      <c r="T459" s="4" t="s">
        <v>99</v>
      </c>
      <c r="U459" s="4" t="s">
        <v>66</v>
      </c>
      <c r="V459" s="4" t="s">
        <v>641</v>
      </c>
      <c r="W459" s="5">
        <v>0</v>
      </c>
    </row>
    <row r="460" spans="1:23" x14ac:dyDescent="0.3">
      <c r="A460" s="2" t="s">
        <v>2992</v>
      </c>
      <c r="B460" s="2" t="s">
        <v>2083</v>
      </c>
      <c r="C460" s="2" t="s">
        <v>2993</v>
      </c>
      <c r="D460" s="2" t="s">
        <v>1452</v>
      </c>
      <c r="E460" s="2" t="s">
        <v>2994</v>
      </c>
      <c r="F460" s="2" t="s">
        <v>2995</v>
      </c>
      <c r="G460" s="2" t="s">
        <v>242</v>
      </c>
      <c r="H460" s="2" t="s">
        <v>243</v>
      </c>
      <c r="I460" s="2" t="s">
        <v>31</v>
      </c>
      <c r="J460" s="2" t="s">
        <v>2996</v>
      </c>
      <c r="K460" s="2" t="s">
        <v>62</v>
      </c>
      <c r="L460" s="2">
        <v>5</v>
      </c>
      <c r="M460" s="3">
        <v>197.92</v>
      </c>
      <c r="N460" s="2" t="s">
        <v>78</v>
      </c>
      <c r="O460" s="3">
        <v>19.79</v>
      </c>
      <c r="P460" s="3">
        <v>0</v>
      </c>
      <c r="Q460" s="3">
        <v>14.25</v>
      </c>
      <c r="R460" s="3">
        <v>192.38</v>
      </c>
      <c r="S460" s="2" t="s">
        <v>64</v>
      </c>
      <c r="T460" s="2" t="s">
        <v>325</v>
      </c>
      <c r="U460" s="2" t="s">
        <v>66</v>
      </c>
      <c r="V460" s="2" t="s">
        <v>521</v>
      </c>
      <c r="W460" s="3">
        <v>0</v>
      </c>
    </row>
    <row r="461" spans="1:23" x14ac:dyDescent="0.3">
      <c r="A461" s="4" t="s">
        <v>2997</v>
      </c>
      <c r="B461" s="4" t="s">
        <v>572</v>
      </c>
      <c r="C461" s="4" t="s">
        <v>2998</v>
      </c>
      <c r="D461" s="4" t="s">
        <v>2212</v>
      </c>
      <c r="E461" s="4" t="s">
        <v>2999</v>
      </c>
      <c r="F461" s="4" t="s">
        <v>3000</v>
      </c>
      <c r="G461" s="4" t="s">
        <v>242</v>
      </c>
      <c r="H461" s="4" t="s">
        <v>243</v>
      </c>
      <c r="I461" s="4" t="s">
        <v>31</v>
      </c>
      <c r="J461" s="4" t="s">
        <v>3001</v>
      </c>
      <c r="K461" s="4" t="s">
        <v>122</v>
      </c>
      <c r="L461" s="4">
        <v>2</v>
      </c>
      <c r="M461" s="5">
        <v>164.98</v>
      </c>
      <c r="N461" s="4" t="s">
        <v>152</v>
      </c>
      <c r="O461" s="5">
        <v>8.25</v>
      </c>
      <c r="P461" s="5">
        <v>0</v>
      </c>
      <c r="Q461" s="5">
        <v>13.32</v>
      </c>
      <c r="R461" s="5">
        <v>170.05</v>
      </c>
      <c r="S461" s="4" t="s">
        <v>35</v>
      </c>
      <c r="T461" s="4" t="s">
        <v>99</v>
      </c>
      <c r="U461" s="4" t="s">
        <v>100</v>
      </c>
      <c r="V461" s="4"/>
      <c r="W461" s="5">
        <v>0</v>
      </c>
    </row>
    <row r="462" spans="1:23" x14ac:dyDescent="0.3">
      <c r="A462" s="2" t="s">
        <v>3002</v>
      </c>
      <c r="B462" s="2" t="s">
        <v>498</v>
      </c>
      <c r="C462" s="2" t="s">
        <v>3003</v>
      </c>
      <c r="D462" s="2" t="s">
        <v>3004</v>
      </c>
      <c r="E462" s="2" t="s">
        <v>3005</v>
      </c>
      <c r="F462" s="2" t="s">
        <v>3006</v>
      </c>
      <c r="G462" s="2" t="s">
        <v>171</v>
      </c>
      <c r="H462" s="2" t="s">
        <v>88</v>
      </c>
      <c r="I462" s="2" t="s">
        <v>31</v>
      </c>
      <c r="J462" s="2" t="s">
        <v>3007</v>
      </c>
      <c r="K462" s="2" t="s">
        <v>679</v>
      </c>
      <c r="L462" s="2">
        <v>2</v>
      </c>
      <c r="M462" s="3">
        <v>89.98</v>
      </c>
      <c r="N462" s="2" t="s">
        <v>163</v>
      </c>
      <c r="O462" s="3">
        <v>18</v>
      </c>
      <c r="P462" s="3">
        <v>0</v>
      </c>
      <c r="Q462" s="3">
        <v>7.2</v>
      </c>
      <c r="R462" s="3">
        <v>79.180000000000007</v>
      </c>
      <c r="S462" s="2" t="s">
        <v>437</v>
      </c>
      <c r="T462" s="2" t="s">
        <v>173</v>
      </c>
      <c r="U462" s="2" t="s">
        <v>317</v>
      </c>
      <c r="V462" s="2"/>
      <c r="W462" s="3">
        <v>0</v>
      </c>
    </row>
    <row r="463" spans="1:23" x14ac:dyDescent="0.3">
      <c r="A463" s="4" t="s">
        <v>3008</v>
      </c>
      <c r="B463" s="4" t="s">
        <v>3009</v>
      </c>
      <c r="C463" s="4" t="s">
        <v>3010</v>
      </c>
      <c r="D463" s="4" t="s">
        <v>3011</v>
      </c>
      <c r="E463" s="4" t="s">
        <v>3012</v>
      </c>
      <c r="F463" s="4" t="s">
        <v>3013</v>
      </c>
      <c r="G463" s="4" t="s">
        <v>291</v>
      </c>
      <c r="H463" s="4" t="s">
        <v>292</v>
      </c>
      <c r="I463" s="4" t="s">
        <v>31</v>
      </c>
      <c r="J463" s="4" t="s">
        <v>1232</v>
      </c>
      <c r="K463" s="4" t="s">
        <v>77</v>
      </c>
      <c r="L463" s="4">
        <v>1</v>
      </c>
      <c r="M463" s="5">
        <v>34.99</v>
      </c>
      <c r="N463" s="4" t="s">
        <v>49</v>
      </c>
      <c r="O463" s="5">
        <v>5.25</v>
      </c>
      <c r="P463" s="5">
        <v>5.99</v>
      </c>
      <c r="Q463" s="5">
        <v>2.38</v>
      </c>
      <c r="R463" s="5">
        <v>38.11</v>
      </c>
      <c r="S463" s="4" t="s">
        <v>35</v>
      </c>
      <c r="T463" s="4" t="s">
        <v>99</v>
      </c>
      <c r="U463" s="4" t="s">
        <v>66</v>
      </c>
      <c r="V463" s="4" t="s">
        <v>1580</v>
      </c>
      <c r="W463" s="5">
        <v>0</v>
      </c>
    </row>
    <row r="464" spans="1:23" x14ac:dyDescent="0.3">
      <c r="A464" s="2" t="s">
        <v>3014</v>
      </c>
      <c r="B464" s="2" t="s">
        <v>1703</v>
      </c>
      <c r="C464" s="2" t="s">
        <v>3015</v>
      </c>
      <c r="D464" s="2" t="s">
        <v>3016</v>
      </c>
      <c r="E464" s="2" t="s">
        <v>3017</v>
      </c>
      <c r="F464" s="2" t="s">
        <v>3018</v>
      </c>
      <c r="G464" s="2" t="s">
        <v>1730</v>
      </c>
      <c r="H464" s="2" t="s">
        <v>161</v>
      </c>
      <c r="I464" s="2" t="s">
        <v>31</v>
      </c>
      <c r="J464" s="2" t="s">
        <v>3019</v>
      </c>
      <c r="K464" s="2" t="s">
        <v>364</v>
      </c>
      <c r="L464" s="2">
        <v>2</v>
      </c>
      <c r="M464" s="3">
        <v>67.97</v>
      </c>
      <c r="N464" s="2" t="s">
        <v>49</v>
      </c>
      <c r="O464" s="3">
        <v>10.199999999999999</v>
      </c>
      <c r="P464" s="3">
        <v>4.99</v>
      </c>
      <c r="Q464" s="3">
        <v>4.04</v>
      </c>
      <c r="R464" s="3">
        <v>66.8</v>
      </c>
      <c r="S464" s="2" t="s">
        <v>123</v>
      </c>
      <c r="T464" s="2" t="s">
        <v>99</v>
      </c>
      <c r="U464" s="2" t="s">
        <v>66</v>
      </c>
      <c r="V464" s="2" t="s">
        <v>1671</v>
      </c>
      <c r="W464" s="3">
        <v>0</v>
      </c>
    </row>
    <row r="465" spans="1:23" x14ac:dyDescent="0.3">
      <c r="A465" s="4" t="s">
        <v>3020</v>
      </c>
      <c r="B465" s="4" t="s">
        <v>1341</v>
      </c>
      <c r="C465" s="4" t="s">
        <v>3021</v>
      </c>
      <c r="D465" s="4" t="s">
        <v>712</v>
      </c>
      <c r="E465" s="4" t="s">
        <v>3022</v>
      </c>
      <c r="F465" s="4" t="s">
        <v>3023</v>
      </c>
      <c r="G465" s="4" t="s">
        <v>107</v>
      </c>
      <c r="H465" s="4" t="s">
        <v>108</v>
      </c>
      <c r="I465" s="4" t="s">
        <v>31</v>
      </c>
      <c r="J465" s="4" t="s">
        <v>1269</v>
      </c>
      <c r="K465" s="4" t="s">
        <v>77</v>
      </c>
      <c r="L465" s="4">
        <v>1</v>
      </c>
      <c r="M465" s="5">
        <v>27.99</v>
      </c>
      <c r="N465" s="4" t="s">
        <v>34</v>
      </c>
      <c r="O465" s="5">
        <v>0</v>
      </c>
      <c r="P465" s="5">
        <v>7.99</v>
      </c>
      <c r="Q465" s="5">
        <v>1.96</v>
      </c>
      <c r="R465" s="5">
        <v>37.94</v>
      </c>
      <c r="S465" s="4" t="s">
        <v>64</v>
      </c>
      <c r="T465" s="4" t="s">
        <v>99</v>
      </c>
      <c r="U465" s="4" t="s">
        <v>66</v>
      </c>
      <c r="V465" s="4" t="s">
        <v>1488</v>
      </c>
      <c r="W465" s="5">
        <v>0</v>
      </c>
    </row>
    <row r="466" spans="1:23" x14ac:dyDescent="0.3">
      <c r="A466" s="2" t="s">
        <v>3024</v>
      </c>
      <c r="B466" s="2" t="s">
        <v>1377</v>
      </c>
      <c r="C466" s="2" t="s">
        <v>3025</v>
      </c>
      <c r="D466" s="2" t="s">
        <v>3026</v>
      </c>
      <c r="E466" s="2" t="s">
        <v>3027</v>
      </c>
      <c r="F466" s="2" t="s">
        <v>3028</v>
      </c>
      <c r="G466" s="2" t="s">
        <v>251</v>
      </c>
      <c r="H466" s="2" t="s">
        <v>252</v>
      </c>
      <c r="I466" s="2" t="s">
        <v>31</v>
      </c>
      <c r="J466" s="2" t="s">
        <v>3029</v>
      </c>
      <c r="K466" s="2" t="s">
        <v>364</v>
      </c>
      <c r="L466" s="2">
        <v>1</v>
      </c>
      <c r="M466" s="3">
        <v>134.97</v>
      </c>
      <c r="N466" s="2" t="s">
        <v>152</v>
      </c>
      <c r="O466" s="3">
        <v>6.75</v>
      </c>
      <c r="P466" s="3">
        <v>0</v>
      </c>
      <c r="Q466" s="3">
        <v>12.82</v>
      </c>
      <c r="R466" s="3">
        <v>141.04</v>
      </c>
      <c r="S466" s="2" t="s">
        <v>35</v>
      </c>
      <c r="T466" s="2" t="s">
        <v>36</v>
      </c>
      <c r="U466" s="2" t="s">
        <v>66</v>
      </c>
      <c r="V466" s="2" t="s">
        <v>2325</v>
      </c>
      <c r="W466" s="3">
        <v>0</v>
      </c>
    </row>
    <row r="467" spans="1:23" x14ac:dyDescent="0.3">
      <c r="A467" s="4" t="s">
        <v>3030</v>
      </c>
      <c r="B467" s="4" t="s">
        <v>114</v>
      </c>
      <c r="C467" s="4" t="s">
        <v>3031</v>
      </c>
      <c r="D467" s="4" t="s">
        <v>3032</v>
      </c>
      <c r="E467" s="4" t="s">
        <v>3033</v>
      </c>
      <c r="F467" s="4" t="s">
        <v>3034</v>
      </c>
      <c r="G467" s="4" t="s">
        <v>640</v>
      </c>
      <c r="H467" s="4" t="s">
        <v>161</v>
      </c>
      <c r="I467" s="4" t="s">
        <v>31</v>
      </c>
      <c r="J467" s="4" t="s">
        <v>3035</v>
      </c>
      <c r="K467" s="4" t="s">
        <v>77</v>
      </c>
      <c r="L467" s="4">
        <v>3</v>
      </c>
      <c r="M467" s="5">
        <v>127.96</v>
      </c>
      <c r="N467" s="4" t="s">
        <v>49</v>
      </c>
      <c r="O467" s="5">
        <v>19.190000000000001</v>
      </c>
      <c r="P467" s="5">
        <v>0</v>
      </c>
      <c r="Q467" s="5">
        <v>7.61</v>
      </c>
      <c r="R467" s="5">
        <v>116.38</v>
      </c>
      <c r="S467" s="4" t="s">
        <v>123</v>
      </c>
      <c r="T467" s="4" t="s">
        <v>65</v>
      </c>
      <c r="U467" s="4" t="s">
        <v>66</v>
      </c>
      <c r="V467" s="4" t="s">
        <v>2240</v>
      </c>
      <c r="W467" s="5">
        <v>0</v>
      </c>
    </row>
    <row r="468" spans="1:23" x14ac:dyDescent="0.3">
      <c r="A468" s="2" t="s">
        <v>3036</v>
      </c>
      <c r="B468" s="2" t="s">
        <v>1477</v>
      </c>
      <c r="C468" s="2" t="s">
        <v>3037</v>
      </c>
      <c r="D468" s="2" t="s">
        <v>3038</v>
      </c>
      <c r="E468" s="2" t="s">
        <v>3039</v>
      </c>
      <c r="F468" s="2" t="s">
        <v>3040</v>
      </c>
      <c r="G468" s="2" t="s">
        <v>323</v>
      </c>
      <c r="H468" s="2" t="s">
        <v>324</v>
      </c>
      <c r="I468" s="2" t="s">
        <v>31</v>
      </c>
      <c r="J468" s="2" t="s">
        <v>316</v>
      </c>
      <c r="K468" s="2" t="s">
        <v>48</v>
      </c>
      <c r="L468" s="2">
        <v>1</v>
      </c>
      <c r="M468" s="3">
        <v>34.99</v>
      </c>
      <c r="N468" s="2" t="s">
        <v>63</v>
      </c>
      <c r="O468" s="3">
        <v>8.75</v>
      </c>
      <c r="P468" s="3">
        <v>7.99</v>
      </c>
      <c r="Q468" s="3">
        <v>2.1</v>
      </c>
      <c r="R468" s="3">
        <v>36.33</v>
      </c>
      <c r="S468" s="2" t="s">
        <v>64</v>
      </c>
      <c r="T468" s="2" t="s">
        <v>36</v>
      </c>
      <c r="U468" s="2" t="s">
        <v>66</v>
      </c>
      <c r="V468" s="2" t="s">
        <v>534</v>
      </c>
      <c r="W468" s="3">
        <v>0</v>
      </c>
    </row>
    <row r="469" spans="1:23" x14ac:dyDescent="0.3">
      <c r="A469" s="4" t="s">
        <v>3041</v>
      </c>
      <c r="B469" s="4" t="s">
        <v>3042</v>
      </c>
      <c r="C469" s="4" t="s">
        <v>3043</v>
      </c>
      <c r="D469" s="4" t="s">
        <v>3044</v>
      </c>
      <c r="E469" s="4" t="s">
        <v>3045</v>
      </c>
      <c r="F469" s="4" t="s">
        <v>3046</v>
      </c>
      <c r="G469" s="4" t="s">
        <v>171</v>
      </c>
      <c r="H469" s="4" t="s">
        <v>88</v>
      </c>
      <c r="I469" s="4" t="s">
        <v>31</v>
      </c>
      <c r="J469" s="4" t="s">
        <v>678</v>
      </c>
      <c r="K469" s="4" t="s">
        <v>679</v>
      </c>
      <c r="L469" s="4">
        <v>1</v>
      </c>
      <c r="M469" s="5">
        <v>14.99</v>
      </c>
      <c r="N469" s="4" t="s">
        <v>78</v>
      </c>
      <c r="O469" s="5">
        <v>1.5</v>
      </c>
      <c r="P469" s="5">
        <v>4.99</v>
      </c>
      <c r="Q469" s="5">
        <v>0.94</v>
      </c>
      <c r="R469" s="5">
        <v>19.420000000000002</v>
      </c>
      <c r="S469" s="4" t="s">
        <v>35</v>
      </c>
      <c r="T469" s="4" t="s">
        <v>36</v>
      </c>
      <c r="U469" s="4" t="s">
        <v>66</v>
      </c>
      <c r="V469" s="4" t="s">
        <v>2176</v>
      </c>
      <c r="W469" s="5">
        <v>0</v>
      </c>
    </row>
    <row r="470" spans="1:23" x14ac:dyDescent="0.3">
      <c r="A470" s="2" t="s">
        <v>3047</v>
      </c>
      <c r="B470" s="2" t="s">
        <v>542</v>
      </c>
      <c r="C470" s="2" t="s">
        <v>3048</v>
      </c>
      <c r="D470" s="2" t="s">
        <v>3049</v>
      </c>
      <c r="E470" s="2" t="s">
        <v>3050</v>
      </c>
      <c r="F470" s="2" t="s">
        <v>3051</v>
      </c>
      <c r="G470" s="2" t="s">
        <v>207</v>
      </c>
      <c r="H470" s="2" t="s">
        <v>141</v>
      </c>
      <c r="I470" s="2" t="s">
        <v>31</v>
      </c>
      <c r="J470" s="2" t="s">
        <v>661</v>
      </c>
      <c r="K470" s="2" t="s">
        <v>143</v>
      </c>
      <c r="L470" s="2">
        <v>1</v>
      </c>
      <c r="M470" s="3">
        <v>79.989999999999995</v>
      </c>
      <c r="N470" s="2" t="s">
        <v>34</v>
      </c>
      <c r="O470" s="3">
        <v>0</v>
      </c>
      <c r="P470" s="3">
        <v>0</v>
      </c>
      <c r="Q470" s="3">
        <v>6.4</v>
      </c>
      <c r="R470" s="3">
        <v>86.39</v>
      </c>
      <c r="S470" s="2" t="s">
        <v>123</v>
      </c>
      <c r="T470" s="2" t="s">
        <v>99</v>
      </c>
      <c r="U470" s="2" t="s">
        <v>317</v>
      </c>
      <c r="V470" s="2"/>
      <c r="W470" s="3">
        <v>0</v>
      </c>
    </row>
    <row r="471" spans="1:23" x14ac:dyDescent="0.3">
      <c r="A471" s="4" t="s">
        <v>3052</v>
      </c>
      <c r="B471" s="4" t="s">
        <v>1057</v>
      </c>
      <c r="C471" s="4" t="s">
        <v>3053</v>
      </c>
      <c r="D471" s="4" t="s">
        <v>3054</v>
      </c>
      <c r="E471" s="4" t="s">
        <v>3055</v>
      </c>
      <c r="F471" s="4" t="s">
        <v>3056</v>
      </c>
      <c r="G471" s="4" t="s">
        <v>119</v>
      </c>
      <c r="H471" s="4" t="s">
        <v>120</v>
      </c>
      <c r="I471" s="4" t="s">
        <v>31</v>
      </c>
      <c r="J471" s="4" t="s">
        <v>3057</v>
      </c>
      <c r="K471" s="4" t="s">
        <v>209</v>
      </c>
      <c r="L471" s="4">
        <v>3</v>
      </c>
      <c r="M471" s="5">
        <v>299.95999999999998</v>
      </c>
      <c r="N471" s="4" t="s">
        <v>34</v>
      </c>
      <c r="O471" s="5">
        <v>0</v>
      </c>
      <c r="P471" s="5">
        <v>0</v>
      </c>
      <c r="Q471" s="5">
        <v>27</v>
      </c>
      <c r="R471" s="5">
        <v>326.95999999999998</v>
      </c>
      <c r="S471" s="4" t="s">
        <v>64</v>
      </c>
      <c r="T471" s="4" t="s">
        <v>99</v>
      </c>
      <c r="U471" s="4" t="s">
        <v>66</v>
      </c>
      <c r="V471" s="4" t="s">
        <v>603</v>
      </c>
      <c r="W471" s="5">
        <v>0</v>
      </c>
    </row>
    <row r="472" spans="1:23" x14ac:dyDescent="0.3">
      <c r="A472" s="2" t="s">
        <v>3058</v>
      </c>
      <c r="B472" s="2" t="s">
        <v>617</v>
      </c>
      <c r="C472" s="2" t="s">
        <v>3059</v>
      </c>
      <c r="D472" s="2" t="s">
        <v>3060</v>
      </c>
      <c r="E472" s="2" t="s">
        <v>3061</v>
      </c>
      <c r="F472" s="2" t="s">
        <v>3062</v>
      </c>
      <c r="G472" s="2" t="s">
        <v>251</v>
      </c>
      <c r="H472" s="2" t="s">
        <v>252</v>
      </c>
      <c r="I472" s="2" t="s">
        <v>31</v>
      </c>
      <c r="J472" s="2" t="s">
        <v>47</v>
      </c>
      <c r="K472" s="2" t="s">
        <v>48</v>
      </c>
      <c r="L472" s="2">
        <v>1</v>
      </c>
      <c r="M472" s="3">
        <v>42.99</v>
      </c>
      <c r="N472" s="2" t="s">
        <v>78</v>
      </c>
      <c r="O472" s="3">
        <v>4.3</v>
      </c>
      <c r="P472" s="3">
        <v>9.99</v>
      </c>
      <c r="Q472" s="3">
        <v>3.29</v>
      </c>
      <c r="R472" s="3">
        <v>51.97</v>
      </c>
      <c r="S472" s="2" t="s">
        <v>123</v>
      </c>
      <c r="T472" s="2" t="s">
        <v>99</v>
      </c>
      <c r="U472" s="2" t="s">
        <v>66</v>
      </c>
      <c r="V472" s="2" t="s">
        <v>2325</v>
      </c>
      <c r="W472" s="3">
        <v>0</v>
      </c>
    </row>
    <row r="473" spans="1:23" x14ac:dyDescent="0.3">
      <c r="A473" s="4" t="s">
        <v>3063</v>
      </c>
      <c r="B473" s="4" t="s">
        <v>1321</v>
      </c>
      <c r="C473" s="4" t="s">
        <v>3064</v>
      </c>
      <c r="D473" s="4" t="s">
        <v>3065</v>
      </c>
      <c r="E473" s="4" t="s">
        <v>3066</v>
      </c>
      <c r="F473" s="4" t="s">
        <v>3067</v>
      </c>
      <c r="G473" s="4" t="s">
        <v>59</v>
      </c>
      <c r="H473" s="4" t="s">
        <v>60</v>
      </c>
      <c r="I473" s="4" t="s">
        <v>31</v>
      </c>
      <c r="J473" s="4" t="s">
        <v>3068</v>
      </c>
      <c r="K473" s="4" t="s">
        <v>33</v>
      </c>
      <c r="L473" s="4">
        <v>4</v>
      </c>
      <c r="M473" s="5">
        <v>151.94999999999999</v>
      </c>
      <c r="N473" s="4" t="s">
        <v>34</v>
      </c>
      <c r="O473" s="5">
        <v>0</v>
      </c>
      <c r="P473" s="5">
        <v>0</v>
      </c>
      <c r="Q473" s="5">
        <v>10.64</v>
      </c>
      <c r="R473" s="5">
        <v>162.59</v>
      </c>
      <c r="S473" s="4" t="s">
        <v>111</v>
      </c>
      <c r="T473" s="4" t="s">
        <v>99</v>
      </c>
      <c r="U473" s="4" t="s">
        <v>37</v>
      </c>
      <c r="V473" s="4" t="s">
        <v>669</v>
      </c>
      <c r="W473" s="5">
        <v>162.59</v>
      </c>
    </row>
    <row r="474" spans="1:23" x14ac:dyDescent="0.3">
      <c r="A474" s="2" t="s">
        <v>3069</v>
      </c>
      <c r="B474" s="2" t="s">
        <v>2412</v>
      </c>
      <c r="C474" s="2" t="s">
        <v>3070</v>
      </c>
      <c r="D474" s="2" t="s">
        <v>3071</v>
      </c>
      <c r="E474" s="2" t="s">
        <v>3072</v>
      </c>
      <c r="F474" s="2" t="s">
        <v>3073</v>
      </c>
      <c r="G474" s="2" t="s">
        <v>347</v>
      </c>
      <c r="H474" s="2" t="s">
        <v>60</v>
      </c>
      <c r="I474" s="2" t="s">
        <v>31</v>
      </c>
      <c r="J474" s="2" t="s">
        <v>1238</v>
      </c>
      <c r="K474" s="2" t="s">
        <v>209</v>
      </c>
      <c r="L474" s="2">
        <v>1</v>
      </c>
      <c r="M474" s="3">
        <v>39.99</v>
      </c>
      <c r="N474" s="2" t="s">
        <v>78</v>
      </c>
      <c r="O474" s="3">
        <v>4</v>
      </c>
      <c r="P474" s="3">
        <v>9.99</v>
      </c>
      <c r="Q474" s="3">
        <v>3.06</v>
      </c>
      <c r="R474" s="3">
        <v>49.04</v>
      </c>
      <c r="S474" s="2" t="s">
        <v>35</v>
      </c>
      <c r="T474" s="2" t="s">
        <v>99</v>
      </c>
      <c r="U474" s="2" t="s">
        <v>66</v>
      </c>
      <c r="V474" s="2" t="s">
        <v>734</v>
      </c>
      <c r="W474" s="3">
        <v>0</v>
      </c>
    </row>
    <row r="475" spans="1:23" x14ac:dyDescent="0.3">
      <c r="A475" s="4" t="s">
        <v>3074</v>
      </c>
      <c r="B475" s="4" t="s">
        <v>3075</v>
      </c>
      <c r="C475" s="4" t="s">
        <v>3076</v>
      </c>
      <c r="D475" s="4" t="s">
        <v>3077</v>
      </c>
      <c r="E475" s="4" t="s">
        <v>3078</v>
      </c>
      <c r="F475" s="4" t="s">
        <v>3079</v>
      </c>
      <c r="G475" s="4" t="s">
        <v>29</v>
      </c>
      <c r="H475" s="4" t="s">
        <v>30</v>
      </c>
      <c r="I475" s="4" t="s">
        <v>31</v>
      </c>
      <c r="J475" s="4" t="s">
        <v>2658</v>
      </c>
      <c r="K475" s="4" t="s">
        <v>33</v>
      </c>
      <c r="L475" s="4">
        <v>1</v>
      </c>
      <c r="M475" s="5">
        <v>37.979999999999997</v>
      </c>
      <c r="N475" s="4" t="s">
        <v>78</v>
      </c>
      <c r="O475" s="5">
        <v>3.8</v>
      </c>
      <c r="P475" s="5">
        <v>9.99</v>
      </c>
      <c r="Q475" s="5">
        <v>2.91</v>
      </c>
      <c r="R475" s="5">
        <v>47.08</v>
      </c>
      <c r="S475" s="4" t="s">
        <v>123</v>
      </c>
      <c r="T475" s="4" t="s">
        <v>99</v>
      </c>
      <c r="U475" s="4" t="s">
        <v>66</v>
      </c>
      <c r="V475" s="4" t="s">
        <v>709</v>
      </c>
      <c r="W475" s="5">
        <v>0</v>
      </c>
    </row>
    <row r="476" spans="1:23" x14ac:dyDescent="0.3">
      <c r="A476" s="2" t="s">
        <v>3080</v>
      </c>
      <c r="B476" s="2" t="s">
        <v>750</v>
      </c>
      <c r="C476" s="2" t="s">
        <v>3081</v>
      </c>
      <c r="D476" s="2" t="s">
        <v>820</v>
      </c>
      <c r="E476" s="2" t="s">
        <v>3082</v>
      </c>
      <c r="F476" s="2" t="s">
        <v>3083</v>
      </c>
      <c r="G476" s="2" t="s">
        <v>224</v>
      </c>
      <c r="H476" s="2" t="s">
        <v>225</v>
      </c>
      <c r="I476" s="2" t="s">
        <v>31</v>
      </c>
      <c r="J476" s="2" t="s">
        <v>3084</v>
      </c>
      <c r="K476" s="2" t="s">
        <v>364</v>
      </c>
      <c r="L476" s="2">
        <v>2</v>
      </c>
      <c r="M476" s="3">
        <v>194.97</v>
      </c>
      <c r="N476" s="2" t="s">
        <v>78</v>
      </c>
      <c r="O476" s="3">
        <v>19.5</v>
      </c>
      <c r="P476" s="3">
        <v>0</v>
      </c>
      <c r="Q476" s="3">
        <v>12.28</v>
      </c>
      <c r="R476" s="3">
        <v>187.75</v>
      </c>
      <c r="S476" s="2" t="s">
        <v>123</v>
      </c>
      <c r="T476" s="2" t="s">
        <v>99</v>
      </c>
      <c r="U476" s="2" t="s">
        <v>66</v>
      </c>
      <c r="V476" s="2" t="s">
        <v>1548</v>
      </c>
      <c r="W476" s="3">
        <v>0</v>
      </c>
    </row>
    <row r="477" spans="1:23" x14ac:dyDescent="0.3">
      <c r="A477" s="4" t="s">
        <v>3085</v>
      </c>
      <c r="B477" s="4" t="s">
        <v>572</v>
      </c>
      <c r="C477" s="4" t="s">
        <v>3086</v>
      </c>
      <c r="D477" s="4" t="s">
        <v>3087</v>
      </c>
      <c r="E477" s="4" t="s">
        <v>3088</v>
      </c>
      <c r="F477" s="4" t="s">
        <v>3089</v>
      </c>
      <c r="G477" s="4" t="s">
        <v>171</v>
      </c>
      <c r="H477" s="4" t="s">
        <v>88</v>
      </c>
      <c r="I477" s="4" t="s">
        <v>31</v>
      </c>
      <c r="J477" s="4" t="s">
        <v>3090</v>
      </c>
      <c r="K477" s="4" t="s">
        <v>209</v>
      </c>
      <c r="L477" s="4">
        <v>2</v>
      </c>
      <c r="M477" s="5">
        <v>84.98</v>
      </c>
      <c r="N477" s="4" t="s">
        <v>34</v>
      </c>
      <c r="O477" s="5">
        <v>0</v>
      </c>
      <c r="P477" s="5">
        <v>0</v>
      </c>
      <c r="Q477" s="5">
        <v>6.8</v>
      </c>
      <c r="R477" s="5">
        <v>91.78</v>
      </c>
      <c r="S477" s="4" t="s">
        <v>79</v>
      </c>
      <c r="T477" s="4" t="s">
        <v>99</v>
      </c>
      <c r="U477" s="4" t="s">
        <v>66</v>
      </c>
      <c r="V477" s="4" t="s">
        <v>102</v>
      </c>
      <c r="W477" s="5">
        <v>0</v>
      </c>
    </row>
    <row r="478" spans="1:23" x14ac:dyDescent="0.3">
      <c r="A478" s="2" t="s">
        <v>3091</v>
      </c>
      <c r="B478" s="2" t="s">
        <v>3092</v>
      </c>
      <c r="C478" s="2" t="s">
        <v>3093</v>
      </c>
      <c r="D478" s="2" t="s">
        <v>3049</v>
      </c>
      <c r="E478" s="2" t="s">
        <v>3094</v>
      </c>
      <c r="F478" s="2" t="s">
        <v>3095</v>
      </c>
      <c r="G478" s="2" t="s">
        <v>160</v>
      </c>
      <c r="H478" s="2" t="s">
        <v>161</v>
      </c>
      <c r="I478" s="2" t="s">
        <v>31</v>
      </c>
      <c r="J478" s="2" t="s">
        <v>3096</v>
      </c>
      <c r="K478" s="2" t="s">
        <v>209</v>
      </c>
      <c r="L478" s="2">
        <v>2</v>
      </c>
      <c r="M478" s="3">
        <v>89.97</v>
      </c>
      <c r="N478" s="2" t="s">
        <v>78</v>
      </c>
      <c r="O478" s="3">
        <v>9</v>
      </c>
      <c r="P478" s="3">
        <v>0</v>
      </c>
      <c r="Q478" s="3">
        <v>7.29</v>
      </c>
      <c r="R478" s="3">
        <v>88.26</v>
      </c>
      <c r="S478" s="2" t="s">
        <v>64</v>
      </c>
      <c r="T478" s="2" t="s">
        <v>36</v>
      </c>
      <c r="U478" s="2" t="s">
        <v>37</v>
      </c>
      <c r="V478" s="2" t="s">
        <v>1321</v>
      </c>
      <c r="W478" s="3">
        <v>88.26</v>
      </c>
    </row>
    <row r="479" spans="1:23" x14ac:dyDescent="0.3">
      <c r="A479" s="4" t="s">
        <v>3097</v>
      </c>
      <c r="B479" s="4" t="s">
        <v>1100</v>
      </c>
      <c r="C479" s="4" t="s">
        <v>3098</v>
      </c>
      <c r="D479" s="4" t="s">
        <v>3099</v>
      </c>
      <c r="E479" s="4" t="s">
        <v>3100</v>
      </c>
      <c r="F479" s="4" t="s">
        <v>3101</v>
      </c>
      <c r="G479" s="4" t="s">
        <v>394</v>
      </c>
      <c r="H479" s="4" t="s">
        <v>395</v>
      </c>
      <c r="I479" s="4" t="s">
        <v>31</v>
      </c>
      <c r="J479" s="4" t="s">
        <v>3102</v>
      </c>
      <c r="K479" s="4" t="s">
        <v>209</v>
      </c>
      <c r="L479" s="4">
        <v>2</v>
      </c>
      <c r="M479" s="5">
        <v>134.97999999999999</v>
      </c>
      <c r="N479" s="4" t="s">
        <v>78</v>
      </c>
      <c r="O479" s="5">
        <v>13.5</v>
      </c>
      <c r="P479" s="5">
        <v>0</v>
      </c>
      <c r="Q479" s="5">
        <v>12.15</v>
      </c>
      <c r="R479" s="5">
        <v>133.63</v>
      </c>
      <c r="S479" s="4" t="s">
        <v>64</v>
      </c>
      <c r="T479" s="4" t="s">
        <v>99</v>
      </c>
      <c r="U479" s="4" t="s">
        <v>66</v>
      </c>
      <c r="V479" s="4" t="s">
        <v>994</v>
      </c>
      <c r="W479" s="5">
        <v>0</v>
      </c>
    </row>
    <row r="480" spans="1:23" x14ac:dyDescent="0.3">
      <c r="A480" s="2" t="s">
        <v>3103</v>
      </c>
      <c r="B480" s="2" t="s">
        <v>2171</v>
      </c>
      <c r="C480" s="2" t="s">
        <v>3104</v>
      </c>
      <c r="D480" s="2" t="s">
        <v>3105</v>
      </c>
      <c r="E480" s="2" t="s">
        <v>3106</v>
      </c>
      <c r="F480" s="2" t="s">
        <v>3107</v>
      </c>
      <c r="G480" s="2" t="s">
        <v>242</v>
      </c>
      <c r="H480" s="2" t="s">
        <v>243</v>
      </c>
      <c r="I480" s="2" t="s">
        <v>31</v>
      </c>
      <c r="J480" s="2" t="s">
        <v>3108</v>
      </c>
      <c r="K480" s="2" t="s">
        <v>110</v>
      </c>
      <c r="L480" s="2">
        <v>2</v>
      </c>
      <c r="M480" s="3">
        <v>89.96</v>
      </c>
      <c r="N480" s="2" t="s">
        <v>34</v>
      </c>
      <c r="O480" s="3">
        <v>0</v>
      </c>
      <c r="P480" s="3">
        <v>0</v>
      </c>
      <c r="Q480" s="3">
        <v>7.2</v>
      </c>
      <c r="R480" s="3">
        <v>97.16</v>
      </c>
      <c r="S480" s="2" t="s">
        <v>35</v>
      </c>
      <c r="T480" s="2" t="s">
        <v>144</v>
      </c>
      <c r="U480" s="2" t="s">
        <v>51</v>
      </c>
      <c r="V480" s="2" t="s">
        <v>1488</v>
      </c>
      <c r="W480" s="3">
        <v>0</v>
      </c>
    </row>
    <row r="481" spans="1:23" x14ac:dyDescent="0.3">
      <c r="A481" s="4" t="s">
        <v>3109</v>
      </c>
      <c r="B481" s="4" t="s">
        <v>2481</v>
      </c>
      <c r="C481" s="4" t="s">
        <v>3110</v>
      </c>
      <c r="D481" s="4" t="s">
        <v>3111</v>
      </c>
      <c r="E481" s="4" t="s">
        <v>3112</v>
      </c>
      <c r="F481" s="4" t="s">
        <v>3113</v>
      </c>
      <c r="G481" s="4" t="s">
        <v>45</v>
      </c>
      <c r="H481" s="4" t="s">
        <v>46</v>
      </c>
      <c r="I481" s="4" t="s">
        <v>31</v>
      </c>
      <c r="J481" s="4" t="s">
        <v>3114</v>
      </c>
      <c r="K481" s="4" t="s">
        <v>209</v>
      </c>
      <c r="L481" s="4">
        <v>2</v>
      </c>
      <c r="M481" s="5">
        <v>209.97</v>
      </c>
      <c r="N481" s="4" t="s">
        <v>34</v>
      </c>
      <c r="O481" s="5">
        <v>0</v>
      </c>
      <c r="P481" s="5">
        <v>0</v>
      </c>
      <c r="Q481" s="5">
        <v>16.8</v>
      </c>
      <c r="R481" s="5">
        <v>226.77</v>
      </c>
      <c r="S481" s="4" t="s">
        <v>35</v>
      </c>
      <c r="T481" s="4" t="s">
        <v>173</v>
      </c>
      <c r="U481" s="4" t="s">
        <v>66</v>
      </c>
      <c r="V481" s="4" t="s">
        <v>593</v>
      </c>
      <c r="W481" s="5">
        <v>0</v>
      </c>
    </row>
    <row r="482" spans="1:23" x14ac:dyDescent="0.3">
      <c r="A482" s="2" t="s">
        <v>3115</v>
      </c>
      <c r="B482" s="2" t="s">
        <v>1539</v>
      </c>
      <c r="C482" s="2" t="s">
        <v>3116</v>
      </c>
      <c r="D482" s="2" t="s">
        <v>3117</v>
      </c>
      <c r="E482" s="2" t="s">
        <v>3118</v>
      </c>
      <c r="F482" s="2" t="s">
        <v>3119</v>
      </c>
      <c r="G482" s="2" t="s">
        <v>190</v>
      </c>
      <c r="H482" s="2" t="s">
        <v>161</v>
      </c>
      <c r="I482" s="2" t="s">
        <v>31</v>
      </c>
      <c r="J482" s="2" t="s">
        <v>3120</v>
      </c>
      <c r="K482" s="2" t="s">
        <v>122</v>
      </c>
      <c r="L482" s="2">
        <v>2</v>
      </c>
      <c r="M482" s="3">
        <v>194.95</v>
      </c>
      <c r="N482" s="2" t="s">
        <v>163</v>
      </c>
      <c r="O482" s="3">
        <v>38.99</v>
      </c>
      <c r="P482" s="3">
        <v>0</v>
      </c>
      <c r="Q482" s="3">
        <v>15.6</v>
      </c>
      <c r="R482" s="3">
        <v>171.56</v>
      </c>
      <c r="S482" s="2" t="s">
        <v>111</v>
      </c>
      <c r="T482" s="2" t="s">
        <v>99</v>
      </c>
      <c r="U482" s="2" t="s">
        <v>51</v>
      </c>
      <c r="V482" s="2" t="s">
        <v>1187</v>
      </c>
      <c r="W482" s="3">
        <v>0</v>
      </c>
    </row>
    <row r="483" spans="1:23" x14ac:dyDescent="0.3">
      <c r="A483" s="4" t="s">
        <v>3121</v>
      </c>
      <c r="B483" s="4" t="s">
        <v>1580</v>
      </c>
      <c r="C483" s="4" t="s">
        <v>3122</v>
      </c>
      <c r="D483" s="4" t="s">
        <v>3123</v>
      </c>
      <c r="E483" s="4" t="s">
        <v>3124</v>
      </c>
      <c r="F483" s="4" t="s">
        <v>3125</v>
      </c>
      <c r="G483" s="4" t="s">
        <v>160</v>
      </c>
      <c r="H483" s="4" t="s">
        <v>161</v>
      </c>
      <c r="I483" s="4" t="s">
        <v>31</v>
      </c>
      <c r="J483" s="4" t="s">
        <v>1968</v>
      </c>
      <c r="K483" s="4" t="s">
        <v>209</v>
      </c>
      <c r="L483" s="4">
        <v>1</v>
      </c>
      <c r="M483" s="5">
        <v>99.98</v>
      </c>
      <c r="N483" s="4" t="s">
        <v>34</v>
      </c>
      <c r="O483" s="5">
        <v>0</v>
      </c>
      <c r="P483" s="5">
        <v>0</v>
      </c>
      <c r="Q483" s="5">
        <v>10</v>
      </c>
      <c r="R483" s="5">
        <v>109.98</v>
      </c>
      <c r="S483" s="4" t="s">
        <v>64</v>
      </c>
      <c r="T483" s="4" t="s">
        <v>99</v>
      </c>
      <c r="U483" s="4" t="s">
        <v>317</v>
      </c>
      <c r="V483" s="4"/>
      <c r="W483" s="5">
        <v>0</v>
      </c>
    </row>
    <row r="484" spans="1:23" x14ac:dyDescent="0.3">
      <c r="A484" s="2" t="s">
        <v>3126</v>
      </c>
      <c r="B484" s="2" t="s">
        <v>1521</v>
      </c>
      <c r="C484" s="2" t="s">
        <v>3127</v>
      </c>
      <c r="D484" s="2" t="s">
        <v>2917</v>
      </c>
      <c r="E484" s="2" t="s">
        <v>3128</v>
      </c>
      <c r="F484" s="2" t="s">
        <v>3129</v>
      </c>
      <c r="G484" s="2" t="s">
        <v>180</v>
      </c>
      <c r="H484" s="2" t="s">
        <v>181</v>
      </c>
      <c r="I484" s="2" t="s">
        <v>31</v>
      </c>
      <c r="J484" s="2" t="s">
        <v>3130</v>
      </c>
      <c r="K484" s="2" t="s">
        <v>209</v>
      </c>
      <c r="L484" s="2">
        <v>1</v>
      </c>
      <c r="M484" s="3">
        <v>359.97</v>
      </c>
      <c r="N484" s="2" t="s">
        <v>34</v>
      </c>
      <c r="O484" s="3">
        <v>0</v>
      </c>
      <c r="P484" s="3">
        <v>0</v>
      </c>
      <c r="Q484" s="3">
        <v>21.6</v>
      </c>
      <c r="R484" s="3">
        <v>381.57</v>
      </c>
      <c r="S484" s="2" t="s">
        <v>35</v>
      </c>
      <c r="T484" s="2" t="s">
        <v>173</v>
      </c>
      <c r="U484" s="2" t="s">
        <v>66</v>
      </c>
      <c r="V484" s="2" t="s">
        <v>2645</v>
      </c>
      <c r="W484" s="3">
        <v>0</v>
      </c>
    </row>
    <row r="485" spans="1:23" x14ac:dyDescent="0.3">
      <c r="A485" s="4" t="s">
        <v>3131</v>
      </c>
      <c r="B485" s="4" t="s">
        <v>534</v>
      </c>
      <c r="C485" s="4" t="s">
        <v>3132</v>
      </c>
      <c r="D485" s="4" t="s">
        <v>3133</v>
      </c>
      <c r="E485" s="4" t="s">
        <v>3134</v>
      </c>
      <c r="F485" s="4" t="s">
        <v>3135</v>
      </c>
      <c r="G485" s="4" t="s">
        <v>403</v>
      </c>
      <c r="H485" s="4" t="s">
        <v>404</v>
      </c>
      <c r="I485" s="4" t="s">
        <v>31</v>
      </c>
      <c r="J485" s="4" t="s">
        <v>503</v>
      </c>
      <c r="K485" s="4" t="s">
        <v>122</v>
      </c>
      <c r="L485" s="4">
        <v>1</v>
      </c>
      <c r="M485" s="5">
        <v>59.99</v>
      </c>
      <c r="N485" s="4" t="s">
        <v>152</v>
      </c>
      <c r="O485" s="5">
        <v>3</v>
      </c>
      <c r="P485" s="5">
        <v>9.99</v>
      </c>
      <c r="Q485" s="5">
        <v>5.7</v>
      </c>
      <c r="R485" s="5">
        <v>72.680000000000007</v>
      </c>
      <c r="S485" s="4" t="s">
        <v>35</v>
      </c>
      <c r="T485" s="4" t="s">
        <v>65</v>
      </c>
      <c r="U485" s="4" t="s">
        <v>100</v>
      </c>
      <c r="V485" s="4"/>
      <c r="W485" s="5">
        <v>0</v>
      </c>
    </row>
    <row r="486" spans="1:23" x14ac:dyDescent="0.3">
      <c r="A486" s="2" t="s">
        <v>3136</v>
      </c>
      <c r="B486" s="2" t="s">
        <v>349</v>
      </c>
      <c r="C486" s="2" t="s">
        <v>3137</v>
      </c>
      <c r="D486" s="2" t="s">
        <v>3138</v>
      </c>
      <c r="E486" s="2" t="s">
        <v>3139</v>
      </c>
      <c r="F486" s="2" t="s">
        <v>3140</v>
      </c>
      <c r="G486" s="2" t="s">
        <v>323</v>
      </c>
      <c r="H486" s="2" t="s">
        <v>324</v>
      </c>
      <c r="I486" s="2" t="s">
        <v>31</v>
      </c>
      <c r="J486" s="2" t="s">
        <v>3141</v>
      </c>
      <c r="K486" s="2" t="s">
        <v>48</v>
      </c>
      <c r="L486" s="2">
        <v>3</v>
      </c>
      <c r="M486" s="3">
        <v>354.94</v>
      </c>
      <c r="N486" s="2" t="s">
        <v>49</v>
      </c>
      <c r="O486" s="3">
        <v>53.24</v>
      </c>
      <c r="P486" s="3">
        <v>0</v>
      </c>
      <c r="Q486" s="3">
        <v>18.100000000000001</v>
      </c>
      <c r="R486" s="3">
        <v>319.8</v>
      </c>
      <c r="S486" s="2" t="s">
        <v>332</v>
      </c>
      <c r="T486" s="2" t="s">
        <v>50</v>
      </c>
      <c r="U486" s="2" t="s">
        <v>37</v>
      </c>
      <c r="V486" s="2" t="s">
        <v>2303</v>
      </c>
      <c r="W486" s="3">
        <v>319.8</v>
      </c>
    </row>
    <row r="487" spans="1:23" x14ac:dyDescent="0.3">
      <c r="A487" s="4" t="s">
        <v>3142</v>
      </c>
      <c r="B487" s="4" t="s">
        <v>498</v>
      </c>
      <c r="C487" s="4" t="s">
        <v>3143</v>
      </c>
      <c r="D487" s="4" t="s">
        <v>3144</v>
      </c>
      <c r="E487" s="4" t="s">
        <v>3145</v>
      </c>
      <c r="F487" s="4" t="s">
        <v>3146</v>
      </c>
      <c r="G487" s="4" t="s">
        <v>45</v>
      </c>
      <c r="H487" s="4" t="s">
        <v>46</v>
      </c>
      <c r="I487" s="4" t="s">
        <v>31</v>
      </c>
      <c r="J487" s="4" t="s">
        <v>3147</v>
      </c>
      <c r="K487" s="4" t="s">
        <v>143</v>
      </c>
      <c r="L487" s="4">
        <v>2</v>
      </c>
      <c r="M487" s="5">
        <v>189.97</v>
      </c>
      <c r="N487" s="4" t="s">
        <v>34</v>
      </c>
      <c r="O487" s="5">
        <v>0</v>
      </c>
      <c r="P487" s="5">
        <v>0</v>
      </c>
      <c r="Q487" s="5">
        <v>13.3</v>
      </c>
      <c r="R487" s="5">
        <v>203.27</v>
      </c>
      <c r="S487" s="4" t="s">
        <v>79</v>
      </c>
      <c r="T487" s="4" t="s">
        <v>99</v>
      </c>
      <c r="U487" s="4" t="s">
        <v>37</v>
      </c>
      <c r="V487" s="4" t="s">
        <v>478</v>
      </c>
      <c r="W487" s="5">
        <v>203.27</v>
      </c>
    </row>
    <row r="488" spans="1:23" x14ac:dyDescent="0.3">
      <c r="A488" s="2" t="s">
        <v>3148</v>
      </c>
      <c r="B488" s="2" t="s">
        <v>550</v>
      </c>
      <c r="C488" s="2" t="s">
        <v>3149</v>
      </c>
      <c r="D488" s="2" t="s">
        <v>3150</v>
      </c>
      <c r="E488" s="2" t="s">
        <v>3151</v>
      </c>
      <c r="F488" s="2" t="s">
        <v>3152</v>
      </c>
      <c r="G488" s="2" t="s">
        <v>171</v>
      </c>
      <c r="H488" s="2" t="s">
        <v>88</v>
      </c>
      <c r="I488" s="2" t="s">
        <v>31</v>
      </c>
      <c r="J488" s="2" t="s">
        <v>308</v>
      </c>
      <c r="K488" s="2" t="s">
        <v>62</v>
      </c>
      <c r="L488" s="2">
        <v>1</v>
      </c>
      <c r="M488" s="3">
        <v>29.99</v>
      </c>
      <c r="N488" s="2" t="s">
        <v>34</v>
      </c>
      <c r="O488" s="3">
        <v>0</v>
      </c>
      <c r="P488" s="3">
        <v>9.99</v>
      </c>
      <c r="Q488" s="3">
        <v>2.7</v>
      </c>
      <c r="R488" s="3">
        <v>42.68</v>
      </c>
      <c r="S488" s="2" t="s">
        <v>35</v>
      </c>
      <c r="T488" s="2" t="s">
        <v>144</v>
      </c>
      <c r="U488" s="2" t="s">
        <v>66</v>
      </c>
      <c r="V488" s="2" t="s">
        <v>1151</v>
      </c>
      <c r="W488" s="3">
        <v>0</v>
      </c>
    </row>
    <row r="489" spans="1:23" x14ac:dyDescent="0.3">
      <c r="A489" s="4" t="s">
        <v>3153</v>
      </c>
      <c r="B489" s="4" t="s">
        <v>1580</v>
      </c>
      <c r="C489" s="4" t="s">
        <v>3154</v>
      </c>
      <c r="D489" s="4" t="s">
        <v>3155</v>
      </c>
      <c r="E489" s="4" t="s">
        <v>3156</v>
      </c>
      <c r="F489" s="4" t="s">
        <v>3157</v>
      </c>
      <c r="G489" s="4" t="s">
        <v>107</v>
      </c>
      <c r="H489" s="4" t="s">
        <v>108</v>
      </c>
      <c r="I489" s="4" t="s">
        <v>31</v>
      </c>
      <c r="J489" s="4" t="s">
        <v>3158</v>
      </c>
      <c r="K489" s="4" t="s">
        <v>62</v>
      </c>
      <c r="L489" s="4">
        <v>2</v>
      </c>
      <c r="M489" s="5">
        <v>154.97</v>
      </c>
      <c r="N489" s="4" t="s">
        <v>34</v>
      </c>
      <c r="O489" s="5">
        <v>0</v>
      </c>
      <c r="P489" s="5">
        <v>0</v>
      </c>
      <c r="Q489" s="5">
        <v>15.5</v>
      </c>
      <c r="R489" s="5">
        <v>170.47</v>
      </c>
      <c r="S489" s="4" t="s">
        <v>64</v>
      </c>
      <c r="T489" s="4" t="s">
        <v>99</v>
      </c>
      <c r="U489" s="4" t="s">
        <v>100</v>
      </c>
      <c r="V489" s="4"/>
      <c r="W489" s="5">
        <v>0</v>
      </c>
    </row>
    <row r="490" spans="1:23" x14ac:dyDescent="0.3">
      <c r="A490" s="2" t="s">
        <v>3159</v>
      </c>
      <c r="B490" s="2" t="s">
        <v>2805</v>
      </c>
      <c r="C490" s="2" t="s">
        <v>3160</v>
      </c>
      <c r="D490" s="2" t="s">
        <v>954</v>
      </c>
      <c r="E490" s="2" t="s">
        <v>3161</v>
      </c>
      <c r="F490" s="2" t="s">
        <v>3162</v>
      </c>
      <c r="G490" s="2" t="s">
        <v>676</v>
      </c>
      <c r="H490" s="2" t="s">
        <v>677</v>
      </c>
      <c r="I490" s="2" t="s">
        <v>31</v>
      </c>
      <c r="J490" s="2" t="s">
        <v>2658</v>
      </c>
      <c r="K490" s="2" t="s">
        <v>33</v>
      </c>
      <c r="L490" s="2">
        <v>1</v>
      </c>
      <c r="M490" s="3">
        <v>37.979999999999997</v>
      </c>
      <c r="N490" s="2" t="s">
        <v>49</v>
      </c>
      <c r="O490" s="3">
        <v>5.7</v>
      </c>
      <c r="P490" s="3">
        <v>4.99</v>
      </c>
      <c r="Q490" s="3">
        <v>2.91</v>
      </c>
      <c r="R490" s="3">
        <v>40.18</v>
      </c>
      <c r="S490" s="2" t="s">
        <v>79</v>
      </c>
      <c r="T490" s="2" t="s">
        <v>65</v>
      </c>
      <c r="U490" s="2" t="s">
        <v>66</v>
      </c>
      <c r="V490" s="2" t="s">
        <v>1294</v>
      </c>
      <c r="W490" s="3">
        <v>0</v>
      </c>
    </row>
    <row r="491" spans="1:23" x14ac:dyDescent="0.3">
      <c r="A491" s="4" t="s">
        <v>3163</v>
      </c>
      <c r="B491" s="4" t="s">
        <v>625</v>
      </c>
      <c r="C491" s="4" t="s">
        <v>3164</v>
      </c>
      <c r="D491" s="4" t="s">
        <v>712</v>
      </c>
      <c r="E491" s="4" t="s">
        <v>3165</v>
      </c>
      <c r="F491" s="4" t="s">
        <v>3166</v>
      </c>
      <c r="G491" s="4" t="s">
        <v>282</v>
      </c>
      <c r="H491" s="4" t="s">
        <v>88</v>
      </c>
      <c r="I491" s="4" t="s">
        <v>31</v>
      </c>
      <c r="J491" s="4" t="s">
        <v>3167</v>
      </c>
      <c r="K491" s="4" t="s">
        <v>33</v>
      </c>
      <c r="L491" s="4">
        <v>3</v>
      </c>
      <c r="M491" s="5">
        <v>150.96</v>
      </c>
      <c r="N491" s="4" t="s">
        <v>34</v>
      </c>
      <c r="O491" s="5">
        <v>0</v>
      </c>
      <c r="P491" s="5">
        <v>0</v>
      </c>
      <c r="Q491" s="5">
        <v>12.08</v>
      </c>
      <c r="R491" s="5">
        <v>163.04</v>
      </c>
      <c r="S491" s="4" t="s">
        <v>332</v>
      </c>
      <c r="T491" s="4" t="s">
        <v>50</v>
      </c>
      <c r="U491" s="4" t="s">
        <v>317</v>
      </c>
      <c r="V491" s="4"/>
      <c r="W491" s="5">
        <v>0</v>
      </c>
    </row>
    <row r="492" spans="1:23" x14ac:dyDescent="0.3">
      <c r="A492" s="2" t="s">
        <v>3168</v>
      </c>
      <c r="B492" s="2" t="s">
        <v>2203</v>
      </c>
      <c r="C492" s="2" t="s">
        <v>3169</v>
      </c>
      <c r="D492" s="2" t="s">
        <v>3170</v>
      </c>
      <c r="E492" s="2" t="s">
        <v>3171</v>
      </c>
      <c r="F492" s="2" t="s">
        <v>3172</v>
      </c>
      <c r="G492" s="2" t="s">
        <v>251</v>
      </c>
      <c r="H492" s="2" t="s">
        <v>252</v>
      </c>
      <c r="I492" s="2" t="s">
        <v>31</v>
      </c>
      <c r="J492" s="2" t="s">
        <v>577</v>
      </c>
      <c r="K492" s="2" t="s">
        <v>364</v>
      </c>
      <c r="L492" s="2">
        <v>1</v>
      </c>
      <c r="M492" s="3">
        <v>19.989999999999998</v>
      </c>
      <c r="N492" s="2" t="s">
        <v>49</v>
      </c>
      <c r="O492" s="3">
        <v>3</v>
      </c>
      <c r="P492" s="3">
        <v>5.99</v>
      </c>
      <c r="Q492" s="3">
        <v>1.19</v>
      </c>
      <c r="R492" s="3">
        <v>24.17</v>
      </c>
      <c r="S492" s="2" t="s">
        <v>123</v>
      </c>
      <c r="T492" s="2" t="s">
        <v>144</v>
      </c>
      <c r="U492" s="2" t="s">
        <v>66</v>
      </c>
      <c r="V492" s="2" t="s">
        <v>389</v>
      </c>
      <c r="W492" s="3">
        <v>0</v>
      </c>
    </row>
    <row r="493" spans="1:23" x14ac:dyDescent="0.3">
      <c r="A493" s="4" t="s">
        <v>3173</v>
      </c>
      <c r="B493" s="4" t="s">
        <v>1446</v>
      </c>
      <c r="C493" s="4" t="s">
        <v>3174</v>
      </c>
      <c r="D493" s="4" t="s">
        <v>3175</v>
      </c>
      <c r="E493" s="4" t="s">
        <v>3176</v>
      </c>
      <c r="F493" s="4" t="s">
        <v>3177</v>
      </c>
      <c r="G493" s="4" t="s">
        <v>224</v>
      </c>
      <c r="H493" s="4" t="s">
        <v>225</v>
      </c>
      <c r="I493" s="4" t="s">
        <v>31</v>
      </c>
      <c r="J493" s="4" t="s">
        <v>3178</v>
      </c>
      <c r="K493" s="4" t="s">
        <v>48</v>
      </c>
      <c r="L493" s="4">
        <v>3</v>
      </c>
      <c r="M493" s="5">
        <v>182.96</v>
      </c>
      <c r="N493" s="4" t="s">
        <v>152</v>
      </c>
      <c r="O493" s="5">
        <v>9.15</v>
      </c>
      <c r="P493" s="5">
        <v>0</v>
      </c>
      <c r="Q493" s="5">
        <v>10.43</v>
      </c>
      <c r="R493" s="5">
        <v>184.24</v>
      </c>
      <c r="S493" s="4" t="s">
        <v>111</v>
      </c>
      <c r="T493" s="4" t="s">
        <v>99</v>
      </c>
      <c r="U493" s="4" t="s">
        <v>66</v>
      </c>
      <c r="V493" s="4" t="s">
        <v>1296</v>
      </c>
      <c r="W493" s="5">
        <v>0</v>
      </c>
    </row>
    <row r="494" spans="1:23" x14ac:dyDescent="0.3">
      <c r="A494" s="2" t="s">
        <v>3179</v>
      </c>
      <c r="B494" s="2" t="s">
        <v>175</v>
      </c>
      <c r="C494" s="2" t="s">
        <v>3180</v>
      </c>
      <c r="D494" s="2" t="s">
        <v>1073</v>
      </c>
      <c r="E494" s="2" t="s">
        <v>3181</v>
      </c>
      <c r="F494" s="2" t="s">
        <v>3182</v>
      </c>
      <c r="G494" s="2" t="s">
        <v>251</v>
      </c>
      <c r="H494" s="2" t="s">
        <v>252</v>
      </c>
      <c r="I494" s="2" t="s">
        <v>31</v>
      </c>
      <c r="J494" s="2" t="s">
        <v>3183</v>
      </c>
      <c r="K494" s="2" t="s">
        <v>209</v>
      </c>
      <c r="L494" s="2">
        <v>2</v>
      </c>
      <c r="M494" s="3">
        <v>219.97</v>
      </c>
      <c r="N494" s="2" t="s">
        <v>34</v>
      </c>
      <c r="O494" s="3">
        <v>0</v>
      </c>
      <c r="P494" s="3">
        <v>0</v>
      </c>
      <c r="Q494" s="3">
        <v>22</v>
      </c>
      <c r="R494" s="3">
        <v>241.97</v>
      </c>
      <c r="S494" s="2" t="s">
        <v>64</v>
      </c>
      <c r="T494" s="2" t="s">
        <v>325</v>
      </c>
      <c r="U494" s="2" t="s">
        <v>66</v>
      </c>
      <c r="V494" s="2" t="s">
        <v>374</v>
      </c>
      <c r="W494" s="3">
        <v>0</v>
      </c>
    </row>
    <row r="495" spans="1:23" x14ac:dyDescent="0.3">
      <c r="A495" s="4" t="s">
        <v>3184</v>
      </c>
      <c r="B495" s="4" t="s">
        <v>175</v>
      </c>
      <c r="C495" s="4" t="s">
        <v>3185</v>
      </c>
      <c r="D495" s="4" t="s">
        <v>3186</v>
      </c>
      <c r="E495" s="4" t="s">
        <v>3187</v>
      </c>
      <c r="F495" s="4" t="s">
        <v>3188</v>
      </c>
      <c r="G495" s="4" t="s">
        <v>640</v>
      </c>
      <c r="H495" s="4" t="s">
        <v>161</v>
      </c>
      <c r="I495" s="4" t="s">
        <v>31</v>
      </c>
      <c r="J495" s="4" t="s">
        <v>3189</v>
      </c>
      <c r="K495" s="4" t="s">
        <v>77</v>
      </c>
      <c r="L495" s="4">
        <v>2</v>
      </c>
      <c r="M495" s="5">
        <v>47.98</v>
      </c>
      <c r="N495" s="4" t="s">
        <v>78</v>
      </c>
      <c r="O495" s="5">
        <v>4.8</v>
      </c>
      <c r="P495" s="5">
        <v>7.99</v>
      </c>
      <c r="Q495" s="5">
        <v>3.02</v>
      </c>
      <c r="R495" s="5">
        <v>54.19</v>
      </c>
      <c r="S495" s="4" t="s">
        <v>79</v>
      </c>
      <c r="T495" s="4" t="s">
        <v>36</v>
      </c>
      <c r="U495" s="4" t="s">
        <v>317</v>
      </c>
      <c r="V495" s="4"/>
      <c r="W495" s="5">
        <v>0</v>
      </c>
    </row>
    <row r="496" spans="1:23" x14ac:dyDescent="0.3">
      <c r="A496" s="2" t="s">
        <v>3190</v>
      </c>
      <c r="B496" s="2" t="s">
        <v>1185</v>
      </c>
      <c r="C496" s="2" t="s">
        <v>3191</v>
      </c>
      <c r="D496" s="2" t="s">
        <v>1603</v>
      </c>
      <c r="E496" s="2" t="s">
        <v>3192</v>
      </c>
      <c r="F496" s="2" t="s">
        <v>3193</v>
      </c>
      <c r="G496" s="2" t="s">
        <v>251</v>
      </c>
      <c r="H496" s="2" t="s">
        <v>252</v>
      </c>
      <c r="I496" s="2" t="s">
        <v>31</v>
      </c>
      <c r="J496" s="2" t="s">
        <v>3194</v>
      </c>
      <c r="K496" s="2" t="s">
        <v>209</v>
      </c>
      <c r="L496" s="2">
        <v>4</v>
      </c>
      <c r="M496" s="3">
        <v>432.94</v>
      </c>
      <c r="N496" s="2" t="s">
        <v>78</v>
      </c>
      <c r="O496" s="3">
        <v>43.29</v>
      </c>
      <c r="P496" s="3">
        <v>0</v>
      </c>
      <c r="Q496" s="3">
        <v>33.119999999999997</v>
      </c>
      <c r="R496" s="3">
        <v>422.77</v>
      </c>
      <c r="S496" s="2" t="s">
        <v>64</v>
      </c>
      <c r="T496" s="2" t="s">
        <v>36</v>
      </c>
      <c r="U496" s="2" t="s">
        <v>100</v>
      </c>
      <c r="V496" s="2"/>
      <c r="W496" s="3">
        <v>0</v>
      </c>
    </row>
    <row r="497" spans="1:23" x14ac:dyDescent="0.3">
      <c r="A497" s="4" t="s">
        <v>3195</v>
      </c>
      <c r="B497" s="4" t="s">
        <v>1176</v>
      </c>
      <c r="C497" s="4" t="s">
        <v>3196</v>
      </c>
      <c r="D497" s="4" t="s">
        <v>3197</v>
      </c>
      <c r="E497" s="4" t="s">
        <v>3198</v>
      </c>
      <c r="F497" s="4" t="s">
        <v>3199</v>
      </c>
      <c r="G497" s="4" t="s">
        <v>251</v>
      </c>
      <c r="H497" s="4" t="s">
        <v>252</v>
      </c>
      <c r="I497" s="4" t="s">
        <v>31</v>
      </c>
      <c r="J497" s="4" t="s">
        <v>3200</v>
      </c>
      <c r="K497" s="4" t="s">
        <v>33</v>
      </c>
      <c r="L497" s="4">
        <v>5</v>
      </c>
      <c r="M497" s="5">
        <v>185.95</v>
      </c>
      <c r="N497" s="4" t="s">
        <v>163</v>
      </c>
      <c r="O497" s="5">
        <v>37.19</v>
      </c>
      <c r="P497" s="5">
        <v>0</v>
      </c>
      <c r="Q497" s="5">
        <v>14.88</v>
      </c>
      <c r="R497" s="5">
        <v>163.63999999999999</v>
      </c>
      <c r="S497" s="4" t="s">
        <v>111</v>
      </c>
      <c r="T497" s="4" t="s">
        <v>65</v>
      </c>
      <c r="U497" s="4" t="s">
        <v>317</v>
      </c>
      <c r="V497" s="4"/>
      <c r="W497" s="5">
        <v>0</v>
      </c>
    </row>
    <row r="498" spans="1:23" x14ac:dyDescent="0.3">
      <c r="A498" s="2" t="s">
        <v>3201</v>
      </c>
      <c r="B498" s="2" t="s">
        <v>1170</v>
      </c>
      <c r="C498" s="2" t="s">
        <v>3202</v>
      </c>
      <c r="D498" s="2" t="s">
        <v>3203</v>
      </c>
      <c r="E498" s="2" t="s">
        <v>3204</v>
      </c>
      <c r="F498" s="2" t="s">
        <v>3205</v>
      </c>
      <c r="G498" s="2" t="s">
        <v>291</v>
      </c>
      <c r="H498" s="2" t="s">
        <v>292</v>
      </c>
      <c r="I498" s="2" t="s">
        <v>31</v>
      </c>
      <c r="J498" s="2" t="s">
        <v>47</v>
      </c>
      <c r="K498" s="2" t="s">
        <v>48</v>
      </c>
      <c r="L498" s="2">
        <v>1</v>
      </c>
      <c r="M498" s="3">
        <v>42.99</v>
      </c>
      <c r="N498" s="2" t="s">
        <v>63</v>
      </c>
      <c r="O498" s="3">
        <v>10.75</v>
      </c>
      <c r="P498" s="3">
        <v>9.99</v>
      </c>
      <c r="Q498" s="3">
        <v>2.2599999999999998</v>
      </c>
      <c r="R498" s="3">
        <v>44.49</v>
      </c>
      <c r="S498" s="2" t="s">
        <v>111</v>
      </c>
      <c r="T498" s="2" t="s">
        <v>50</v>
      </c>
      <c r="U498" s="2" t="s">
        <v>100</v>
      </c>
      <c r="V498" s="2"/>
      <c r="W498" s="3">
        <v>0</v>
      </c>
    </row>
    <row r="499" spans="1:23" x14ac:dyDescent="0.3">
      <c r="A499" s="4" t="s">
        <v>3206</v>
      </c>
      <c r="B499" s="4" t="s">
        <v>1488</v>
      </c>
      <c r="C499" s="4" t="s">
        <v>3207</v>
      </c>
      <c r="D499" s="4" t="s">
        <v>3208</v>
      </c>
      <c r="E499" s="4" t="s">
        <v>3209</v>
      </c>
      <c r="F499" s="4" t="s">
        <v>3210</v>
      </c>
      <c r="G499" s="4" t="s">
        <v>403</v>
      </c>
      <c r="H499" s="4" t="s">
        <v>404</v>
      </c>
      <c r="I499" s="4" t="s">
        <v>31</v>
      </c>
      <c r="J499" s="4" t="s">
        <v>1148</v>
      </c>
      <c r="K499" s="4" t="s">
        <v>33</v>
      </c>
      <c r="L499" s="4">
        <v>1</v>
      </c>
      <c r="M499" s="5">
        <v>18.989999999999998</v>
      </c>
      <c r="N499" s="4" t="s">
        <v>78</v>
      </c>
      <c r="O499" s="5">
        <v>1.9</v>
      </c>
      <c r="P499" s="5">
        <v>9.99</v>
      </c>
      <c r="Q499" s="5">
        <v>1.37</v>
      </c>
      <c r="R499" s="5">
        <v>28.45</v>
      </c>
      <c r="S499" s="4" t="s">
        <v>35</v>
      </c>
      <c r="T499" s="4" t="s">
        <v>99</v>
      </c>
      <c r="U499" s="4" t="s">
        <v>100</v>
      </c>
      <c r="V499" s="4"/>
      <c r="W499" s="5">
        <v>0</v>
      </c>
    </row>
    <row r="500" spans="1:23" x14ac:dyDescent="0.3">
      <c r="A500" s="2" t="s">
        <v>3211</v>
      </c>
      <c r="B500" s="2" t="s">
        <v>1124</v>
      </c>
      <c r="C500" s="2" t="s">
        <v>3212</v>
      </c>
      <c r="D500" s="2" t="s">
        <v>1344</v>
      </c>
      <c r="E500" s="2" t="s">
        <v>3213</v>
      </c>
      <c r="F500" s="2" t="s">
        <v>3214</v>
      </c>
      <c r="G500" s="2" t="s">
        <v>180</v>
      </c>
      <c r="H500" s="2" t="s">
        <v>181</v>
      </c>
      <c r="I500" s="2" t="s">
        <v>31</v>
      </c>
      <c r="J500" s="2" t="s">
        <v>3215</v>
      </c>
      <c r="K500" s="2" t="s">
        <v>48</v>
      </c>
      <c r="L500" s="2">
        <v>4</v>
      </c>
      <c r="M500" s="3">
        <v>165.94</v>
      </c>
      <c r="N500" s="2" t="s">
        <v>49</v>
      </c>
      <c r="O500" s="3">
        <v>24.89</v>
      </c>
      <c r="P500" s="3">
        <v>0</v>
      </c>
      <c r="Q500" s="3">
        <v>14.11</v>
      </c>
      <c r="R500" s="3">
        <v>155.16</v>
      </c>
      <c r="S500" s="2" t="s">
        <v>64</v>
      </c>
      <c r="T500" s="2" t="s">
        <v>36</v>
      </c>
      <c r="U500" s="2" t="s">
        <v>317</v>
      </c>
      <c r="V500" s="2"/>
      <c r="W500" s="3">
        <v>0</v>
      </c>
    </row>
    <row r="501" spans="1:23" x14ac:dyDescent="0.3">
      <c r="A501" s="4" t="s">
        <v>3216</v>
      </c>
      <c r="B501" s="4" t="s">
        <v>619</v>
      </c>
      <c r="C501" s="4" t="s">
        <v>3217</v>
      </c>
      <c r="D501" s="4" t="s">
        <v>116</v>
      </c>
      <c r="E501" s="4" t="s">
        <v>3218</v>
      </c>
      <c r="F501" s="4" t="s">
        <v>3219</v>
      </c>
      <c r="G501" s="4" t="s">
        <v>180</v>
      </c>
      <c r="H501" s="4" t="s">
        <v>181</v>
      </c>
      <c r="I501" s="4" t="s">
        <v>31</v>
      </c>
      <c r="J501" s="4" t="s">
        <v>3220</v>
      </c>
      <c r="K501" s="4" t="s">
        <v>122</v>
      </c>
      <c r="L501" s="4">
        <v>2</v>
      </c>
      <c r="M501" s="5">
        <v>245.96</v>
      </c>
      <c r="N501" s="4" t="s">
        <v>34</v>
      </c>
      <c r="O501" s="5">
        <v>0</v>
      </c>
      <c r="P501" s="5">
        <v>0</v>
      </c>
      <c r="Q501" s="5">
        <v>19.68</v>
      </c>
      <c r="R501" s="5">
        <v>265.64</v>
      </c>
      <c r="S501" s="4" t="s">
        <v>437</v>
      </c>
      <c r="T501" s="4" t="s">
        <v>36</v>
      </c>
      <c r="U501" s="4" t="s">
        <v>66</v>
      </c>
      <c r="V501" s="4" t="s">
        <v>924</v>
      </c>
      <c r="W501" s="5">
        <v>0</v>
      </c>
    </row>
    <row r="502" spans="1:23" x14ac:dyDescent="0.3">
      <c r="A502" s="2" t="s">
        <v>3221</v>
      </c>
      <c r="B502" s="2" t="s">
        <v>470</v>
      </c>
      <c r="C502" s="2" t="s">
        <v>3222</v>
      </c>
      <c r="D502" s="2" t="s">
        <v>3223</v>
      </c>
      <c r="E502" s="2" t="s">
        <v>3224</v>
      </c>
      <c r="F502" s="2" t="s">
        <v>3225</v>
      </c>
      <c r="G502" s="2" t="s">
        <v>119</v>
      </c>
      <c r="H502" s="2" t="s">
        <v>120</v>
      </c>
      <c r="I502" s="2" t="s">
        <v>31</v>
      </c>
      <c r="J502" s="2" t="s">
        <v>3226</v>
      </c>
      <c r="K502" s="2" t="s">
        <v>143</v>
      </c>
      <c r="L502" s="2">
        <v>3</v>
      </c>
      <c r="M502" s="3">
        <v>152.97</v>
      </c>
      <c r="N502" s="2" t="s">
        <v>163</v>
      </c>
      <c r="O502" s="3">
        <v>30.59</v>
      </c>
      <c r="P502" s="3">
        <v>0</v>
      </c>
      <c r="Q502" s="3">
        <v>9.7899999999999991</v>
      </c>
      <c r="R502" s="3">
        <v>132.16999999999999</v>
      </c>
      <c r="S502" s="2" t="s">
        <v>35</v>
      </c>
      <c r="T502" s="2" t="s">
        <v>50</v>
      </c>
      <c r="U502" s="2" t="s">
        <v>66</v>
      </c>
      <c r="V502" s="2" t="s">
        <v>824</v>
      </c>
      <c r="W502" s="3">
        <v>0</v>
      </c>
    </row>
    <row r="503" spans="1:23" x14ac:dyDescent="0.3">
      <c r="A503" s="4" t="s">
        <v>3227</v>
      </c>
      <c r="B503" s="4" t="s">
        <v>3228</v>
      </c>
      <c r="C503" s="4" t="s">
        <v>3229</v>
      </c>
      <c r="D503" s="4" t="s">
        <v>3230</v>
      </c>
      <c r="E503" s="4" t="s">
        <v>3231</v>
      </c>
      <c r="F503" s="4" t="s">
        <v>3232</v>
      </c>
      <c r="G503" s="4" t="s">
        <v>140</v>
      </c>
      <c r="H503" s="4" t="s">
        <v>141</v>
      </c>
      <c r="I503" s="4" t="s">
        <v>31</v>
      </c>
      <c r="J503" s="4" t="s">
        <v>191</v>
      </c>
      <c r="K503" s="4" t="s">
        <v>77</v>
      </c>
      <c r="L503" s="4">
        <v>1</v>
      </c>
      <c r="M503" s="5">
        <v>24.99</v>
      </c>
      <c r="N503" s="4" t="s">
        <v>34</v>
      </c>
      <c r="O503" s="5">
        <v>0</v>
      </c>
      <c r="P503" s="5">
        <v>7.99</v>
      </c>
      <c r="Q503" s="5">
        <v>2.5</v>
      </c>
      <c r="R503" s="5">
        <v>35.479999999999997</v>
      </c>
      <c r="S503" s="4" t="s">
        <v>64</v>
      </c>
      <c r="T503" s="4" t="s">
        <v>36</v>
      </c>
      <c r="U503" s="4" t="s">
        <v>66</v>
      </c>
      <c r="V503" s="4" t="s">
        <v>3233</v>
      </c>
      <c r="W503" s="5">
        <v>0</v>
      </c>
    </row>
    <row r="504" spans="1:23" x14ac:dyDescent="0.3">
      <c r="A504" s="2" t="s">
        <v>3234</v>
      </c>
      <c r="B504" s="2" t="s">
        <v>1713</v>
      </c>
      <c r="C504" s="2" t="s">
        <v>3235</v>
      </c>
      <c r="D504" s="2" t="s">
        <v>2759</v>
      </c>
      <c r="E504" s="2" t="s">
        <v>3236</v>
      </c>
      <c r="F504" s="2" t="s">
        <v>3237</v>
      </c>
      <c r="G504" s="2" t="s">
        <v>140</v>
      </c>
      <c r="H504" s="2" t="s">
        <v>141</v>
      </c>
      <c r="I504" s="2" t="s">
        <v>31</v>
      </c>
      <c r="J504" s="2" t="s">
        <v>3238</v>
      </c>
      <c r="K504" s="2" t="s">
        <v>122</v>
      </c>
      <c r="L504" s="2">
        <v>4</v>
      </c>
      <c r="M504" s="3">
        <v>389.91</v>
      </c>
      <c r="N504" s="2" t="s">
        <v>78</v>
      </c>
      <c r="O504" s="3">
        <v>38.99</v>
      </c>
      <c r="P504" s="3">
        <v>0</v>
      </c>
      <c r="Q504" s="3">
        <v>35.090000000000003</v>
      </c>
      <c r="R504" s="3">
        <v>386.01</v>
      </c>
      <c r="S504" s="2" t="s">
        <v>79</v>
      </c>
      <c r="T504" s="2" t="s">
        <v>99</v>
      </c>
      <c r="U504" s="2" t="s">
        <v>66</v>
      </c>
      <c r="V504" s="2" t="s">
        <v>1142</v>
      </c>
      <c r="W504" s="3">
        <v>0</v>
      </c>
    </row>
    <row r="505" spans="1:23" x14ac:dyDescent="0.3">
      <c r="A505" s="4" t="s">
        <v>3239</v>
      </c>
      <c r="B505" s="4" t="s">
        <v>413</v>
      </c>
      <c r="C505" s="4" t="s">
        <v>3240</v>
      </c>
      <c r="D505" s="4" t="s">
        <v>1727</v>
      </c>
      <c r="E505" s="4" t="s">
        <v>3241</v>
      </c>
      <c r="F505" s="4" t="s">
        <v>3242</v>
      </c>
      <c r="G505" s="4" t="s">
        <v>347</v>
      </c>
      <c r="H505" s="4" t="s">
        <v>60</v>
      </c>
      <c r="I505" s="4" t="s">
        <v>31</v>
      </c>
      <c r="J505" s="4" t="s">
        <v>3243</v>
      </c>
      <c r="K505" s="4" t="s">
        <v>77</v>
      </c>
      <c r="L505" s="4">
        <v>2</v>
      </c>
      <c r="M505" s="5">
        <v>142.94999999999999</v>
      </c>
      <c r="N505" s="4" t="s">
        <v>63</v>
      </c>
      <c r="O505" s="5">
        <v>35.74</v>
      </c>
      <c r="P505" s="5">
        <v>0</v>
      </c>
      <c r="Q505" s="5">
        <v>9.11</v>
      </c>
      <c r="R505" s="5">
        <v>116.32</v>
      </c>
      <c r="S505" s="4" t="s">
        <v>35</v>
      </c>
      <c r="T505" s="4" t="s">
        <v>99</v>
      </c>
      <c r="U505" s="4" t="s">
        <v>66</v>
      </c>
      <c r="V505" s="4" t="s">
        <v>489</v>
      </c>
      <c r="W505" s="5">
        <v>0</v>
      </c>
    </row>
    <row r="506" spans="1:23" x14ac:dyDescent="0.3">
      <c r="A506" s="2" t="s">
        <v>3244</v>
      </c>
      <c r="B506" s="2" t="s">
        <v>1596</v>
      </c>
      <c r="C506" s="2" t="s">
        <v>3245</v>
      </c>
      <c r="D506" s="2" t="s">
        <v>2473</v>
      </c>
      <c r="E506" s="2" t="s">
        <v>3246</v>
      </c>
      <c r="F506" s="2" t="s">
        <v>3247</v>
      </c>
      <c r="G506" s="2" t="s">
        <v>45</v>
      </c>
      <c r="H506" s="2" t="s">
        <v>46</v>
      </c>
      <c r="I506" s="2" t="s">
        <v>31</v>
      </c>
      <c r="J506" s="2" t="s">
        <v>741</v>
      </c>
      <c r="K506" s="2" t="s">
        <v>122</v>
      </c>
      <c r="L506" s="2">
        <v>1</v>
      </c>
      <c r="M506" s="3">
        <v>139.97999999999999</v>
      </c>
      <c r="N506" s="2" t="s">
        <v>34</v>
      </c>
      <c r="O506" s="3">
        <v>0</v>
      </c>
      <c r="P506" s="3">
        <v>0</v>
      </c>
      <c r="Q506" s="3">
        <v>14</v>
      </c>
      <c r="R506" s="3">
        <v>153.97999999999999</v>
      </c>
      <c r="S506" s="2" t="s">
        <v>64</v>
      </c>
      <c r="T506" s="2" t="s">
        <v>99</v>
      </c>
      <c r="U506" s="2" t="s">
        <v>66</v>
      </c>
      <c r="V506" s="2" t="s">
        <v>1057</v>
      </c>
      <c r="W506" s="3">
        <v>0</v>
      </c>
    </row>
    <row r="507" spans="1:23" x14ac:dyDescent="0.3">
      <c r="A507" s="4" t="s">
        <v>3248</v>
      </c>
      <c r="B507" s="4" t="s">
        <v>572</v>
      </c>
      <c r="C507" s="4" t="s">
        <v>3249</v>
      </c>
      <c r="D507" s="4" t="s">
        <v>3250</v>
      </c>
      <c r="E507" s="4" t="s">
        <v>3251</v>
      </c>
      <c r="F507" s="4" t="s">
        <v>3252</v>
      </c>
      <c r="G507" s="4" t="s">
        <v>394</v>
      </c>
      <c r="H507" s="4" t="s">
        <v>395</v>
      </c>
      <c r="I507" s="4" t="s">
        <v>31</v>
      </c>
      <c r="J507" s="4" t="s">
        <v>661</v>
      </c>
      <c r="K507" s="4" t="s">
        <v>143</v>
      </c>
      <c r="L507" s="4">
        <v>1</v>
      </c>
      <c r="M507" s="5">
        <v>79.989999999999995</v>
      </c>
      <c r="N507" s="4" t="s">
        <v>152</v>
      </c>
      <c r="O507" s="5">
        <v>4</v>
      </c>
      <c r="P507" s="5">
        <v>0</v>
      </c>
      <c r="Q507" s="5">
        <v>6.46</v>
      </c>
      <c r="R507" s="5">
        <v>82.45</v>
      </c>
      <c r="S507" s="4" t="s">
        <v>437</v>
      </c>
      <c r="T507" s="4" t="s">
        <v>36</v>
      </c>
      <c r="U507" s="4" t="s">
        <v>317</v>
      </c>
      <c r="V507" s="4"/>
      <c r="W507" s="5">
        <v>0</v>
      </c>
    </row>
    <row r="508" spans="1:23" x14ac:dyDescent="0.3">
      <c r="A508" s="2" t="s">
        <v>3253</v>
      </c>
      <c r="B508" s="2" t="s">
        <v>335</v>
      </c>
      <c r="C508" s="2" t="s">
        <v>3254</v>
      </c>
      <c r="D508" s="2" t="s">
        <v>3255</v>
      </c>
      <c r="E508" s="2" t="s">
        <v>3256</v>
      </c>
      <c r="F508" s="2" t="s">
        <v>3257</v>
      </c>
      <c r="G508" s="2" t="s">
        <v>323</v>
      </c>
      <c r="H508" s="2" t="s">
        <v>324</v>
      </c>
      <c r="I508" s="2" t="s">
        <v>31</v>
      </c>
      <c r="J508" s="2" t="s">
        <v>3258</v>
      </c>
      <c r="K508" s="2" t="s">
        <v>48</v>
      </c>
      <c r="L508" s="2">
        <v>3</v>
      </c>
      <c r="M508" s="3">
        <v>96.97</v>
      </c>
      <c r="N508" s="2" t="s">
        <v>49</v>
      </c>
      <c r="O508" s="3">
        <v>14.55</v>
      </c>
      <c r="P508" s="3">
        <v>0</v>
      </c>
      <c r="Q508" s="3">
        <v>6.59</v>
      </c>
      <c r="R508" s="3">
        <v>89.01</v>
      </c>
      <c r="S508" s="2" t="s">
        <v>64</v>
      </c>
      <c r="T508" s="2" t="s">
        <v>173</v>
      </c>
      <c r="U508" s="2" t="s">
        <v>66</v>
      </c>
      <c r="V508" s="2" t="s">
        <v>1683</v>
      </c>
      <c r="W508" s="3">
        <v>0</v>
      </c>
    </row>
    <row r="509" spans="1:23" x14ac:dyDescent="0.3">
      <c r="A509" s="4" t="s">
        <v>3259</v>
      </c>
      <c r="B509" s="4" t="s">
        <v>579</v>
      </c>
      <c r="C509" s="4" t="s">
        <v>3260</v>
      </c>
      <c r="D509" s="4" t="s">
        <v>2543</v>
      </c>
      <c r="E509" s="4" t="s">
        <v>3261</v>
      </c>
      <c r="F509" s="4" t="s">
        <v>3262</v>
      </c>
      <c r="G509" s="4" t="s">
        <v>160</v>
      </c>
      <c r="H509" s="4" t="s">
        <v>161</v>
      </c>
      <c r="I509" s="4" t="s">
        <v>31</v>
      </c>
      <c r="J509" s="4" t="s">
        <v>387</v>
      </c>
      <c r="K509" s="4" t="s">
        <v>33</v>
      </c>
      <c r="L509" s="4">
        <v>1</v>
      </c>
      <c r="M509" s="5">
        <v>35.99</v>
      </c>
      <c r="N509" s="4" t="s">
        <v>152</v>
      </c>
      <c r="O509" s="5">
        <v>1.8</v>
      </c>
      <c r="P509" s="5">
        <v>5.99</v>
      </c>
      <c r="Q509" s="5">
        <v>2.91</v>
      </c>
      <c r="R509" s="5">
        <v>43.09</v>
      </c>
      <c r="S509" s="4" t="s">
        <v>123</v>
      </c>
      <c r="T509" s="4" t="s">
        <v>36</v>
      </c>
      <c r="U509" s="4" t="s">
        <v>317</v>
      </c>
      <c r="V509" s="4"/>
      <c r="W509" s="5">
        <v>0</v>
      </c>
    </row>
    <row r="510" spans="1:23" x14ac:dyDescent="0.3">
      <c r="A510" s="2" t="s">
        <v>3263</v>
      </c>
      <c r="B510" s="2" t="s">
        <v>1347</v>
      </c>
      <c r="C510" s="2" t="s">
        <v>3264</v>
      </c>
      <c r="D510" s="2" t="s">
        <v>3265</v>
      </c>
      <c r="E510" s="2" t="s">
        <v>3266</v>
      </c>
      <c r="F510" s="2" t="s">
        <v>3267</v>
      </c>
      <c r="G510" s="2" t="s">
        <v>180</v>
      </c>
      <c r="H510" s="2" t="s">
        <v>181</v>
      </c>
      <c r="I510" s="2" t="s">
        <v>31</v>
      </c>
      <c r="J510" s="2" t="s">
        <v>1148</v>
      </c>
      <c r="K510" s="2" t="s">
        <v>33</v>
      </c>
      <c r="L510" s="2">
        <v>1</v>
      </c>
      <c r="M510" s="3">
        <v>18.989999999999998</v>
      </c>
      <c r="N510" s="2" t="s">
        <v>63</v>
      </c>
      <c r="O510" s="3">
        <v>4.75</v>
      </c>
      <c r="P510" s="3">
        <v>9.99</v>
      </c>
      <c r="Q510" s="3">
        <v>0.85</v>
      </c>
      <c r="R510" s="3">
        <v>25.08</v>
      </c>
      <c r="S510" s="2" t="s">
        <v>123</v>
      </c>
      <c r="T510" s="2" t="s">
        <v>36</v>
      </c>
      <c r="U510" s="2" t="s">
        <v>66</v>
      </c>
      <c r="V510" s="2" t="s">
        <v>1516</v>
      </c>
      <c r="W510" s="3">
        <v>0</v>
      </c>
    </row>
    <row r="511" spans="1:23" x14ac:dyDescent="0.3">
      <c r="A511" s="4" t="s">
        <v>3268</v>
      </c>
      <c r="B511" s="4" t="s">
        <v>447</v>
      </c>
      <c r="C511" s="4" t="s">
        <v>3269</v>
      </c>
      <c r="D511" s="4" t="s">
        <v>3270</v>
      </c>
      <c r="E511" s="4" t="s">
        <v>3271</v>
      </c>
      <c r="F511" s="4" t="s">
        <v>3272</v>
      </c>
      <c r="G511" s="4" t="s">
        <v>251</v>
      </c>
      <c r="H511" s="4" t="s">
        <v>252</v>
      </c>
      <c r="I511" s="4" t="s">
        <v>31</v>
      </c>
      <c r="J511" s="4" t="s">
        <v>1340</v>
      </c>
      <c r="K511" s="4" t="s">
        <v>209</v>
      </c>
      <c r="L511" s="4">
        <v>1</v>
      </c>
      <c r="M511" s="5">
        <v>119.99</v>
      </c>
      <c r="N511" s="4" t="s">
        <v>34</v>
      </c>
      <c r="O511" s="5">
        <v>0</v>
      </c>
      <c r="P511" s="5">
        <v>0</v>
      </c>
      <c r="Q511" s="5">
        <v>7.2</v>
      </c>
      <c r="R511" s="5">
        <v>127.19</v>
      </c>
      <c r="S511" s="4" t="s">
        <v>64</v>
      </c>
      <c r="T511" s="4" t="s">
        <v>65</v>
      </c>
      <c r="U511" s="4" t="s">
        <v>66</v>
      </c>
      <c r="V511" s="4" t="s">
        <v>601</v>
      </c>
      <c r="W511" s="5">
        <v>0</v>
      </c>
    </row>
    <row r="512" spans="1:23" x14ac:dyDescent="0.3">
      <c r="A512" s="2" t="s">
        <v>3273</v>
      </c>
      <c r="B512" s="2" t="s">
        <v>3274</v>
      </c>
      <c r="C512" s="2" t="s">
        <v>3275</v>
      </c>
      <c r="D512" s="2" t="s">
        <v>3276</v>
      </c>
      <c r="E512" s="2" t="s">
        <v>3277</v>
      </c>
      <c r="F512" s="2" t="s">
        <v>3278</v>
      </c>
      <c r="G512" s="2" t="s">
        <v>403</v>
      </c>
      <c r="H512" s="2" t="s">
        <v>404</v>
      </c>
      <c r="I512" s="2" t="s">
        <v>31</v>
      </c>
      <c r="J512" s="2" t="s">
        <v>142</v>
      </c>
      <c r="K512" s="2" t="s">
        <v>143</v>
      </c>
      <c r="L512" s="2">
        <v>1</v>
      </c>
      <c r="M512" s="3">
        <v>159.97999999999999</v>
      </c>
      <c r="N512" s="2" t="s">
        <v>78</v>
      </c>
      <c r="O512" s="3">
        <v>16</v>
      </c>
      <c r="P512" s="3">
        <v>0</v>
      </c>
      <c r="Q512" s="3">
        <v>14.4</v>
      </c>
      <c r="R512" s="3">
        <v>158.38</v>
      </c>
      <c r="S512" s="2" t="s">
        <v>123</v>
      </c>
      <c r="T512" s="2" t="s">
        <v>99</v>
      </c>
      <c r="U512" s="2" t="s">
        <v>100</v>
      </c>
      <c r="V512" s="2"/>
      <c r="W512" s="3">
        <v>0</v>
      </c>
    </row>
    <row r="513" spans="1:23" x14ac:dyDescent="0.3">
      <c r="A513" s="4" t="s">
        <v>3279</v>
      </c>
      <c r="B513" s="4" t="s">
        <v>1341</v>
      </c>
      <c r="C513" s="4" t="s">
        <v>3280</v>
      </c>
      <c r="D513" s="4" t="s">
        <v>3281</v>
      </c>
      <c r="E513" s="4" t="s">
        <v>3282</v>
      </c>
      <c r="F513" s="4" t="s">
        <v>3283</v>
      </c>
      <c r="G513" s="4" t="s">
        <v>428</v>
      </c>
      <c r="H513" s="4" t="s">
        <v>429</v>
      </c>
      <c r="I513" s="4" t="s">
        <v>31</v>
      </c>
      <c r="J513" s="4" t="s">
        <v>3284</v>
      </c>
      <c r="K513" s="4" t="s">
        <v>209</v>
      </c>
      <c r="L513" s="4">
        <v>2</v>
      </c>
      <c r="M513" s="5">
        <v>109.98</v>
      </c>
      <c r="N513" s="4" t="s">
        <v>34</v>
      </c>
      <c r="O513" s="5">
        <v>0</v>
      </c>
      <c r="P513" s="5">
        <v>0</v>
      </c>
      <c r="Q513" s="5">
        <v>7.7</v>
      </c>
      <c r="R513" s="5">
        <v>117.68</v>
      </c>
      <c r="S513" s="4" t="s">
        <v>64</v>
      </c>
      <c r="T513" s="4" t="s">
        <v>99</v>
      </c>
      <c r="U513" s="4" t="s">
        <v>51</v>
      </c>
      <c r="V513" s="4" t="s">
        <v>838</v>
      </c>
      <c r="W513" s="5">
        <v>0</v>
      </c>
    </row>
    <row r="514" spans="1:23" x14ac:dyDescent="0.3">
      <c r="A514" s="2" t="s">
        <v>3285</v>
      </c>
      <c r="B514" s="2" t="s">
        <v>1057</v>
      </c>
      <c r="C514" s="2" t="s">
        <v>3286</v>
      </c>
      <c r="D514" s="2" t="s">
        <v>3287</v>
      </c>
      <c r="E514" s="2" t="s">
        <v>3288</v>
      </c>
      <c r="F514" s="2" t="s">
        <v>3289</v>
      </c>
      <c r="G514" s="2" t="s">
        <v>87</v>
      </c>
      <c r="H514" s="2" t="s">
        <v>88</v>
      </c>
      <c r="I514" s="2" t="s">
        <v>31</v>
      </c>
      <c r="J514" s="2" t="s">
        <v>678</v>
      </c>
      <c r="K514" s="2" t="s">
        <v>679</v>
      </c>
      <c r="L514" s="2">
        <v>1</v>
      </c>
      <c r="M514" s="3">
        <v>14.99</v>
      </c>
      <c r="N514" s="2" t="s">
        <v>78</v>
      </c>
      <c r="O514" s="3">
        <v>1.5</v>
      </c>
      <c r="P514" s="3">
        <v>9.99</v>
      </c>
      <c r="Q514" s="3">
        <v>1.35</v>
      </c>
      <c r="R514" s="3">
        <v>24.83</v>
      </c>
      <c r="S514" s="2" t="s">
        <v>35</v>
      </c>
      <c r="T514" s="2" t="s">
        <v>99</v>
      </c>
      <c r="U514" s="2" t="s">
        <v>66</v>
      </c>
      <c r="V514" s="2" t="s">
        <v>804</v>
      </c>
      <c r="W514" s="3">
        <v>0</v>
      </c>
    </row>
    <row r="515" spans="1:23" x14ac:dyDescent="0.3">
      <c r="A515" s="4" t="s">
        <v>3290</v>
      </c>
      <c r="B515" s="4" t="s">
        <v>1787</v>
      </c>
      <c r="C515" s="4" t="s">
        <v>3291</v>
      </c>
      <c r="D515" s="4" t="s">
        <v>3292</v>
      </c>
      <c r="E515" s="4" t="s">
        <v>3293</v>
      </c>
      <c r="F515" s="4" t="s">
        <v>3294</v>
      </c>
      <c r="G515" s="4" t="s">
        <v>119</v>
      </c>
      <c r="H515" s="4" t="s">
        <v>120</v>
      </c>
      <c r="I515" s="4" t="s">
        <v>31</v>
      </c>
      <c r="J515" s="4" t="s">
        <v>340</v>
      </c>
      <c r="K515" s="4" t="s">
        <v>209</v>
      </c>
      <c r="L515" s="4">
        <v>1</v>
      </c>
      <c r="M515" s="5">
        <v>269.97000000000003</v>
      </c>
      <c r="N515" s="4" t="s">
        <v>34</v>
      </c>
      <c r="O515" s="5">
        <v>0</v>
      </c>
      <c r="P515" s="5">
        <v>0</v>
      </c>
      <c r="Q515" s="5">
        <v>16.2</v>
      </c>
      <c r="R515" s="5">
        <v>286.17</v>
      </c>
      <c r="S515" s="4" t="s">
        <v>35</v>
      </c>
      <c r="T515" s="4" t="s">
        <v>173</v>
      </c>
      <c r="U515" s="4" t="s">
        <v>37</v>
      </c>
      <c r="V515" s="4" t="s">
        <v>2965</v>
      </c>
      <c r="W515" s="5">
        <v>286.17</v>
      </c>
    </row>
    <row r="516" spans="1:23" x14ac:dyDescent="0.3">
      <c r="A516" s="2" t="s">
        <v>3295</v>
      </c>
      <c r="B516" s="2" t="s">
        <v>2965</v>
      </c>
      <c r="C516" s="2" t="s">
        <v>3296</v>
      </c>
      <c r="D516" s="2" t="s">
        <v>3297</v>
      </c>
      <c r="E516" s="2" t="s">
        <v>3298</v>
      </c>
      <c r="F516" s="2" t="s">
        <v>3299</v>
      </c>
      <c r="G516" s="2" t="s">
        <v>347</v>
      </c>
      <c r="H516" s="2" t="s">
        <v>60</v>
      </c>
      <c r="I516" s="2" t="s">
        <v>31</v>
      </c>
      <c r="J516" s="2" t="s">
        <v>379</v>
      </c>
      <c r="K516" s="2" t="s">
        <v>209</v>
      </c>
      <c r="L516" s="2">
        <v>1</v>
      </c>
      <c r="M516" s="3">
        <v>89.99</v>
      </c>
      <c r="N516" s="2" t="s">
        <v>34</v>
      </c>
      <c r="O516" s="3">
        <v>0</v>
      </c>
      <c r="P516" s="3">
        <v>0</v>
      </c>
      <c r="Q516" s="3">
        <v>7.65</v>
      </c>
      <c r="R516" s="3">
        <v>97.64</v>
      </c>
      <c r="S516" s="2" t="s">
        <v>437</v>
      </c>
      <c r="T516" s="2" t="s">
        <v>183</v>
      </c>
      <c r="U516" s="2" t="s">
        <v>66</v>
      </c>
      <c r="V516" s="2" t="s">
        <v>521</v>
      </c>
      <c r="W516" s="3">
        <v>0</v>
      </c>
    </row>
    <row r="517" spans="1:23" x14ac:dyDescent="0.3">
      <c r="A517" s="4" t="s">
        <v>3300</v>
      </c>
      <c r="B517" s="4" t="s">
        <v>2584</v>
      </c>
      <c r="C517" s="4" t="s">
        <v>3301</v>
      </c>
      <c r="D517" s="4" t="s">
        <v>637</v>
      </c>
      <c r="E517" s="4" t="s">
        <v>3302</v>
      </c>
      <c r="F517" s="4" t="s">
        <v>3303</v>
      </c>
      <c r="G517" s="4" t="s">
        <v>802</v>
      </c>
      <c r="H517" s="4" t="s">
        <v>88</v>
      </c>
      <c r="I517" s="4" t="s">
        <v>31</v>
      </c>
      <c r="J517" s="4" t="s">
        <v>3304</v>
      </c>
      <c r="K517" s="4" t="s">
        <v>143</v>
      </c>
      <c r="L517" s="4">
        <v>3</v>
      </c>
      <c r="M517" s="5">
        <v>187.97</v>
      </c>
      <c r="N517" s="4" t="s">
        <v>49</v>
      </c>
      <c r="O517" s="5">
        <v>28.2</v>
      </c>
      <c r="P517" s="5">
        <v>0</v>
      </c>
      <c r="Q517" s="5">
        <v>11.18</v>
      </c>
      <c r="R517" s="5">
        <v>170.95</v>
      </c>
      <c r="S517" s="4" t="s">
        <v>35</v>
      </c>
      <c r="T517" s="4" t="s">
        <v>144</v>
      </c>
      <c r="U517" s="4" t="s">
        <v>37</v>
      </c>
      <c r="V517" s="4" t="s">
        <v>439</v>
      </c>
      <c r="W517" s="5">
        <v>170.95</v>
      </c>
    </row>
    <row r="518" spans="1:23" x14ac:dyDescent="0.3">
      <c r="A518" s="2" t="s">
        <v>3305</v>
      </c>
      <c r="B518" s="2" t="s">
        <v>2247</v>
      </c>
      <c r="C518" s="2" t="s">
        <v>3306</v>
      </c>
      <c r="D518" s="2" t="s">
        <v>3307</v>
      </c>
      <c r="E518" s="2" t="s">
        <v>3308</v>
      </c>
      <c r="F518" s="2" t="s">
        <v>3309</v>
      </c>
      <c r="G518" s="2" t="s">
        <v>140</v>
      </c>
      <c r="H518" s="2" t="s">
        <v>141</v>
      </c>
      <c r="I518" s="2" t="s">
        <v>31</v>
      </c>
      <c r="J518" s="2" t="s">
        <v>3310</v>
      </c>
      <c r="K518" s="2" t="s">
        <v>33</v>
      </c>
      <c r="L518" s="2">
        <v>2</v>
      </c>
      <c r="M518" s="3">
        <v>169.98</v>
      </c>
      <c r="N518" s="2" t="s">
        <v>78</v>
      </c>
      <c r="O518" s="3">
        <v>17</v>
      </c>
      <c r="P518" s="3">
        <v>0</v>
      </c>
      <c r="Q518" s="3">
        <v>9.18</v>
      </c>
      <c r="R518" s="3">
        <v>162.16</v>
      </c>
      <c r="S518" s="2" t="s">
        <v>79</v>
      </c>
      <c r="T518" s="2" t="s">
        <v>36</v>
      </c>
      <c r="U518" s="2" t="s">
        <v>51</v>
      </c>
      <c r="V518" s="2" t="s">
        <v>3311</v>
      </c>
      <c r="W518" s="3">
        <v>0</v>
      </c>
    </row>
    <row r="519" spans="1:23" x14ac:dyDescent="0.3">
      <c r="A519" s="4" t="s">
        <v>3312</v>
      </c>
      <c r="B519" s="4" t="s">
        <v>1471</v>
      </c>
      <c r="C519" s="4" t="s">
        <v>3313</v>
      </c>
      <c r="D519" s="4" t="s">
        <v>3314</v>
      </c>
      <c r="E519" s="4" t="s">
        <v>3315</v>
      </c>
      <c r="F519" s="4" t="s">
        <v>3316</v>
      </c>
      <c r="G519" s="4" t="s">
        <v>45</v>
      </c>
      <c r="H519" s="4" t="s">
        <v>46</v>
      </c>
      <c r="I519" s="4" t="s">
        <v>31</v>
      </c>
      <c r="J519" s="4" t="s">
        <v>3317</v>
      </c>
      <c r="K519" s="4" t="s">
        <v>143</v>
      </c>
      <c r="L519" s="4">
        <v>4</v>
      </c>
      <c r="M519" s="5">
        <v>313.92</v>
      </c>
      <c r="N519" s="4" t="s">
        <v>49</v>
      </c>
      <c r="O519" s="5">
        <v>47.09</v>
      </c>
      <c r="P519" s="5">
        <v>0</v>
      </c>
      <c r="Q519" s="5">
        <v>21.35</v>
      </c>
      <c r="R519" s="5">
        <v>288.18</v>
      </c>
      <c r="S519" s="4" t="s">
        <v>111</v>
      </c>
      <c r="T519" s="4" t="s">
        <v>36</v>
      </c>
      <c r="U519" s="4" t="s">
        <v>66</v>
      </c>
      <c r="V519" s="4" t="s">
        <v>2915</v>
      </c>
      <c r="W519" s="5">
        <v>0</v>
      </c>
    </row>
    <row r="520" spans="1:23" x14ac:dyDescent="0.3">
      <c r="A520" s="2" t="s">
        <v>3318</v>
      </c>
      <c r="B520" s="2" t="s">
        <v>534</v>
      </c>
      <c r="C520" s="2" t="s">
        <v>3319</v>
      </c>
      <c r="D520" s="2" t="s">
        <v>3320</v>
      </c>
      <c r="E520" s="2" t="s">
        <v>3321</v>
      </c>
      <c r="F520" s="2" t="s">
        <v>3322</v>
      </c>
      <c r="G520" s="2" t="s">
        <v>428</v>
      </c>
      <c r="H520" s="2" t="s">
        <v>429</v>
      </c>
      <c r="I520" s="2" t="s">
        <v>31</v>
      </c>
      <c r="J520" s="2" t="s">
        <v>3323</v>
      </c>
      <c r="K520" s="2" t="s">
        <v>62</v>
      </c>
      <c r="L520" s="2">
        <v>2</v>
      </c>
      <c r="M520" s="3">
        <v>60.98</v>
      </c>
      <c r="N520" s="2" t="s">
        <v>63</v>
      </c>
      <c r="O520" s="3">
        <v>15.25</v>
      </c>
      <c r="P520" s="3">
        <v>4.99</v>
      </c>
      <c r="Q520" s="3">
        <v>3.89</v>
      </c>
      <c r="R520" s="3">
        <v>54.61</v>
      </c>
      <c r="S520" s="2" t="s">
        <v>35</v>
      </c>
      <c r="T520" s="2" t="s">
        <v>99</v>
      </c>
      <c r="U520" s="2" t="s">
        <v>66</v>
      </c>
      <c r="V520" s="2" t="s">
        <v>256</v>
      </c>
      <c r="W520" s="3">
        <v>0</v>
      </c>
    </row>
    <row r="521" spans="1:23" x14ac:dyDescent="0.3">
      <c r="A521" s="4" t="s">
        <v>3324</v>
      </c>
      <c r="B521" s="4" t="s">
        <v>2435</v>
      </c>
      <c r="C521" s="4" t="s">
        <v>3325</v>
      </c>
      <c r="D521" s="4" t="s">
        <v>3326</v>
      </c>
      <c r="E521" s="4" t="s">
        <v>3327</v>
      </c>
      <c r="F521" s="4" t="s">
        <v>3328</v>
      </c>
      <c r="G521" s="4" t="s">
        <v>282</v>
      </c>
      <c r="H521" s="4" t="s">
        <v>88</v>
      </c>
      <c r="I521" s="4" t="s">
        <v>31</v>
      </c>
      <c r="J521" s="4" t="s">
        <v>3329</v>
      </c>
      <c r="K521" s="4" t="s">
        <v>33</v>
      </c>
      <c r="L521" s="4">
        <v>5</v>
      </c>
      <c r="M521" s="5">
        <v>269.94</v>
      </c>
      <c r="N521" s="4" t="s">
        <v>34</v>
      </c>
      <c r="O521" s="5">
        <v>0</v>
      </c>
      <c r="P521" s="5">
        <v>0</v>
      </c>
      <c r="Q521" s="5">
        <v>22.94</v>
      </c>
      <c r="R521" s="5">
        <v>292.88</v>
      </c>
      <c r="S521" s="4" t="s">
        <v>123</v>
      </c>
      <c r="T521" s="4" t="s">
        <v>99</v>
      </c>
      <c r="U521" s="4" t="s">
        <v>66</v>
      </c>
      <c r="V521" s="4" t="s">
        <v>2839</v>
      </c>
      <c r="W521" s="5">
        <v>0</v>
      </c>
    </row>
    <row r="522" spans="1:23" x14ac:dyDescent="0.3">
      <c r="A522" s="2" t="s">
        <v>3330</v>
      </c>
      <c r="B522" s="2" t="s">
        <v>366</v>
      </c>
      <c r="C522" s="2" t="s">
        <v>3331</v>
      </c>
      <c r="D522" s="2" t="s">
        <v>116</v>
      </c>
      <c r="E522" s="2" t="s">
        <v>3332</v>
      </c>
      <c r="F522" s="2" t="s">
        <v>3333</v>
      </c>
      <c r="G522" s="2" t="s">
        <v>190</v>
      </c>
      <c r="H522" s="2" t="s">
        <v>161</v>
      </c>
      <c r="I522" s="2" t="s">
        <v>31</v>
      </c>
      <c r="J522" s="2" t="s">
        <v>526</v>
      </c>
      <c r="K522" s="2" t="s">
        <v>110</v>
      </c>
      <c r="L522" s="2">
        <v>1</v>
      </c>
      <c r="M522" s="3">
        <v>32.99</v>
      </c>
      <c r="N522" s="2" t="s">
        <v>34</v>
      </c>
      <c r="O522" s="3">
        <v>0</v>
      </c>
      <c r="P522" s="3">
        <v>7.99</v>
      </c>
      <c r="Q522" s="3">
        <v>3.3</v>
      </c>
      <c r="R522" s="3">
        <v>44.28</v>
      </c>
      <c r="S522" s="2" t="s">
        <v>123</v>
      </c>
      <c r="T522" s="2" t="s">
        <v>65</v>
      </c>
      <c r="U522" s="2" t="s">
        <v>100</v>
      </c>
      <c r="V522" s="2"/>
      <c r="W522" s="3">
        <v>0</v>
      </c>
    </row>
    <row r="523" spans="1:23" x14ac:dyDescent="0.3">
      <c r="A523" s="4" t="s">
        <v>3334</v>
      </c>
      <c r="B523" s="4" t="s">
        <v>2698</v>
      </c>
      <c r="C523" s="4" t="s">
        <v>3335</v>
      </c>
      <c r="D523" s="4" t="s">
        <v>337</v>
      </c>
      <c r="E523" s="4" t="s">
        <v>3336</v>
      </c>
      <c r="F523" s="4" t="s">
        <v>3337</v>
      </c>
      <c r="G523" s="4" t="s">
        <v>251</v>
      </c>
      <c r="H523" s="4" t="s">
        <v>252</v>
      </c>
      <c r="I523" s="4" t="s">
        <v>31</v>
      </c>
      <c r="J523" s="4" t="s">
        <v>379</v>
      </c>
      <c r="K523" s="4" t="s">
        <v>209</v>
      </c>
      <c r="L523" s="4">
        <v>1</v>
      </c>
      <c r="M523" s="5">
        <v>89.99</v>
      </c>
      <c r="N523" s="4" t="s">
        <v>34</v>
      </c>
      <c r="O523" s="5">
        <v>0</v>
      </c>
      <c r="P523" s="5">
        <v>0</v>
      </c>
      <c r="Q523" s="5">
        <v>7.65</v>
      </c>
      <c r="R523" s="5">
        <v>97.64</v>
      </c>
      <c r="S523" s="4" t="s">
        <v>123</v>
      </c>
      <c r="T523" s="4" t="s">
        <v>99</v>
      </c>
      <c r="U523" s="4" t="s">
        <v>100</v>
      </c>
      <c r="V523" s="4"/>
      <c r="W523" s="5">
        <v>0</v>
      </c>
    </row>
    <row r="524" spans="1:23" x14ac:dyDescent="0.3">
      <c r="A524" s="2" t="s">
        <v>3338</v>
      </c>
      <c r="B524" s="2" t="s">
        <v>1055</v>
      </c>
      <c r="C524" s="2" t="s">
        <v>3339</v>
      </c>
      <c r="D524" s="2" t="s">
        <v>3340</v>
      </c>
      <c r="E524" s="2" t="s">
        <v>3341</v>
      </c>
      <c r="F524" s="2" t="s">
        <v>3342</v>
      </c>
      <c r="G524" s="2" t="s">
        <v>119</v>
      </c>
      <c r="H524" s="2" t="s">
        <v>120</v>
      </c>
      <c r="I524" s="2" t="s">
        <v>31</v>
      </c>
      <c r="J524" s="2" t="s">
        <v>3343</v>
      </c>
      <c r="K524" s="2" t="s">
        <v>122</v>
      </c>
      <c r="L524" s="2">
        <v>2</v>
      </c>
      <c r="M524" s="3">
        <v>189.98</v>
      </c>
      <c r="N524" s="2" t="s">
        <v>49</v>
      </c>
      <c r="O524" s="3">
        <v>28.5</v>
      </c>
      <c r="P524" s="3">
        <v>0</v>
      </c>
      <c r="Q524" s="3">
        <v>11.3</v>
      </c>
      <c r="R524" s="3">
        <v>172.78</v>
      </c>
      <c r="S524" s="2" t="s">
        <v>123</v>
      </c>
      <c r="T524" s="2" t="s">
        <v>99</v>
      </c>
      <c r="U524" s="2" t="s">
        <v>100</v>
      </c>
      <c r="V524" s="2"/>
      <c r="W524" s="3">
        <v>0</v>
      </c>
    </row>
    <row r="525" spans="1:23" x14ac:dyDescent="0.3">
      <c r="A525" s="4" t="s">
        <v>3344</v>
      </c>
      <c r="B525" s="4" t="s">
        <v>1658</v>
      </c>
      <c r="C525" s="4" t="s">
        <v>3345</v>
      </c>
      <c r="D525" s="4" t="s">
        <v>3346</v>
      </c>
      <c r="E525" s="4" t="s">
        <v>3347</v>
      </c>
      <c r="F525" s="4" t="s">
        <v>3348</v>
      </c>
      <c r="G525" s="4" t="s">
        <v>394</v>
      </c>
      <c r="H525" s="4" t="s">
        <v>395</v>
      </c>
      <c r="I525" s="4" t="s">
        <v>31</v>
      </c>
      <c r="J525" s="4" t="s">
        <v>3349</v>
      </c>
      <c r="K525" s="4" t="s">
        <v>33</v>
      </c>
      <c r="L525" s="4">
        <v>4</v>
      </c>
      <c r="M525" s="5">
        <v>238.94</v>
      </c>
      <c r="N525" s="4" t="s">
        <v>34</v>
      </c>
      <c r="O525" s="5">
        <v>0</v>
      </c>
      <c r="P525" s="5">
        <v>0</v>
      </c>
      <c r="Q525" s="5">
        <v>23.89</v>
      </c>
      <c r="R525" s="5">
        <v>262.83</v>
      </c>
      <c r="S525" s="4" t="s">
        <v>35</v>
      </c>
      <c r="T525" s="4" t="s">
        <v>173</v>
      </c>
      <c r="U525" s="4" t="s">
        <v>66</v>
      </c>
      <c r="V525" s="4" t="s">
        <v>952</v>
      </c>
      <c r="W525" s="5">
        <v>0</v>
      </c>
    </row>
    <row r="526" spans="1:23" x14ac:dyDescent="0.3">
      <c r="A526" s="2" t="s">
        <v>3350</v>
      </c>
      <c r="B526" s="2" t="s">
        <v>1640</v>
      </c>
      <c r="C526" s="2" t="s">
        <v>3351</v>
      </c>
      <c r="D526" s="2" t="s">
        <v>2673</v>
      </c>
      <c r="E526" s="2" t="s">
        <v>3352</v>
      </c>
      <c r="F526" s="2" t="s">
        <v>3353</v>
      </c>
      <c r="G526" s="2" t="s">
        <v>347</v>
      </c>
      <c r="H526" s="2" t="s">
        <v>60</v>
      </c>
      <c r="I526" s="2" t="s">
        <v>31</v>
      </c>
      <c r="J526" s="2" t="s">
        <v>3354</v>
      </c>
      <c r="K526" s="2" t="s">
        <v>48</v>
      </c>
      <c r="L526" s="2">
        <v>4</v>
      </c>
      <c r="M526" s="3">
        <v>444.93</v>
      </c>
      <c r="N526" s="2" t="s">
        <v>34</v>
      </c>
      <c r="O526" s="3">
        <v>0</v>
      </c>
      <c r="P526" s="3">
        <v>0</v>
      </c>
      <c r="Q526" s="3">
        <v>44.49</v>
      </c>
      <c r="R526" s="3">
        <v>489.42</v>
      </c>
      <c r="S526" s="2" t="s">
        <v>35</v>
      </c>
      <c r="T526" s="2" t="s">
        <v>144</v>
      </c>
      <c r="U526" s="2" t="s">
        <v>51</v>
      </c>
      <c r="V526" s="2" t="s">
        <v>2278</v>
      </c>
      <c r="W526" s="3">
        <v>0</v>
      </c>
    </row>
    <row r="527" spans="1:23" x14ac:dyDescent="0.3">
      <c r="A527" s="4" t="s">
        <v>3355</v>
      </c>
      <c r="B527" s="4" t="s">
        <v>3356</v>
      </c>
      <c r="C527" s="4" t="s">
        <v>3357</v>
      </c>
      <c r="D527" s="4" t="s">
        <v>3358</v>
      </c>
      <c r="E527" s="4" t="s">
        <v>3359</v>
      </c>
      <c r="F527" s="4" t="s">
        <v>3360</v>
      </c>
      <c r="G527" s="4" t="s">
        <v>190</v>
      </c>
      <c r="H527" s="4" t="s">
        <v>161</v>
      </c>
      <c r="I527" s="4" t="s">
        <v>31</v>
      </c>
      <c r="J527" s="4" t="s">
        <v>217</v>
      </c>
      <c r="K527" s="4" t="s">
        <v>110</v>
      </c>
      <c r="L527" s="4">
        <v>1</v>
      </c>
      <c r="M527" s="5">
        <v>22.99</v>
      </c>
      <c r="N527" s="4" t="s">
        <v>63</v>
      </c>
      <c r="O527" s="5">
        <v>5.75</v>
      </c>
      <c r="P527" s="5">
        <v>5.99</v>
      </c>
      <c r="Q527" s="5">
        <v>1.21</v>
      </c>
      <c r="R527" s="5">
        <v>24.44</v>
      </c>
      <c r="S527" s="4" t="s">
        <v>35</v>
      </c>
      <c r="T527" s="4" t="s">
        <v>99</v>
      </c>
      <c r="U527" s="4" t="s">
        <v>66</v>
      </c>
      <c r="V527" s="4" t="s">
        <v>1417</v>
      </c>
      <c r="W527" s="5">
        <v>0</v>
      </c>
    </row>
    <row r="528" spans="1:23" x14ac:dyDescent="0.3">
      <c r="A528" s="2" t="s">
        <v>3361</v>
      </c>
      <c r="B528" s="2" t="s">
        <v>2096</v>
      </c>
      <c r="C528" s="2" t="s">
        <v>3362</v>
      </c>
      <c r="D528" s="2" t="s">
        <v>3363</v>
      </c>
      <c r="E528" s="2" t="s">
        <v>3364</v>
      </c>
      <c r="F528" s="2" t="s">
        <v>3365</v>
      </c>
      <c r="G528" s="2" t="s">
        <v>692</v>
      </c>
      <c r="H528" s="2" t="s">
        <v>693</v>
      </c>
      <c r="I528" s="2" t="s">
        <v>31</v>
      </c>
      <c r="J528" s="2" t="s">
        <v>267</v>
      </c>
      <c r="K528" s="2" t="s">
        <v>62</v>
      </c>
      <c r="L528" s="2">
        <v>1</v>
      </c>
      <c r="M528" s="3">
        <v>54.99</v>
      </c>
      <c r="N528" s="2" t="s">
        <v>34</v>
      </c>
      <c r="O528" s="3">
        <v>0</v>
      </c>
      <c r="P528" s="3">
        <v>5.99</v>
      </c>
      <c r="Q528" s="3">
        <v>3.3</v>
      </c>
      <c r="R528" s="3">
        <v>64.28</v>
      </c>
      <c r="S528" s="2" t="s">
        <v>35</v>
      </c>
      <c r="T528" s="2" t="s">
        <v>99</v>
      </c>
      <c r="U528" s="2" t="s">
        <v>66</v>
      </c>
      <c r="V528" s="2" t="s">
        <v>669</v>
      </c>
      <c r="W528" s="3">
        <v>0</v>
      </c>
    </row>
    <row r="529" spans="1:23" x14ac:dyDescent="0.3">
      <c r="A529" s="4" t="s">
        <v>3366</v>
      </c>
      <c r="B529" s="4" t="s">
        <v>1469</v>
      </c>
      <c r="C529" s="4" t="s">
        <v>3367</v>
      </c>
      <c r="D529" s="4" t="s">
        <v>3368</v>
      </c>
      <c r="E529" s="4" t="s">
        <v>3369</v>
      </c>
      <c r="F529" s="4" t="s">
        <v>3370</v>
      </c>
      <c r="G529" s="4" t="s">
        <v>171</v>
      </c>
      <c r="H529" s="4" t="s">
        <v>88</v>
      </c>
      <c r="I529" s="4" t="s">
        <v>31</v>
      </c>
      <c r="J529" s="4" t="s">
        <v>577</v>
      </c>
      <c r="K529" s="4" t="s">
        <v>364</v>
      </c>
      <c r="L529" s="4">
        <v>1</v>
      </c>
      <c r="M529" s="5">
        <v>19.989999999999998</v>
      </c>
      <c r="N529" s="4" t="s">
        <v>63</v>
      </c>
      <c r="O529" s="5">
        <v>5</v>
      </c>
      <c r="P529" s="5">
        <v>9.99</v>
      </c>
      <c r="Q529" s="5">
        <v>1.5</v>
      </c>
      <c r="R529" s="5">
        <v>26.48</v>
      </c>
      <c r="S529" s="4" t="s">
        <v>35</v>
      </c>
      <c r="T529" s="4" t="s">
        <v>99</v>
      </c>
      <c r="U529" s="4" t="s">
        <v>51</v>
      </c>
      <c r="V529" s="4" t="s">
        <v>915</v>
      </c>
      <c r="W529" s="5">
        <v>0</v>
      </c>
    </row>
    <row r="530" spans="1:23" x14ac:dyDescent="0.3">
      <c r="A530" s="2" t="s">
        <v>3371</v>
      </c>
      <c r="B530" s="2" t="s">
        <v>3372</v>
      </c>
      <c r="C530" s="2" t="s">
        <v>3373</v>
      </c>
      <c r="D530" s="2" t="s">
        <v>3374</v>
      </c>
      <c r="E530" s="2" t="s">
        <v>3375</v>
      </c>
      <c r="F530" s="2" t="s">
        <v>3376</v>
      </c>
      <c r="G530" s="2" t="s">
        <v>291</v>
      </c>
      <c r="H530" s="2" t="s">
        <v>292</v>
      </c>
      <c r="I530" s="2" t="s">
        <v>31</v>
      </c>
      <c r="J530" s="2" t="s">
        <v>387</v>
      </c>
      <c r="K530" s="2" t="s">
        <v>33</v>
      </c>
      <c r="L530" s="2">
        <v>1</v>
      </c>
      <c r="M530" s="3">
        <v>35.99</v>
      </c>
      <c r="N530" s="2" t="s">
        <v>78</v>
      </c>
      <c r="O530" s="3">
        <v>3.6</v>
      </c>
      <c r="P530" s="3">
        <v>9.99</v>
      </c>
      <c r="Q530" s="3">
        <v>2.59</v>
      </c>
      <c r="R530" s="3">
        <v>44.97</v>
      </c>
      <c r="S530" s="2" t="s">
        <v>79</v>
      </c>
      <c r="T530" s="2" t="s">
        <v>99</v>
      </c>
      <c r="U530" s="2" t="s">
        <v>66</v>
      </c>
      <c r="V530" s="2" t="s">
        <v>1163</v>
      </c>
      <c r="W530" s="3">
        <v>0</v>
      </c>
    </row>
    <row r="531" spans="1:23" x14ac:dyDescent="0.3">
      <c r="A531" s="4" t="s">
        <v>3377</v>
      </c>
      <c r="B531" s="4" t="s">
        <v>496</v>
      </c>
      <c r="C531" s="4" t="s">
        <v>3378</v>
      </c>
      <c r="D531" s="4" t="s">
        <v>2573</v>
      </c>
      <c r="E531" s="4" t="s">
        <v>3379</v>
      </c>
      <c r="F531" s="4" t="s">
        <v>3380</v>
      </c>
      <c r="G531" s="4" t="s">
        <v>802</v>
      </c>
      <c r="H531" s="4" t="s">
        <v>88</v>
      </c>
      <c r="I531" s="4" t="s">
        <v>31</v>
      </c>
      <c r="J531" s="4" t="s">
        <v>3381</v>
      </c>
      <c r="K531" s="4" t="s">
        <v>209</v>
      </c>
      <c r="L531" s="4">
        <v>3</v>
      </c>
      <c r="M531" s="5">
        <v>320.95</v>
      </c>
      <c r="N531" s="4" t="s">
        <v>63</v>
      </c>
      <c r="O531" s="5">
        <v>80.239999999999995</v>
      </c>
      <c r="P531" s="5">
        <v>0</v>
      </c>
      <c r="Q531" s="5">
        <v>21.66</v>
      </c>
      <c r="R531" s="5">
        <v>262.37</v>
      </c>
      <c r="S531" s="4" t="s">
        <v>123</v>
      </c>
      <c r="T531" s="4" t="s">
        <v>36</v>
      </c>
      <c r="U531" s="4" t="s">
        <v>66</v>
      </c>
      <c r="V531" s="4" t="s">
        <v>2865</v>
      </c>
      <c r="W531" s="5">
        <v>0</v>
      </c>
    </row>
    <row r="532" spans="1:23" x14ac:dyDescent="0.3">
      <c r="A532" s="2" t="s">
        <v>3382</v>
      </c>
      <c r="B532" s="2" t="s">
        <v>1683</v>
      </c>
      <c r="C532" s="2" t="s">
        <v>3383</v>
      </c>
      <c r="D532" s="2" t="s">
        <v>3384</v>
      </c>
      <c r="E532" s="2" t="s">
        <v>3385</v>
      </c>
      <c r="F532" s="2" t="s">
        <v>3386</v>
      </c>
      <c r="G532" s="2" t="s">
        <v>802</v>
      </c>
      <c r="H532" s="2" t="s">
        <v>88</v>
      </c>
      <c r="I532" s="2" t="s">
        <v>31</v>
      </c>
      <c r="J532" s="2" t="s">
        <v>3387</v>
      </c>
      <c r="K532" s="2" t="s">
        <v>122</v>
      </c>
      <c r="L532" s="2">
        <v>3</v>
      </c>
      <c r="M532" s="3">
        <v>243.95</v>
      </c>
      <c r="N532" s="2" t="s">
        <v>78</v>
      </c>
      <c r="O532" s="3">
        <v>24.39</v>
      </c>
      <c r="P532" s="3">
        <v>0</v>
      </c>
      <c r="Q532" s="3">
        <v>17.559999999999999</v>
      </c>
      <c r="R532" s="3">
        <v>237.12</v>
      </c>
      <c r="S532" s="2" t="s">
        <v>64</v>
      </c>
      <c r="T532" s="2" t="s">
        <v>325</v>
      </c>
      <c r="U532" s="2" t="s">
        <v>66</v>
      </c>
      <c r="V532" s="2" t="s">
        <v>1805</v>
      </c>
      <c r="W532" s="3">
        <v>0</v>
      </c>
    </row>
    <row r="533" spans="1:23" x14ac:dyDescent="0.3">
      <c r="A533" s="4" t="s">
        <v>3388</v>
      </c>
      <c r="B533" s="4" t="s">
        <v>930</v>
      </c>
      <c r="C533" s="4" t="s">
        <v>3389</v>
      </c>
      <c r="D533" s="4" t="s">
        <v>3390</v>
      </c>
      <c r="E533" s="4" t="s">
        <v>3391</v>
      </c>
      <c r="F533" s="4" t="s">
        <v>3392</v>
      </c>
      <c r="G533" s="4" t="s">
        <v>119</v>
      </c>
      <c r="H533" s="4" t="s">
        <v>120</v>
      </c>
      <c r="I533" s="4" t="s">
        <v>31</v>
      </c>
      <c r="J533" s="4" t="s">
        <v>3393</v>
      </c>
      <c r="K533" s="4" t="s">
        <v>62</v>
      </c>
      <c r="L533" s="4">
        <v>3</v>
      </c>
      <c r="M533" s="5">
        <v>160.94999999999999</v>
      </c>
      <c r="N533" s="4" t="s">
        <v>49</v>
      </c>
      <c r="O533" s="5">
        <v>24.14</v>
      </c>
      <c r="P533" s="5">
        <v>0</v>
      </c>
      <c r="Q533" s="5">
        <v>8.2100000000000009</v>
      </c>
      <c r="R533" s="5">
        <v>145.02000000000001</v>
      </c>
      <c r="S533" s="4" t="s">
        <v>123</v>
      </c>
      <c r="T533" s="4" t="s">
        <v>173</v>
      </c>
      <c r="U533" s="4" t="s">
        <v>37</v>
      </c>
      <c r="V533" s="4" t="s">
        <v>3356</v>
      </c>
      <c r="W533" s="5">
        <v>145.02000000000001</v>
      </c>
    </row>
    <row r="534" spans="1:23" x14ac:dyDescent="0.3">
      <c r="A534" s="2" t="s">
        <v>3394</v>
      </c>
      <c r="B534" s="2" t="s">
        <v>1102</v>
      </c>
      <c r="C534" s="2" t="s">
        <v>3395</v>
      </c>
      <c r="D534" s="2" t="s">
        <v>3396</v>
      </c>
      <c r="E534" s="2" t="s">
        <v>3397</v>
      </c>
      <c r="F534" s="2" t="s">
        <v>3398</v>
      </c>
      <c r="G534" s="2" t="s">
        <v>1730</v>
      </c>
      <c r="H534" s="2" t="s">
        <v>161</v>
      </c>
      <c r="I534" s="2" t="s">
        <v>31</v>
      </c>
      <c r="J534" s="2" t="s">
        <v>444</v>
      </c>
      <c r="K534" s="2" t="s">
        <v>48</v>
      </c>
      <c r="L534" s="2">
        <v>1</v>
      </c>
      <c r="M534" s="3">
        <v>64.989999999999995</v>
      </c>
      <c r="N534" s="2" t="s">
        <v>63</v>
      </c>
      <c r="O534" s="3">
        <v>16.25</v>
      </c>
      <c r="P534" s="3">
        <v>4.99</v>
      </c>
      <c r="Q534" s="3">
        <v>3.41</v>
      </c>
      <c r="R534" s="3">
        <v>57.14</v>
      </c>
      <c r="S534" s="2" t="s">
        <v>123</v>
      </c>
      <c r="T534" s="2" t="s">
        <v>173</v>
      </c>
      <c r="U534" s="2" t="s">
        <v>37</v>
      </c>
      <c r="V534" s="2" t="s">
        <v>3228</v>
      </c>
      <c r="W534" s="3">
        <v>57.14</v>
      </c>
    </row>
    <row r="535" spans="1:23" x14ac:dyDescent="0.3">
      <c r="A535" s="4" t="s">
        <v>3399</v>
      </c>
      <c r="B535" s="4" t="s">
        <v>1163</v>
      </c>
      <c r="C535" s="4" t="s">
        <v>3400</v>
      </c>
      <c r="D535" s="4" t="s">
        <v>3401</v>
      </c>
      <c r="E535" s="4" t="s">
        <v>3402</v>
      </c>
      <c r="F535" s="4" t="s">
        <v>3403</v>
      </c>
      <c r="G535" s="4" t="s">
        <v>251</v>
      </c>
      <c r="H535" s="4" t="s">
        <v>252</v>
      </c>
      <c r="I535" s="4" t="s">
        <v>31</v>
      </c>
      <c r="J535" s="4" t="s">
        <v>3404</v>
      </c>
      <c r="K535" s="4" t="s">
        <v>48</v>
      </c>
      <c r="L535" s="4">
        <v>3</v>
      </c>
      <c r="M535" s="5">
        <v>217.96</v>
      </c>
      <c r="N535" s="4" t="s">
        <v>34</v>
      </c>
      <c r="O535" s="5">
        <v>0</v>
      </c>
      <c r="P535" s="5">
        <v>0</v>
      </c>
      <c r="Q535" s="5">
        <v>17.440000000000001</v>
      </c>
      <c r="R535" s="5">
        <v>235.4</v>
      </c>
      <c r="S535" s="4" t="s">
        <v>64</v>
      </c>
      <c r="T535" s="4" t="s">
        <v>36</v>
      </c>
      <c r="U535" s="4" t="s">
        <v>66</v>
      </c>
      <c r="V535" s="4" t="s">
        <v>932</v>
      </c>
      <c r="W535" s="5">
        <v>0</v>
      </c>
    </row>
    <row r="536" spans="1:23" x14ac:dyDescent="0.3">
      <c r="A536" s="2" t="s">
        <v>3405</v>
      </c>
      <c r="B536" s="2" t="s">
        <v>155</v>
      </c>
      <c r="C536" s="2" t="s">
        <v>3406</v>
      </c>
      <c r="D536" s="2" t="s">
        <v>906</v>
      </c>
      <c r="E536" s="2" t="s">
        <v>3407</v>
      </c>
      <c r="F536" s="2" t="s">
        <v>3408</v>
      </c>
      <c r="G536" s="2" t="s">
        <v>107</v>
      </c>
      <c r="H536" s="2" t="s">
        <v>108</v>
      </c>
      <c r="I536" s="2" t="s">
        <v>31</v>
      </c>
      <c r="J536" s="2" t="s">
        <v>47</v>
      </c>
      <c r="K536" s="2" t="s">
        <v>48</v>
      </c>
      <c r="L536" s="2">
        <v>1</v>
      </c>
      <c r="M536" s="3">
        <v>42.99</v>
      </c>
      <c r="N536" s="2" t="s">
        <v>34</v>
      </c>
      <c r="O536" s="3">
        <v>0</v>
      </c>
      <c r="P536" s="3">
        <v>5.99</v>
      </c>
      <c r="Q536" s="3">
        <v>3.87</v>
      </c>
      <c r="R536" s="3">
        <v>52.85</v>
      </c>
      <c r="S536" s="2" t="s">
        <v>35</v>
      </c>
      <c r="T536" s="2" t="s">
        <v>36</v>
      </c>
      <c r="U536" s="2" t="s">
        <v>51</v>
      </c>
      <c r="V536" s="2" t="s">
        <v>24</v>
      </c>
      <c r="W536" s="3">
        <v>0</v>
      </c>
    </row>
    <row r="537" spans="1:23" x14ac:dyDescent="0.3">
      <c r="A537" s="4" t="s">
        <v>3409</v>
      </c>
      <c r="B537" s="4" t="s">
        <v>1446</v>
      </c>
      <c r="C537" s="4" t="s">
        <v>3410</v>
      </c>
      <c r="D537" s="4" t="s">
        <v>3411</v>
      </c>
      <c r="E537" s="4" t="s">
        <v>3412</v>
      </c>
      <c r="F537" s="4" t="s">
        <v>3413</v>
      </c>
      <c r="G537" s="4" t="s">
        <v>119</v>
      </c>
      <c r="H537" s="4" t="s">
        <v>120</v>
      </c>
      <c r="I537" s="4" t="s">
        <v>31</v>
      </c>
      <c r="J537" s="4" t="s">
        <v>3414</v>
      </c>
      <c r="K537" s="4" t="s">
        <v>209</v>
      </c>
      <c r="L537" s="4">
        <v>2</v>
      </c>
      <c r="M537" s="5">
        <v>219.97</v>
      </c>
      <c r="N537" s="4" t="s">
        <v>78</v>
      </c>
      <c r="O537" s="5">
        <v>22</v>
      </c>
      <c r="P537" s="5">
        <v>0</v>
      </c>
      <c r="Q537" s="5">
        <v>13.86</v>
      </c>
      <c r="R537" s="5">
        <v>211.83</v>
      </c>
      <c r="S537" s="4" t="s">
        <v>35</v>
      </c>
      <c r="T537" s="4" t="s">
        <v>99</v>
      </c>
      <c r="U537" s="4" t="s">
        <v>66</v>
      </c>
      <c r="V537" s="4" t="s">
        <v>3415</v>
      </c>
      <c r="W537" s="5">
        <v>0</v>
      </c>
    </row>
    <row r="538" spans="1:23" x14ac:dyDescent="0.3">
      <c r="A538" s="2" t="s">
        <v>3416</v>
      </c>
      <c r="B538" s="2" t="s">
        <v>1323</v>
      </c>
      <c r="C538" s="2" t="s">
        <v>3417</v>
      </c>
      <c r="D538" s="2" t="s">
        <v>719</v>
      </c>
      <c r="E538" s="2" t="s">
        <v>3418</v>
      </c>
      <c r="F538" s="2" t="s">
        <v>3419</v>
      </c>
      <c r="G538" s="2" t="s">
        <v>131</v>
      </c>
      <c r="H538" s="2" t="s">
        <v>88</v>
      </c>
      <c r="I538" s="2" t="s">
        <v>31</v>
      </c>
      <c r="J538" s="2" t="s">
        <v>3420</v>
      </c>
      <c r="K538" s="2" t="s">
        <v>48</v>
      </c>
      <c r="L538" s="2">
        <v>3</v>
      </c>
      <c r="M538" s="3">
        <v>244.96</v>
      </c>
      <c r="N538" s="2" t="s">
        <v>34</v>
      </c>
      <c r="O538" s="3">
        <v>0</v>
      </c>
      <c r="P538" s="3">
        <v>0</v>
      </c>
      <c r="Q538" s="3">
        <v>20.82</v>
      </c>
      <c r="R538" s="3">
        <v>265.77999999999997</v>
      </c>
      <c r="S538" s="2" t="s">
        <v>35</v>
      </c>
      <c r="T538" s="2" t="s">
        <v>99</v>
      </c>
      <c r="U538" s="2" t="s">
        <v>66</v>
      </c>
      <c r="V538" s="2" t="s">
        <v>3421</v>
      </c>
      <c r="W538" s="3">
        <v>0</v>
      </c>
    </row>
    <row r="539" spans="1:23" x14ac:dyDescent="0.3">
      <c r="A539" s="4" t="s">
        <v>3422</v>
      </c>
      <c r="B539" s="4" t="s">
        <v>1321</v>
      </c>
      <c r="C539" s="4" t="s">
        <v>3423</v>
      </c>
      <c r="D539" s="4" t="s">
        <v>3424</v>
      </c>
      <c r="E539" s="4" t="s">
        <v>3425</v>
      </c>
      <c r="F539" s="4" t="s">
        <v>3426</v>
      </c>
      <c r="G539" s="4" t="s">
        <v>251</v>
      </c>
      <c r="H539" s="4" t="s">
        <v>252</v>
      </c>
      <c r="I539" s="4" t="s">
        <v>31</v>
      </c>
      <c r="J539" s="4" t="s">
        <v>3427</v>
      </c>
      <c r="K539" s="4" t="s">
        <v>33</v>
      </c>
      <c r="L539" s="4">
        <v>3</v>
      </c>
      <c r="M539" s="5">
        <v>142.97</v>
      </c>
      <c r="N539" s="4" t="s">
        <v>49</v>
      </c>
      <c r="O539" s="5">
        <v>21.45</v>
      </c>
      <c r="P539" s="5">
        <v>0</v>
      </c>
      <c r="Q539" s="5">
        <v>7.29</v>
      </c>
      <c r="R539" s="5">
        <v>128.81</v>
      </c>
      <c r="S539" s="4" t="s">
        <v>64</v>
      </c>
      <c r="T539" s="4" t="s">
        <v>99</v>
      </c>
      <c r="U539" s="4" t="s">
        <v>66</v>
      </c>
      <c r="V539" s="4" t="s">
        <v>1521</v>
      </c>
      <c r="W539" s="5">
        <v>0</v>
      </c>
    </row>
    <row r="540" spans="1:23" x14ac:dyDescent="0.3">
      <c r="A540" s="2" t="s">
        <v>3428</v>
      </c>
      <c r="B540" s="2" t="s">
        <v>1334</v>
      </c>
      <c r="C540" s="2" t="s">
        <v>3429</v>
      </c>
      <c r="D540" s="2" t="s">
        <v>2868</v>
      </c>
      <c r="E540" s="2" t="s">
        <v>3430</v>
      </c>
      <c r="F540" s="2" t="s">
        <v>3431</v>
      </c>
      <c r="G540" s="2" t="s">
        <v>224</v>
      </c>
      <c r="H540" s="2" t="s">
        <v>225</v>
      </c>
      <c r="I540" s="2" t="s">
        <v>31</v>
      </c>
      <c r="J540" s="2" t="s">
        <v>316</v>
      </c>
      <c r="K540" s="2" t="s">
        <v>48</v>
      </c>
      <c r="L540" s="2">
        <v>1</v>
      </c>
      <c r="M540" s="3">
        <v>34.99</v>
      </c>
      <c r="N540" s="2" t="s">
        <v>34</v>
      </c>
      <c r="O540" s="3">
        <v>0</v>
      </c>
      <c r="P540" s="3">
        <v>4.99</v>
      </c>
      <c r="Q540" s="3">
        <v>2.1</v>
      </c>
      <c r="R540" s="3">
        <v>42.08</v>
      </c>
      <c r="S540" s="2" t="s">
        <v>437</v>
      </c>
      <c r="T540" s="2" t="s">
        <v>99</v>
      </c>
      <c r="U540" s="2" t="s">
        <v>51</v>
      </c>
      <c r="V540" s="2" t="s">
        <v>1176</v>
      </c>
      <c r="W540" s="3">
        <v>0</v>
      </c>
    </row>
    <row r="541" spans="1:23" x14ac:dyDescent="0.3">
      <c r="A541" s="4" t="s">
        <v>3432</v>
      </c>
      <c r="B541" s="4" t="s">
        <v>1222</v>
      </c>
      <c r="C541" s="4" t="s">
        <v>3433</v>
      </c>
      <c r="D541" s="4" t="s">
        <v>3434</v>
      </c>
      <c r="E541" s="4" t="s">
        <v>3435</v>
      </c>
      <c r="F541" s="4" t="s">
        <v>3436</v>
      </c>
      <c r="G541" s="4" t="s">
        <v>224</v>
      </c>
      <c r="H541" s="4" t="s">
        <v>225</v>
      </c>
      <c r="I541" s="4" t="s">
        <v>31</v>
      </c>
      <c r="J541" s="4" t="s">
        <v>283</v>
      </c>
      <c r="K541" s="4" t="s">
        <v>209</v>
      </c>
      <c r="L541" s="4">
        <v>1</v>
      </c>
      <c r="M541" s="5">
        <v>49.99</v>
      </c>
      <c r="N541" s="4" t="s">
        <v>78</v>
      </c>
      <c r="O541" s="5">
        <v>5</v>
      </c>
      <c r="P541" s="5">
        <v>4.99</v>
      </c>
      <c r="Q541" s="5">
        <v>2.7</v>
      </c>
      <c r="R541" s="5">
        <v>52.68</v>
      </c>
      <c r="S541" s="4" t="s">
        <v>332</v>
      </c>
      <c r="T541" s="4" t="s">
        <v>99</v>
      </c>
      <c r="U541" s="4" t="s">
        <v>66</v>
      </c>
      <c r="V541" s="4" t="s">
        <v>579</v>
      </c>
      <c r="W541" s="5">
        <v>0</v>
      </c>
    </row>
    <row r="542" spans="1:23" x14ac:dyDescent="0.3">
      <c r="A542" s="2" t="s">
        <v>3437</v>
      </c>
      <c r="B542" s="2" t="s">
        <v>3438</v>
      </c>
      <c r="C542" s="2" t="s">
        <v>3439</v>
      </c>
      <c r="D542" s="2" t="s">
        <v>288</v>
      </c>
      <c r="E542" s="2" t="s">
        <v>3440</v>
      </c>
      <c r="F542" s="2" t="s">
        <v>3441</v>
      </c>
      <c r="G542" s="2" t="s">
        <v>207</v>
      </c>
      <c r="H542" s="2" t="s">
        <v>141</v>
      </c>
      <c r="I542" s="2" t="s">
        <v>31</v>
      </c>
      <c r="J542" s="2" t="s">
        <v>1269</v>
      </c>
      <c r="K542" s="2" t="s">
        <v>77</v>
      </c>
      <c r="L542" s="2">
        <v>1</v>
      </c>
      <c r="M542" s="3">
        <v>27.99</v>
      </c>
      <c r="N542" s="2" t="s">
        <v>34</v>
      </c>
      <c r="O542" s="3">
        <v>0</v>
      </c>
      <c r="P542" s="3">
        <v>9.99</v>
      </c>
      <c r="Q542" s="3">
        <v>2.8</v>
      </c>
      <c r="R542" s="3">
        <v>40.78</v>
      </c>
      <c r="S542" s="2" t="s">
        <v>111</v>
      </c>
      <c r="T542" s="2" t="s">
        <v>183</v>
      </c>
      <c r="U542" s="2" t="s">
        <v>66</v>
      </c>
      <c r="V542" s="2" t="s">
        <v>1149</v>
      </c>
      <c r="W542" s="3">
        <v>0</v>
      </c>
    </row>
    <row r="543" spans="1:23" x14ac:dyDescent="0.3">
      <c r="A543" s="4" t="s">
        <v>3442</v>
      </c>
      <c r="B543" s="4" t="s">
        <v>609</v>
      </c>
      <c r="C543" s="4" t="s">
        <v>3443</v>
      </c>
      <c r="D543" s="4" t="s">
        <v>1132</v>
      </c>
      <c r="E543" s="4" t="s">
        <v>3444</v>
      </c>
      <c r="F543" s="4" t="s">
        <v>3445</v>
      </c>
      <c r="G543" s="4" t="s">
        <v>394</v>
      </c>
      <c r="H543" s="4" t="s">
        <v>395</v>
      </c>
      <c r="I543" s="4" t="s">
        <v>31</v>
      </c>
      <c r="J543" s="4" t="s">
        <v>3446</v>
      </c>
      <c r="K543" s="4" t="s">
        <v>209</v>
      </c>
      <c r="L543" s="4">
        <v>4</v>
      </c>
      <c r="M543" s="5">
        <v>132.96</v>
      </c>
      <c r="N543" s="4" t="s">
        <v>49</v>
      </c>
      <c r="O543" s="5">
        <v>19.940000000000001</v>
      </c>
      <c r="P543" s="5">
        <v>0</v>
      </c>
      <c r="Q543" s="5">
        <v>7.91</v>
      </c>
      <c r="R543" s="5">
        <v>120.93</v>
      </c>
      <c r="S543" s="4" t="s">
        <v>111</v>
      </c>
      <c r="T543" s="4" t="s">
        <v>144</v>
      </c>
      <c r="U543" s="4" t="s">
        <v>66</v>
      </c>
      <c r="V543" s="4" t="s">
        <v>133</v>
      </c>
      <c r="W543" s="5">
        <v>0</v>
      </c>
    </row>
    <row r="544" spans="1:23" x14ac:dyDescent="0.3">
      <c r="A544" s="2" t="s">
        <v>3447</v>
      </c>
      <c r="B544" s="2" t="s">
        <v>166</v>
      </c>
      <c r="C544" s="2" t="s">
        <v>3448</v>
      </c>
      <c r="D544" s="2" t="s">
        <v>3449</v>
      </c>
      <c r="E544" s="2" t="s">
        <v>3450</v>
      </c>
      <c r="F544" s="2" t="s">
        <v>3451</v>
      </c>
      <c r="G544" s="2" t="s">
        <v>242</v>
      </c>
      <c r="H544" s="2" t="s">
        <v>243</v>
      </c>
      <c r="I544" s="2" t="s">
        <v>31</v>
      </c>
      <c r="J544" s="2" t="s">
        <v>3452</v>
      </c>
      <c r="K544" s="2" t="s">
        <v>209</v>
      </c>
      <c r="L544" s="2">
        <v>4</v>
      </c>
      <c r="M544" s="3">
        <v>295.93</v>
      </c>
      <c r="N544" s="2" t="s">
        <v>34</v>
      </c>
      <c r="O544" s="3">
        <v>0</v>
      </c>
      <c r="P544" s="3">
        <v>0</v>
      </c>
      <c r="Q544" s="3">
        <v>17.760000000000002</v>
      </c>
      <c r="R544" s="3">
        <v>313.69</v>
      </c>
      <c r="S544" s="2" t="s">
        <v>64</v>
      </c>
      <c r="T544" s="2" t="s">
        <v>50</v>
      </c>
      <c r="U544" s="2" t="s">
        <v>66</v>
      </c>
      <c r="V544" s="2" t="s">
        <v>1194</v>
      </c>
      <c r="W544" s="3">
        <v>0</v>
      </c>
    </row>
    <row r="545" spans="1:23" x14ac:dyDescent="0.3">
      <c r="A545" s="4" t="s">
        <v>3453</v>
      </c>
      <c r="B545" s="4" t="s">
        <v>579</v>
      </c>
      <c r="C545" s="4" t="s">
        <v>3454</v>
      </c>
      <c r="D545" s="4" t="s">
        <v>3455</v>
      </c>
      <c r="E545" s="4" t="s">
        <v>3456</v>
      </c>
      <c r="F545" s="4" t="s">
        <v>3457</v>
      </c>
      <c r="G545" s="4" t="s">
        <v>394</v>
      </c>
      <c r="H545" s="4" t="s">
        <v>395</v>
      </c>
      <c r="I545" s="4" t="s">
        <v>31</v>
      </c>
      <c r="J545" s="4" t="s">
        <v>3458</v>
      </c>
      <c r="K545" s="4" t="s">
        <v>364</v>
      </c>
      <c r="L545" s="4">
        <v>2</v>
      </c>
      <c r="M545" s="5">
        <v>62.97</v>
      </c>
      <c r="N545" s="4" t="s">
        <v>34</v>
      </c>
      <c r="O545" s="5">
        <v>0</v>
      </c>
      <c r="P545" s="5">
        <v>9.99</v>
      </c>
      <c r="Q545" s="5">
        <v>5.35</v>
      </c>
      <c r="R545" s="5">
        <v>78.31</v>
      </c>
      <c r="S545" s="4" t="s">
        <v>123</v>
      </c>
      <c r="T545" s="4" t="s">
        <v>173</v>
      </c>
      <c r="U545" s="4" t="s">
        <v>100</v>
      </c>
      <c r="V545" s="4"/>
      <c r="W545" s="5">
        <v>0</v>
      </c>
    </row>
    <row r="546" spans="1:23" x14ac:dyDescent="0.3">
      <c r="A546" s="2" t="s">
        <v>3459</v>
      </c>
      <c r="B546" s="2" t="s">
        <v>1774</v>
      </c>
      <c r="C546" s="2" t="s">
        <v>3460</v>
      </c>
      <c r="D546" s="2" t="s">
        <v>3461</v>
      </c>
      <c r="E546" s="2" t="s">
        <v>3462</v>
      </c>
      <c r="F546" s="2" t="s">
        <v>3463</v>
      </c>
      <c r="G546" s="2" t="s">
        <v>676</v>
      </c>
      <c r="H546" s="2" t="s">
        <v>677</v>
      </c>
      <c r="I546" s="2" t="s">
        <v>31</v>
      </c>
      <c r="J546" s="2" t="s">
        <v>3464</v>
      </c>
      <c r="K546" s="2" t="s">
        <v>48</v>
      </c>
      <c r="L546" s="2">
        <v>3</v>
      </c>
      <c r="M546" s="3">
        <v>181.96</v>
      </c>
      <c r="N546" s="2" t="s">
        <v>34</v>
      </c>
      <c r="O546" s="3">
        <v>0</v>
      </c>
      <c r="P546" s="3">
        <v>0</v>
      </c>
      <c r="Q546" s="3">
        <v>14.56</v>
      </c>
      <c r="R546" s="3">
        <v>196.52</v>
      </c>
      <c r="S546" s="2" t="s">
        <v>64</v>
      </c>
      <c r="T546" s="2" t="s">
        <v>50</v>
      </c>
      <c r="U546" s="2" t="s">
        <v>66</v>
      </c>
      <c r="V546" s="2" t="s">
        <v>3465</v>
      </c>
      <c r="W546" s="3">
        <v>0</v>
      </c>
    </row>
    <row r="547" spans="1:23" x14ac:dyDescent="0.3">
      <c r="A547" s="4" t="s">
        <v>3466</v>
      </c>
      <c r="B547" s="4" t="s">
        <v>1580</v>
      </c>
      <c r="C547" s="4" t="s">
        <v>3467</v>
      </c>
      <c r="D547" s="4" t="s">
        <v>3468</v>
      </c>
      <c r="E547" s="4" t="s">
        <v>3469</v>
      </c>
      <c r="F547" s="4" t="s">
        <v>3470</v>
      </c>
      <c r="G547" s="4" t="s">
        <v>140</v>
      </c>
      <c r="H547" s="4" t="s">
        <v>141</v>
      </c>
      <c r="I547" s="4" t="s">
        <v>31</v>
      </c>
      <c r="J547" s="4" t="s">
        <v>503</v>
      </c>
      <c r="K547" s="4" t="s">
        <v>122</v>
      </c>
      <c r="L547" s="4">
        <v>1</v>
      </c>
      <c r="M547" s="5">
        <v>59.99</v>
      </c>
      <c r="N547" s="4" t="s">
        <v>34</v>
      </c>
      <c r="O547" s="5">
        <v>0</v>
      </c>
      <c r="P547" s="5">
        <v>4.99</v>
      </c>
      <c r="Q547" s="5">
        <v>6</v>
      </c>
      <c r="R547" s="5">
        <v>70.98</v>
      </c>
      <c r="S547" s="4" t="s">
        <v>64</v>
      </c>
      <c r="T547" s="4" t="s">
        <v>99</v>
      </c>
      <c r="U547" s="4" t="s">
        <v>66</v>
      </c>
      <c r="V547" s="4" t="s">
        <v>505</v>
      </c>
      <c r="W547" s="5">
        <v>0</v>
      </c>
    </row>
    <row r="548" spans="1:23" x14ac:dyDescent="0.3">
      <c r="A548" s="2" t="s">
        <v>3471</v>
      </c>
      <c r="B548" s="2" t="s">
        <v>2406</v>
      </c>
      <c r="C548" s="2" t="s">
        <v>3472</v>
      </c>
      <c r="D548" s="2" t="s">
        <v>1261</v>
      </c>
      <c r="E548" s="2" t="s">
        <v>3473</v>
      </c>
      <c r="F548" s="2" t="s">
        <v>3474</v>
      </c>
      <c r="G548" s="2" t="s">
        <v>323</v>
      </c>
      <c r="H548" s="2" t="s">
        <v>324</v>
      </c>
      <c r="I548" s="2" t="s">
        <v>31</v>
      </c>
      <c r="J548" s="2" t="s">
        <v>503</v>
      </c>
      <c r="K548" s="2" t="s">
        <v>122</v>
      </c>
      <c r="L548" s="2">
        <v>1</v>
      </c>
      <c r="M548" s="3">
        <v>59.99</v>
      </c>
      <c r="N548" s="2" t="s">
        <v>152</v>
      </c>
      <c r="O548" s="3">
        <v>3</v>
      </c>
      <c r="P548" s="3">
        <v>9.99</v>
      </c>
      <c r="Q548" s="3">
        <v>3.99</v>
      </c>
      <c r="R548" s="3">
        <v>70.97</v>
      </c>
      <c r="S548" s="2" t="s">
        <v>332</v>
      </c>
      <c r="T548" s="2" t="s">
        <v>173</v>
      </c>
      <c r="U548" s="2" t="s">
        <v>66</v>
      </c>
      <c r="V548" s="2" t="s">
        <v>3475</v>
      </c>
      <c r="W548" s="3">
        <v>0</v>
      </c>
    </row>
    <row r="549" spans="1:23" x14ac:dyDescent="0.3">
      <c r="A549" s="4" t="s">
        <v>3476</v>
      </c>
      <c r="B549" s="4" t="s">
        <v>212</v>
      </c>
      <c r="C549" s="4" t="s">
        <v>3477</v>
      </c>
      <c r="D549" s="4" t="s">
        <v>1492</v>
      </c>
      <c r="E549" s="4" t="s">
        <v>3478</v>
      </c>
      <c r="F549" s="4" t="s">
        <v>3479</v>
      </c>
      <c r="G549" s="4" t="s">
        <v>45</v>
      </c>
      <c r="H549" s="4" t="s">
        <v>46</v>
      </c>
      <c r="I549" s="4" t="s">
        <v>31</v>
      </c>
      <c r="J549" s="4" t="s">
        <v>526</v>
      </c>
      <c r="K549" s="4" t="s">
        <v>110</v>
      </c>
      <c r="L549" s="4">
        <v>1</v>
      </c>
      <c r="M549" s="5">
        <v>32.99</v>
      </c>
      <c r="N549" s="4" t="s">
        <v>34</v>
      </c>
      <c r="O549" s="5">
        <v>0</v>
      </c>
      <c r="P549" s="5">
        <v>5.99</v>
      </c>
      <c r="Q549" s="5">
        <v>1.98</v>
      </c>
      <c r="R549" s="5">
        <v>40.96</v>
      </c>
      <c r="S549" s="4" t="s">
        <v>123</v>
      </c>
      <c r="T549" s="4" t="s">
        <v>173</v>
      </c>
      <c r="U549" s="4" t="s">
        <v>100</v>
      </c>
      <c r="V549" s="4"/>
      <c r="W549" s="5">
        <v>0</v>
      </c>
    </row>
    <row r="550" spans="1:23" x14ac:dyDescent="0.3">
      <c r="A550" s="2" t="s">
        <v>3480</v>
      </c>
      <c r="B550" s="2" t="s">
        <v>133</v>
      </c>
      <c r="C550" s="2" t="s">
        <v>3481</v>
      </c>
      <c r="D550" s="2" t="s">
        <v>3482</v>
      </c>
      <c r="E550" s="2" t="s">
        <v>3483</v>
      </c>
      <c r="F550" s="2" t="s">
        <v>3484</v>
      </c>
      <c r="G550" s="2" t="s">
        <v>190</v>
      </c>
      <c r="H550" s="2" t="s">
        <v>161</v>
      </c>
      <c r="I550" s="2" t="s">
        <v>31</v>
      </c>
      <c r="J550" s="2" t="s">
        <v>495</v>
      </c>
      <c r="K550" s="2" t="s">
        <v>209</v>
      </c>
      <c r="L550" s="2">
        <v>1</v>
      </c>
      <c r="M550" s="3">
        <v>29.99</v>
      </c>
      <c r="N550" s="2" t="s">
        <v>34</v>
      </c>
      <c r="O550" s="3">
        <v>0</v>
      </c>
      <c r="P550" s="3">
        <v>5.99</v>
      </c>
      <c r="Q550" s="3">
        <v>2.5499999999999998</v>
      </c>
      <c r="R550" s="3">
        <v>38.53</v>
      </c>
      <c r="S550" s="2" t="s">
        <v>64</v>
      </c>
      <c r="T550" s="2" t="s">
        <v>99</v>
      </c>
      <c r="U550" s="2" t="s">
        <v>66</v>
      </c>
      <c r="V550" s="2" t="s">
        <v>824</v>
      </c>
      <c r="W550" s="3">
        <v>0</v>
      </c>
    </row>
    <row r="551" spans="1:23" x14ac:dyDescent="0.3">
      <c r="A551" s="4" t="s">
        <v>3485</v>
      </c>
      <c r="B551" s="4" t="s">
        <v>3486</v>
      </c>
      <c r="C551" s="4" t="s">
        <v>3487</v>
      </c>
      <c r="D551" s="4" t="s">
        <v>3488</v>
      </c>
      <c r="E551" s="4" t="s">
        <v>3489</v>
      </c>
      <c r="F551" s="4" t="s">
        <v>3490</v>
      </c>
      <c r="G551" s="4" t="s">
        <v>131</v>
      </c>
      <c r="H551" s="4" t="s">
        <v>88</v>
      </c>
      <c r="I551" s="4" t="s">
        <v>31</v>
      </c>
      <c r="J551" s="4" t="s">
        <v>1269</v>
      </c>
      <c r="K551" s="4" t="s">
        <v>77</v>
      </c>
      <c r="L551" s="4">
        <v>1</v>
      </c>
      <c r="M551" s="5">
        <v>27.99</v>
      </c>
      <c r="N551" s="4" t="s">
        <v>34</v>
      </c>
      <c r="O551" s="5">
        <v>0</v>
      </c>
      <c r="P551" s="5">
        <v>7.99</v>
      </c>
      <c r="Q551" s="5">
        <v>1.68</v>
      </c>
      <c r="R551" s="5">
        <v>37.659999999999997</v>
      </c>
      <c r="S551" s="4" t="s">
        <v>35</v>
      </c>
      <c r="T551" s="4" t="s">
        <v>99</v>
      </c>
      <c r="U551" s="4" t="s">
        <v>51</v>
      </c>
      <c r="V551" s="4" t="s">
        <v>3092</v>
      </c>
      <c r="W551" s="5">
        <v>0</v>
      </c>
    </row>
    <row r="552" spans="1:23" x14ac:dyDescent="0.3">
      <c r="A552" s="2" t="s">
        <v>3491</v>
      </c>
      <c r="B552" s="2" t="s">
        <v>764</v>
      </c>
      <c r="C552" s="2" t="s">
        <v>3492</v>
      </c>
      <c r="D552" s="2" t="s">
        <v>3493</v>
      </c>
      <c r="E552" s="2" t="s">
        <v>3494</v>
      </c>
      <c r="F552" s="2" t="s">
        <v>3495</v>
      </c>
      <c r="G552" s="2" t="s">
        <v>180</v>
      </c>
      <c r="H552" s="2" t="s">
        <v>181</v>
      </c>
      <c r="I552" s="2" t="s">
        <v>31</v>
      </c>
      <c r="J552" s="2" t="s">
        <v>172</v>
      </c>
      <c r="K552" s="2" t="s">
        <v>122</v>
      </c>
      <c r="L552" s="2">
        <v>1</v>
      </c>
      <c r="M552" s="3">
        <v>69.989999999999995</v>
      </c>
      <c r="N552" s="2" t="s">
        <v>34</v>
      </c>
      <c r="O552" s="3">
        <v>0</v>
      </c>
      <c r="P552" s="3">
        <v>5.99</v>
      </c>
      <c r="Q552" s="3">
        <v>5.6</v>
      </c>
      <c r="R552" s="3">
        <v>81.58</v>
      </c>
      <c r="S552" s="2" t="s">
        <v>35</v>
      </c>
      <c r="T552" s="2" t="s">
        <v>36</v>
      </c>
      <c r="U552" s="2" t="s">
        <v>66</v>
      </c>
      <c r="V552" s="2" t="s">
        <v>82</v>
      </c>
      <c r="W552" s="3">
        <v>0</v>
      </c>
    </row>
    <row r="553" spans="1:23" x14ac:dyDescent="0.3">
      <c r="A553" s="4" t="s">
        <v>3496</v>
      </c>
      <c r="B553" s="4" t="s">
        <v>557</v>
      </c>
      <c r="C553" s="4" t="s">
        <v>3497</v>
      </c>
      <c r="D553" s="4" t="s">
        <v>3498</v>
      </c>
      <c r="E553" s="4" t="s">
        <v>3499</v>
      </c>
      <c r="F553" s="4" t="s">
        <v>3500</v>
      </c>
      <c r="G553" s="4" t="s">
        <v>190</v>
      </c>
      <c r="H553" s="4" t="s">
        <v>161</v>
      </c>
      <c r="I553" s="4" t="s">
        <v>31</v>
      </c>
      <c r="J553" s="4" t="s">
        <v>3501</v>
      </c>
      <c r="K553" s="4" t="s">
        <v>77</v>
      </c>
      <c r="L553" s="4">
        <v>2</v>
      </c>
      <c r="M553" s="5">
        <v>59.98</v>
      </c>
      <c r="N553" s="4" t="s">
        <v>34</v>
      </c>
      <c r="O553" s="5">
        <v>0</v>
      </c>
      <c r="P553" s="5">
        <v>4.99</v>
      </c>
      <c r="Q553" s="5">
        <v>4.8</v>
      </c>
      <c r="R553" s="5">
        <v>69.77</v>
      </c>
      <c r="S553" s="4" t="s">
        <v>123</v>
      </c>
      <c r="T553" s="4" t="s">
        <v>144</v>
      </c>
      <c r="U553" s="4" t="s">
        <v>66</v>
      </c>
      <c r="V553" s="4" t="s">
        <v>1458</v>
      </c>
      <c r="W553" s="5">
        <v>0</v>
      </c>
    </row>
    <row r="554" spans="1:23" x14ac:dyDescent="0.3">
      <c r="A554" s="2" t="s">
        <v>3502</v>
      </c>
      <c r="B554" s="2" t="s">
        <v>1867</v>
      </c>
      <c r="C554" s="2" t="s">
        <v>3503</v>
      </c>
      <c r="D554" s="2" t="s">
        <v>3504</v>
      </c>
      <c r="E554" s="2" t="s">
        <v>3505</v>
      </c>
      <c r="F554" s="2" t="s">
        <v>3506</v>
      </c>
      <c r="G554" s="2" t="s">
        <v>323</v>
      </c>
      <c r="H554" s="2" t="s">
        <v>324</v>
      </c>
      <c r="I554" s="2" t="s">
        <v>31</v>
      </c>
      <c r="J554" s="2" t="s">
        <v>678</v>
      </c>
      <c r="K554" s="2" t="s">
        <v>679</v>
      </c>
      <c r="L554" s="2">
        <v>1</v>
      </c>
      <c r="M554" s="3">
        <v>14.99</v>
      </c>
      <c r="N554" s="2" t="s">
        <v>34</v>
      </c>
      <c r="O554" s="3">
        <v>0</v>
      </c>
      <c r="P554" s="3">
        <v>5.99</v>
      </c>
      <c r="Q554" s="3">
        <v>1.05</v>
      </c>
      <c r="R554" s="3">
        <v>22.03</v>
      </c>
      <c r="S554" s="2" t="s">
        <v>332</v>
      </c>
      <c r="T554" s="2" t="s">
        <v>36</v>
      </c>
      <c r="U554" s="2" t="s">
        <v>66</v>
      </c>
      <c r="V554" s="2" t="s">
        <v>1315</v>
      </c>
      <c r="W554" s="3">
        <v>0</v>
      </c>
    </row>
    <row r="555" spans="1:23" x14ac:dyDescent="0.3">
      <c r="A555" s="4" t="s">
        <v>3507</v>
      </c>
      <c r="B555" s="4" t="s">
        <v>1658</v>
      </c>
      <c r="C555" s="4" t="s">
        <v>3508</v>
      </c>
      <c r="D555" s="4" t="s">
        <v>3509</v>
      </c>
      <c r="E555" s="4" t="s">
        <v>3510</v>
      </c>
      <c r="F555" s="4" t="s">
        <v>3511</v>
      </c>
      <c r="G555" s="4" t="s">
        <v>242</v>
      </c>
      <c r="H555" s="4" t="s">
        <v>243</v>
      </c>
      <c r="I555" s="4" t="s">
        <v>31</v>
      </c>
      <c r="J555" s="4" t="s">
        <v>3512</v>
      </c>
      <c r="K555" s="4" t="s">
        <v>364</v>
      </c>
      <c r="L555" s="4">
        <v>2</v>
      </c>
      <c r="M555" s="5">
        <v>139.96</v>
      </c>
      <c r="N555" s="4" t="s">
        <v>49</v>
      </c>
      <c r="O555" s="5">
        <v>20.99</v>
      </c>
      <c r="P555" s="5">
        <v>0</v>
      </c>
      <c r="Q555" s="5">
        <v>8.33</v>
      </c>
      <c r="R555" s="5">
        <v>127.3</v>
      </c>
      <c r="S555" s="4" t="s">
        <v>35</v>
      </c>
      <c r="T555" s="4" t="s">
        <v>36</v>
      </c>
      <c r="U555" s="4" t="s">
        <v>66</v>
      </c>
      <c r="V555" s="4" t="s">
        <v>2406</v>
      </c>
      <c r="W555" s="5">
        <v>0</v>
      </c>
    </row>
    <row r="556" spans="1:23" x14ac:dyDescent="0.3">
      <c r="A556" s="2" t="s">
        <v>3513</v>
      </c>
      <c r="B556" s="2" t="s">
        <v>2965</v>
      </c>
      <c r="C556" s="2" t="s">
        <v>3514</v>
      </c>
      <c r="D556" s="2" t="s">
        <v>3515</v>
      </c>
      <c r="E556" s="2" t="s">
        <v>3516</v>
      </c>
      <c r="F556" s="2" t="s">
        <v>3517</v>
      </c>
      <c r="G556" s="2" t="s">
        <v>140</v>
      </c>
      <c r="H556" s="2" t="s">
        <v>141</v>
      </c>
      <c r="I556" s="2" t="s">
        <v>31</v>
      </c>
      <c r="J556" s="2" t="s">
        <v>3518</v>
      </c>
      <c r="K556" s="2" t="s">
        <v>209</v>
      </c>
      <c r="L556" s="2">
        <v>3</v>
      </c>
      <c r="M556" s="3">
        <v>199.97</v>
      </c>
      <c r="N556" s="2" t="s">
        <v>34</v>
      </c>
      <c r="O556" s="3">
        <v>0</v>
      </c>
      <c r="P556" s="3">
        <v>0</v>
      </c>
      <c r="Q556" s="3">
        <v>16</v>
      </c>
      <c r="R556" s="3">
        <v>215.97</v>
      </c>
      <c r="S556" s="2" t="s">
        <v>64</v>
      </c>
      <c r="T556" s="2" t="s">
        <v>99</v>
      </c>
      <c r="U556" s="2" t="s">
        <v>66</v>
      </c>
      <c r="V556" s="2" t="s">
        <v>521</v>
      </c>
      <c r="W556" s="3">
        <v>0</v>
      </c>
    </row>
    <row r="557" spans="1:23" x14ac:dyDescent="0.3">
      <c r="A557" s="4" t="s">
        <v>3519</v>
      </c>
      <c r="B557" s="4" t="s">
        <v>24</v>
      </c>
      <c r="C557" s="4" t="s">
        <v>3520</v>
      </c>
      <c r="D557" s="4" t="s">
        <v>3521</v>
      </c>
      <c r="E557" s="4" t="s">
        <v>3522</v>
      </c>
      <c r="F557" s="4" t="s">
        <v>3523</v>
      </c>
      <c r="G557" s="4" t="s">
        <v>87</v>
      </c>
      <c r="H557" s="4" t="s">
        <v>88</v>
      </c>
      <c r="I557" s="4" t="s">
        <v>31</v>
      </c>
      <c r="J557" s="4" t="s">
        <v>3524</v>
      </c>
      <c r="K557" s="4" t="s">
        <v>110</v>
      </c>
      <c r="L557" s="4">
        <v>4</v>
      </c>
      <c r="M557" s="5">
        <v>365.93</v>
      </c>
      <c r="N557" s="4" t="s">
        <v>34</v>
      </c>
      <c r="O557" s="5">
        <v>0</v>
      </c>
      <c r="P557" s="5">
        <v>0</v>
      </c>
      <c r="Q557" s="5">
        <v>31.1</v>
      </c>
      <c r="R557" s="5">
        <v>397.03</v>
      </c>
      <c r="S557" s="4" t="s">
        <v>123</v>
      </c>
      <c r="T557" s="4" t="s">
        <v>183</v>
      </c>
      <c r="U557" s="4" t="s">
        <v>51</v>
      </c>
      <c r="V557" s="4" t="s">
        <v>2149</v>
      </c>
      <c r="W557" s="5">
        <v>0</v>
      </c>
    </row>
    <row r="558" spans="1:23" x14ac:dyDescent="0.3">
      <c r="A558" s="2" t="s">
        <v>3525</v>
      </c>
      <c r="B558" s="2" t="s">
        <v>917</v>
      </c>
      <c r="C558" s="2" t="s">
        <v>3526</v>
      </c>
      <c r="D558" s="2" t="s">
        <v>3527</v>
      </c>
      <c r="E558" s="2" t="s">
        <v>3528</v>
      </c>
      <c r="F558" s="2" t="s">
        <v>3529</v>
      </c>
      <c r="G558" s="2" t="s">
        <v>87</v>
      </c>
      <c r="H558" s="2" t="s">
        <v>88</v>
      </c>
      <c r="I558" s="2" t="s">
        <v>31</v>
      </c>
      <c r="J558" s="2" t="s">
        <v>47</v>
      </c>
      <c r="K558" s="2" t="s">
        <v>48</v>
      </c>
      <c r="L558" s="2">
        <v>1</v>
      </c>
      <c r="M558" s="3">
        <v>42.99</v>
      </c>
      <c r="N558" s="2" t="s">
        <v>63</v>
      </c>
      <c r="O558" s="3">
        <v>10.75</v>
      </c>
      <c r="P558" s="3">
        <v>4.99</v>
      </c>
      <c r="Q558" s="3">
        <v>2.2599999999999998</v>
      </c>
      <c r="R558" s="3">
        <v>39.49</v>
      </c>
      <c r="S558" s="2" t="s">
        <v>111</v>
      </c>
      <c r="T558" s="2" t="s">
        <v>99</v>
      </c>
      <c r="U558" s="2" t="s">
        <v>66</v>
      </c>
      <c r="V558" s="2" t="s">
        <v>3530</v>
      </c>
      <c r="W558" s="3">
        <v>0</v>
      </c>
    </row>
    <row r="559" spans="1:23" x14ac:dyDescent="0.3">
      <c r="A559" s="4" t="s">
        <v>3531</v>
      </c>
      <c r="B559" s="4" t="s">
        <v>80</v>
      </c>
      <c r="C559" s="4" t="s">
        <v>3532</v>
      </c>
      <c r="D559" s="4" t="s">
        <v>2041</v>
      </c>
      <c r="E559" s="4" t="s">
        <v>3533</v>
      </c>
      <c r="F559" s="4" t="s">
        <v>3534</v>
      </c>
      <c r="G559" s="4" t="s">
        <v>74</v>
      </c>
      <c r="H559" s="4" t="s">
        <v>75</v>
      </c>
      <c r="I559" s="4" t="s">
        <v>31</v>
      </c>
      <c r="J559" s="4" t="s">
        <v>3535</v>
      </c>
      <c r="K559" s="4" t="s">
        <v>62</v>
      </c>
      <c r="L559" s="4">
        <v>2</v>
      </c>
      <c r="M559" s="5">
        <v>94.98</v>
      </c>
      <c r="N559" s="4" t="s">
        <v>34</v>
      </c>
      <c r="O559" s="5">
        <v>0</v>
      </c>
      <c r="P559" s="5">
        <v>0</v>
      </c>
      <c r="Q559" s="5">
        <v>8.07</v>
      </c>
      <c r="R559" s="5">
        <v>103.05</v>
      </c>
      <c r="S559" s="4" t="s">
        <v>332</v>
      </c>
      <c r="T559" s="4" t="s">
        <v>99</v>
      </c>
      <c r="U559" s="4" t="s">
        <v>51</v>
      </c>
      <c r="V559" s="4" t="s">
        <v>851</v>
      </c>
      <c r="W559" s="5">
        <v>0</v>
      </c>
    </row>
    <row r="560" spans="1:23" x14ac:dyDescent="0.3">
      <c r="A560" s="2" t="s">
        <v>3536</v>
      </c>
      <c r="B560" s="2" t="s">
        <v>1732</v>
      </c>
      <c r="C560" s="2" t="s">
        <v>3537</v>
      </c>
      <c r="D560" s="2" t="s">
        <v>3538</v>
      </c>
      <c r="E560" s="2" t="s">
        <v>3539</v>
      </c>
      <c r="F560" s="2" t="s">
        <v>3540</v>
      </c>
      <c r="G560" s="2" t="s">
        <v>802</v>
      </c>
      <c r="H560" s="2" t="s">
        <v>88</v>
      </c>
      <c r="I560" s="2" t="s">
        <v>31</v>
      </c>
      <c r="J560" s="2" t="s">
        <v>1997</v>
      </c>
      <c r="K560" s="2" t="s">
        <v>143</v>
      </c>
      <c r="L560" s="2">
        <v>1</v>
      </c>
      <c r="M560" s="3">
        <v>129.99</v>
      </c>
      <c r="N560" s="2" t="s">
        <v>34</v>
      </c>
      <c r="O560" s="3">
        <v>0</v>
      </c>
      <c r="P560" s="3">
        <v>0</v>
      </c>
      <c r="Q560" s="3">
        <v>10.4</v>
      </c>
      <c r="R560" s="3">
        <v>140.38999999999999</v>
      </c>
      <c r="S560" s="2" t="s">
        <v>64</v>
      </c>
      <c r="T560" s="2" t="s">
        <v>325</v>
      </c>
      <c r="U560" s="2" t="s">
        <v>317</v>
      </c>
      <c r="V560" s="2"/>
      <c r="W560" s="3">
        <v>0</v>
      </c>
    </row>
    <row r="561" spans="1:23" x14ac:dyDescent="0.3">
      <c r="A561" s="4" t="s">
        <v>3541</v>
      </c>
      <c r="B561" s="4" t="s">
        <v>709</v>
      </c>
      <c r="C561" s="4" t="s">
        <v>3542</v>
      </c>
      <c r="D561" s="4" t="s">
        <v>3358</v>
      </c>
      <c r="E561" s="4" t="s">
        <v>3543</v>
      </c>
      <c r="F561" s="4" t="s">
        <v>3544</v>
      </c>
      <c r="G561" s="4" t="s">
        <v>1183</v>
      </c>
      <c r="H561" s="4" t="s">
        <v>88</v>
      </c>
      <c r="I561" s="4" t="s">
        <v>31</v>
      </c>
      <c r="J561" s="4" t="s">
        <v>3545</v>
      </c>
      <c r="K561" s="4" t="s">
        <v>33</v>
      </c>
      <c r="L561" s="4">
        <v>4</v>
      </c>
      <c r="M561" s="5">
        <v>212.96</v>
      </c>
      <c r="N561" s="4" t="s">
        <v>163</v>
      </c>
      <c r="O561" s="5">
        <v>42.59</v>
      </c>
      <c r="P561" s="5">
        <v>0</v>
      </c>
      <c r="Q561" s="5">
        <v>14.48</v>
      </c>
      <c r="R561" s="5">
        <v>184.85</v>
      </c>
      <c r="S561" s="4" t="s">
        <v>123</v>
      </c>
      <c r="T561" s="4" t="s">
        <v>36</v>
      </c>
      <c r="U561" s="4" t="s">
        <v>66</v>
      </c>
      <c r="V561" s="4" t="s">
        <v>2957</v>
      </c>
      <c r="W561" s="5">
        <v>0</v>
      </c>
    </row>
    <row r="562" spans="1:23" x14ac:dyDescent="0.3">
      <c r="A562" s="2" t="s">
        <v>3546</v>
      </c>
      <c r="B562" s="2" t="s">
        <v>1477</v>
      </c>
      <c r="C562" s="2" t="s">
        <v>3547</v>
      </c>
      <c r="D562" s="2" t="s">
        <v>3548</v>
      </c>
      <c r="E562" s="2" t="s">
        <v>3549</v>
      </c>
      <c r="F562" s="2" t="s">
        <v>3550</v>
      </c>
      <c r="G562" s="2" t="s">
        <v>403</v>
      </c>
      <c r="H562" s="2" t="s">
        <v>404</v>
      </c>
      <c r="I562" s="2" t="s">
        <v>31</v>
      </c>
      <c r="J562" s="2" t="s">
        <v>3551</v>
      </c>
      <c r="K562" s="2" t="s">
        <v>143</v>
      </c>
      <c r="L562" s="2">
        <v>2</v>
      </c>
      <c r="M562" s="3">
        <v>166.95</v>
      </c>
      <c r="N562" s="2" t="s">
        <v>49</v>
      </c>
      <c r="O562" s="3">
        <v>25.04</v>
      </c>
      <c r="P562" s="3">
        <v>0</v>
      </c>
      <c r="Q562" s="3">
        <v>11.35</v>
      </c>
      <c r="R562" s="3">
        <v>153.26</v>
      </c>
      <c r="S562" s="2" t="s">
        <v>79</v>
      </c>
      <c r="T562" s="2" t="s">
        <v>36</v>
      </c>
      <c r="U562" s="2" t="s">
        <v>66</v>
      </c>
      <c r="V562" s="2" t="s">
        <v>431</v>
      </c>
      <c r="W562" s="3">
        <v>0</v>
      </c>
    </row>
    <row r="563" spans="1:23" x14ac:dyDescent="0.3">
      <c r="A563" s="4" t="s">
        <v>3552</v>
      </c>
      <c r="B563" s="4" t="s">
        <v>2278</v>
      </c>
      <c r="C563" s="4" t="s">
        <v>3553</v>
      </c>
      <c r="D563" s="4" t="s">
        <v>3554</v>
      </c>
      <c r="E563" s="4" t="s">
        <v>3555</v>
      </c>
      <c r="F563" s="4" t="s">
        <v>3556</v>
      </c>
      <c r="G563" s="4" t="s">
        <v>140</v>
      </c>
      <c r="H563" s="4" t="s">
        <v>141</v>
      </c>
      <c r="I563" s="4" t="s">
        <v>31</v>
      </c>
      <c r="J563" s="4" t="s">
        <v>3557</v>
      </c>
      <c r="K563" s="4" t="s">
        <v>33</v>
      </c>
      <c r="L563" s="4">
        <v>3</v>
      </c>
      <c r="M563" s="5">
        <v>150.97</v>
      </c>
      <c r="N563" s="4" t="s">
        <v>78</v>
      </c>
      <c r="O563" s="5">
        <v>15.1</v>
      </c>
      <c r="P563" s="5">
        <v>0</v>
      </c>
      <c r="Q563" s="5">
        <v>8.15</v>
      </c>
      <c r="R563" s="5">
        <v>144.02000000000001</v>
      </c>
      <c r="S563" s="4" t="s">
        <v>332</v>
      </c>
      <c r="T563" s="4" t="s">
        <v>144</v>
      </c>
      <c r="U563" s="4" t="s">
        <v>66</v>
      </c>
      <c r="V563" s="4" t="s">
        <v>924</v>
      </c>
      <c r="W563" s="5">
        <v>0</v>
      </c>
    </row>
    <row r="564" spans="1:23" x14ac:dyDescent="0.3">
      <c r="A564" s="2" t="s">
        <v>3558</v>
      </c>
      <c r="B564" s="2" t="s">
        <v>372</v>
      </c>
      <c r="C564" s="2" t="s">
        <v>3559</v>
      </c>
      <c r="D564" s="2" t="s">
        <v>3560</v>
      </c>
      <c r="E564" s="2" t="s">
        <v>3561</v>
      </c>
      <c r="F564" s="2" t="s">
        <v>3562</v>
      </c>
      <c r="G564" s="2" t="s">
        <v>107</v>
      </c>
      <c r="H564" s="2" t="s">
        <v>108</v>
      </c>
      <c r="I564" s="2" t="s">
        <v>31</v>
      </c>
      <c r="J564" s="2" t="s">
        <v>3563</v>
      </c>
      <c r="K564" s="2" t="s">
        <v>122</v>
      </c>
      <c r="L564" s="2">
        <v>3</v>
      </c>
      <c r="M564" s="3">
        <v>108.97</v>
      </c>
      <c r="N564" s="2" t="s">
        <v>78</v>
      </c>
      <c r="O564" s="3">
        <v>10.9</v>
      </c>
      <c r="P564" s="3">
        <v>0</v>
      </c>
      <c r="Q564" s="3">
        <v>6.86</v>
      </c>
      <c r="R564" s="3">
        <v>104.93</v>
      </c>
      <c r="S564" s="2" t="s">
        <v>437</v>
      </c>
      <c r="T564" s="2" t="s">
        <v>325</v>
      </c>
      <c r="U564" s="2" t="s">
        <v>66</v>
      </c>
      <c r="V564" s="2" t="s">
        <v>536</v>
      </c>
      <c r="W564" s="3">
        <v>0</v>
      </c>
    </row>
    <row r="565" spans="1:23" x14ac:dyDescent="0.3">
      <c r="A565" s="4" t="s">
        <v>3564</v>
      </c>
      <c r="B565" s="4" t="s">
        <v>2839</v>
      </c>
      <c r="C565" s="4" t="s">
        <v>3565</v>
      </c>
      <c r="D565" s="4" t="s">
        <v>3566</v>
      </c>
      <c r="E565" s="4" t="s">
        <v>3567</v>
      </c>
      <c r="F565" s="4" t="s">
        <v>3568</v>
      </c>
      <c r="G565" s="4" t="s">
        <v>224</v>
      </c>
      <c r="H565" s="4" t="s">
        <v>225</v>
      </c>
      <c r="I565" s="4" t="s">
        <v>31</v>
      </c>
      <c r="J565" s="4" t="s">
        <v>1269</v>
      </c>
      <c r="K565" s="4" t="s">
        <v>77</v>
      </c>
      <c r="L565" s="4">
        <v>1</v>
      </c>
      <c r="M565" s="5">
        <v>27.99</v>
      </c>
      <c r="N565" s="4" t="s">
        <v>63</v>
      </c>
      <c r="O565" s="5">
        <v>7</v>
      </c>
      <c r="P565" s="5">
        <v>9.99</v>
      </c>
      <c r="Q565" s="5">
        <v>1.89</v>
      </c>
      <c r="R565" s="5">
        <v>32.869999999999997</v>
      </c>
      <c r="S565" s="4" t="s">
        <v>437</v>
      </c>
      <c r="T565" s="4" t="s">
        <v>99</v>
      </c>
      <c r="U565" s="4" t="s">
        <v>66</v>
      </c>
      <c r="V565" s="4" t="s">
        <v>80</v>
      </c>
      <c r="W565" s="5">
        <v>0</v>
      </c>
    </row>
    <row r="566" spans="1:23" x14ac:dyDescent="0.3">
      <c r="A566" s="2" t="s">
        <v>3569</v>
      </c>
      <c r="B566" s="2" t="s">
        <v>1209</v>
      </c>
      <c r="C566" s="2" t="s">
        <v>3570</v>
      </c>
      <c r="D566" s="2" t="s">
        <v>3571</v>
      </c>
      <c r="E566" s="2" t="s">
        <v>3572</v>
      </c>
      <c r="F566" s="2" t="s">
        <v>3573</v>
      </c>
      <c r="G566" s="2" t="s">
        <v>403</v>
      </c>
      <c r="H566" s="2" t="s">
        <v>404</v>
      </c>
      <c r="I566" s="2" t="s">
        <v>31</v>
      </c>
      <c r="J566" s="2" t="s">
        <v>3574</v>
      </c>
      <c r="K566" s="2" t="s">
        <v>33</v>
      </c>
      <c r="L566" s="2">
        <v>3</v>
      </c>
      <c r="M566" s="3">
        <v>178.94</v>
      </c>
      <c r="N566" s="2" t="s">
        <v>34</v>
      </c>
      <c r="O566" s="3">
        <v>0</v>
      </c>
      <c r="P566" s="3">
        <v>0</v>
      </c>
      <c r="Q566" s="3">
        <v>10.74</v>
      </c>
      <c r="R566" s="3">
        <v>189.68</v>
      </c>
      <c r="S566" s="2" t="s">
        <v>332</v>
      </c>
      <c r="T566" s="2" t="s">
        <v>99</v>
      </c>
      <c r="U566" s="2" t="s">
        <v>66</v>
      </c>
      <c r="V566" s="2" t="s">
        <v>2698</v>
      </c>
      <c r="W566" s="3">
        <v>0</v>
      </c>
    </row>
    <row r="567" spans="1:23" x14ac:dyDescent="0.3">
      <c r="A567" s="4" t="s">
        <v>3575</v>
      </c>
      <c r="B567" s="4" t="s">
        <v>3465</v>
      </c>
      <c r="C567" s="4" t="s">
        <v>3576</v>
      </c>
      <c r="D567" s="4" t="s">
        <v>3577</v>
      </c>
      <c r="E567" s="4" t="s">
        <v>3578</v>
      </c>
      <c r="F567" s="4" t="s">
        <v>3579</v>
      </c>
      <c r="G567" s="4" t="s">
        <v>802</v>
      </c>
      <c r="H567" s="4" t="s">
        <v>88</v>
      </c>
      <c r="I567" s="4" t="s">
        <v>31</v>
      </c>
      <c r="J567" s="4" t="s">
        <v>3580</v>
      </c>
      <c r="K567" s="4" t="s">
        <v>33</v>
      </c>
      <c r="L567" s="4">
        <v>3</v>
      </c>
      <c r="M567" s="5">
        <v>139.97</v>
      </c>
      <c r="N567" s="4" t="s">
        <v>49</v>
      </c>
      <c r="O567" s="5">
        <v>21</v>
      </c>
      <c r="P567" s="5">
        <v>0</v>
      </c>
      <c r="Q567" s="5">
        <v>7.14</v>
      </c>
      <c r="R567" s="5">
        <v>126.11</v>
      </c>
      <c r="S567" s="4" t="s">
        <v>35</v>
      </c>
      <c r="T567" s="4" t="s">
        <v>173</v>
      </c>
      <c r="U567" s="4" t="s">
        <v>66</v>
      </c>
      <c r="V567" s="4" t="s">
        <v>550</v>
      </c>
      <c r="W567" s="5">
        <v>0</v>
      </c>
    </row>
    <row r="568" spans="1:23" x14ac:dyDescent="0.3">
      <c r="A568" s="2" t="s">
        <v>3581</v>
      </c>
      <c r="B568" s="2" t="s">
        <v>3530</v>
      </c>
      <c r="C568" s="2" t="s">
        <v>3582</v>
      </c>
      <c r="D568" s="2" t="s">
        <v>3583</v>
      </c>
      <c r="E568" s="2" t="s">
        <v>3584</v>
      </c>
      <c r="F568" s="2" t="s">
        <v>3585</v>
      </c>
      <c r="G568" s="2" t="s">
        <v>242</v>
      </c>
      <c r="H568" s="2" t="s">
        <v>243</v>
      </c>
      <c r="I568" s="2" t="s">
        <v>31</v>
      </c>
      <c r="J568" s="2" t="s">
        <v>132</v>
      </c>
      <c r="K568" s="2" t="s">
        <v>48</v>
      </c>
      <c r="L568" s="2">
        <v>1</v>
      </c>
      <c r="M568" s="3">
        <v>129.97999999999999</v>
      </c>
      <c r="N568" s="2" t="s">
        <v>49</v>
      </c>
      <c r="O568" s="3">
        <v>19.5</v>
      </c>
      <c r="P568" s="3">
        <v>0</v>
      </c>
      <c r="Q568" s="3">
        <v>11.05</v>
      </c>
      <c r="R568" s="3">
        <v>121.53</v>
      </c>
      <c r="S568" s="2" t="s">
        <v>35</v>
      </c>
      <c r="T568" s="2" t="s">
        <v>65</v>
      </c>
      <c r="U568" s="2" t="s">
        <v>317</v>
      </c>
      <c r="V568" s="2"/>
      <c r="W568" s="3">
        <v>0</v>
      </c>
    </row>
    <row r="569" spans="1:23" x14ac:dyDescent="0.3">
      <c r="A569" s="4" t="s">
        <v>3586</v>
      </c>
      <c r="B569" s="4" t="s">
        <v>254</v>
      </c>
      <c r="C569" s="4" t="s">
        <v>3587</v>
      </c>
      <c r="D569" s="4" t="s">
        <v>2795</v>
      </c>
      <c r="E569" s="4" t="s">
        <v>3588</v>
      </c>
      <c r="F569" s="4" t="s">
        <v>3589</v>
      </c>
      <c r="G569" s="4" t="s">
        <v>224</v>
      </c>
      <c r="H569" s="4" t="s">
        <v>225</v>
      </c>
      <c r="I569" s="4" t="s">
        <v>31</v>
      </c>
      <c r="J569" s="4" t="s">
        <v>3590</v>
      </c>
      <c r="K569" s="4" t="s">
        <v>110</v>
      </c>
      <c r="L569" s="4">
        <v>1</v>
      </c>
      <c r="M569" s="5">
        <v>119.97</v>
      </c>
      <c r="N569" s="4" t="s">
        <v>34</v>
      </c>
      <c r="O569" s="5">
        <v>0</v>
      </c>
      <c r="P569" s="5">
        <v>0</v>
      </c>
      <c r="Q569" s="5">
        <v>10.8</v>
      </c>
      <c r="R569" s="5">
        <v>130.77000000000001</v>
      </c>
      <c r="S569" s="4" t="s">
        <v>437</v>
      </c>
      <c r="T569" s="4" t="s">
        <v>99</v>
      </c>
      <c r="U569" s="4" t="s">
        <v>317</v>
      </c>
      <c r="V569" s="4"/>
      <c r="W569" s="5">
        <v>0</v>
      </c>
    </row>
    <row r="570" spans="1:23" x14ac:dyDescent="0.3">
      <c r="A570" s="2" t="s">
        <v>3591</v>
      </c>
      <c r="B570" s="2" t="s">
        <v>601</v>
      </c>
      <c r="C570" s="2" t="s">
        <v>3592</v>
      </c>
      <c r="D570" s="2" t="s">
        <v>3593</v>
      </c>
      <c r="E570" s="2" t="s">
        <v>3594</v>
      </c>
      <c r="F570" s="2" t="s">
        <v>3595</v>
      </c>
      <c r="G570" s="2" t="s">
        <v>29</v>
      </c>
      <c r="H570" s="2" t="s">
        <v>30</v>
      </c>
      <c r="I570" s="2" t="s">
        <v>31</v>
      </c>
      <c r="J570" s="2" t="s">
        <v>3596</v>
      </c>
      <c r="K570" s="2" t="s">
        <v>364</v>
      </c>
      <c r="L570" s="2">
        <v>2</v>
      </c>
      <c r="M570" s="3">
        <v>139.97</v>
      </c>
      <c r="N570" s="2" t="s">
        <v>63</v>
      </c>
      <c r="O570" s="3">
        <v>34.99</v>
      </c>
      <c r="P570" s="3">
        <v>0</v>
      </c>
      <c r="Q570" s="3">
        <v>6.3</v>
      </c>
      <c r="R570" s="3">
        <v>111.28</v>
      </c>
      <c r="S570" s="2" t="s">
        <v>64</v>
      </c>
      <c r="T570" s="2" t="s">
        <v>183</v>
      </c>
      <c r="U570" s="2" t="s">
        <v>66</v>
      </c>
      <c r="V570" s="2" t="s">
        <v>1589</v>
      </c>
      <c r="W570" s="3">
        <v>0</v>
      </c>
    </row>
    <row r="571" spans="1:23" x14ac:dyDescent="0.3">
      <c r="A571" s="4" t="s">
        <v>3597</v>
      </c>
      <c r="B571" s="4" t="s">
        <v>2805</v>
      </c>
      <c r="C571" s="4" t="s">
        <v>3598</v>
      </c>
      <c r="D571" s="4" t="s">
        <v>3599</v>
      </c>
      <c r="E571" s="4" t="s">
        <v>3600</v>
      </c>
      <c r="F571" s="4" t="s">
        <v>3601</v>
      </c>
      <c r="G571" s="4" t="s">
        <v>251</v>
      </c>
      <c r="H571" s="4" t="s">
        <v>252</v>
      </c>
      <c r="I571" s="4" t="s">
        <v>31</v>
      </c>
      <c r="J571" s="4" t="s">
        <v>3602</v>
      </c>
      <c r="K571" s="4" t="s">
        <v>209</v>
      </c>
      <c r="L571" s="4">
        <v>2</v>
      </c>
      <c r="M571" s="5">
        <v>248.95</v>
      </c>
      <c r="N571" s="4" t="s">
        <v>34</v>
      </c>
      <c r="O571" s="5">
        <v>0</v>
      </c>
      <c r="P571" s="5">
        <v>0</v>
      </c>
      <c r="Q571" s="5">
        <v>22.41</v>
      </c>
      <c r="R571" s="5">
        <v>271.36</v>
      </c>
      <c r="S571" s="4" t="s">
        <v>123</v>
      </c>
      <c r="T571" s="4" t="s">
        <v>144</v>
      </c>
      <c r="U571" s="4" t="s">
        <v>66</v>
      </c>
      <c r="V571" s="4" t="s">
        <v>1294</v>
      </c>
      <c r="W571" s="5">
        <v>0</v>
      </c>
    </row>
    <row r="572" spans="1:23" x14ac:dyDescent="0.3">
      <c r="A572" s="2" t="s">
        <v>3603</v>
      </c>
      <c r="B572" s="2" t="s">
        <v>489</v>
      </c>
      <c r="C572" s="2" t="s">
        <v>3604</v>
      </c>
      <c r="D572" s="2" t="s">
        <v>2713</v>
      </c>
      <c r="E572" s="2" t="s">
        <v>3605</v>
      </c>
      <c r="F572" s="2" t="s">
        <v>3606</v>
      </c>
      <c r="G572" s="2" t="s">
        <v>107</v>
      </c>
      <c r="H572" s="2" t="s">
        <v>108</v>
      </c>
      <c r="I572" s="2" t="s">
        <v>31</v>
      </c>
      <c r="J572" s="2" t="s">
        <v>3607</v>
      </c>
      <c r="K572" s="2" t="s">
        <v>33</v>
      </c>
      <c r="L572" s="2">
        <v>3</v>
      </c>
      <c r="M572" s="3">
        <v>184.95</v>
      </c>
      <c r="N572" s="2" t="s">
        <v>78</v>
      </c>
      <c r="O572" s="3">
        <v>18.5</v>
      </c>
      <c r="P572" s="3">
        <v>0</v>
      </c>
      <c r="Q572" s="3">
        <v>9.99</v>
      </c>
      <c r="R572" s="3">
        <v>176.44</v>
      </c>
      <c r="S572" s="2" t="s">
        <v>79</v>
      </c>
      <c r="T572" s="2" t="s">
        <v>36</v>
      </c>
      <c r="U572" s="2" t="s">
        <v>66</v>
      </c>
      <c r="V572" s="2" t="s">
        <v>54</v>
      </c>
      <c r="W572" s="3">
        <v>0</v>
      </c>
    </row>
    <row r="573" spans="1:23" x14ac:dyDescent="0.3">
      <c r="A573" s="4" t="s">
        <v>3608</v>
      </c>
      <c r="B573" s="4" t="s">
        <v>585</v>
      </c>
      <c r="C573" s="4" t="s">
        <v>3609</v>
      </c>
      <c r="D573" s="4" t="s">
        <v>2305</v>
      </c>
      <c r="E573" s="4" t="s">
        <v>3610</v>
      </c>
      <c r="F573" s="4" t="s">
        <v>3611</v>
      </c>
      <c r="G573" s="4" t="s">
        <v>190</v>
      </c>
      <c r="H573" s="4" t="s">
        <v>161</v>
      </c>
      <c r="I573" s="4" t="s">
        <v>31</v>
      </c>
      <c r="J573" s="4" t="s">
        <v>3612</v>
      </c>
      <c r="K573" s="4" t="s">
        <v>62</v>
      </c>
      <c r="L573" s="4">
        <v>3</v>
      </c>
      <c r="M573" s="5">
        <v>159.97</v>
      </c>
      <c r="N573" s="4" t="s">
        <v>34</v>
      </c>
      <c r="O573" s="5">
        <v>0</v>
      </c>
      <c r="P573" s="5">
        <v>0</v>
      </c>
      <c r="Q573" s="5">
        <v>13.6</v>
      </c>
      <c r="R573" s="5">
        <v>173.57</v>
      </c>
      <c r="S573" s="4" t="s">
        <v>437</v>
      </c>
      <c r="T573" s="4" t="s">
        <v>99</v>
      </c>
      <c r="U573" s="4" t="s">
        <v>317</v>
      </c>
      <c r="V573" s="4"/>
      <c r="W573" s="5">
        <v>0</v>
      </c>
    </row>
    <row r="574" spans="1:23" x14ac:dyDescent="0.3">
      <c r="A574" s="2" t="s">
        <v>3613</v>
      </c>
      <c r="B574" s="2" t="s">
        <v>656</v>
      </c>
      <c r="C574" s="2" t="s">
        <v>3614</v>
      </c>
      <c r="D574" s="2" t="s">
        <v>3615</v>
      </c>
      <c r="E574" s="2" t="s">
        <v>3616</v>
      </c>
      <c r="F574" s="2" t="s">
        <v>3617</v>
      </c>
      <c r="G574" s="2" t="s">
        <v>190</v>
      </c>
      <c r="H574" s="2" t="s">
        <v>161</v>
      </c>
      <c r="I574" s="2" t="s">
        <v>31</v>
      </c>
      <c r="J574" s="2" t="s">
        <v>3618</v>
      </c>
      <c r="K574" s="2" t="s">
        <v>209</v>
      </c>
      <c r="L574" s="2">
        <v>2</v>
      </c>
      <c r="M574" s="3">
        <v>269.94</v>
      </c>
      <c r="N574" s="2" t="s">
        <v>163</v>
      </c>
      <c r="O574" s="3">
        <v>53.99</v>
      </c>
      <c r="P574" s="3">
        <v>0</v>
      </c>
      <c r="Q574" s="3">
        <v>19.440000000000001</v>
      </c>
      <c r="R574" s="3">
        <v>235.39</v>
      </c>
      <c r="S574" s="2" t="s">
        <v>64</v>
      </c>
      <c r="T574" s="2" t="s">
        <v>99</v>
      </c>
      <c r="U574" s="2" t="s">
        <v>37</v>
      </c>
      <c r="V574" s="2" t="s">
        <v>945</v>
      </c>
      <c r="W574" s="3">
        <v>235.39</v>
      </c>
    </row>
    <row r="575" spans="1:23" x14ac:dyDescent="0.3">
      <c r="A575" s="4" t="s">
        <v>3619</v>
      </c>
      <c r="B575" s="4" t="s">
        <v>2406</v>
      </c>
      <c r="C575" s="4" t="s">
        <v>3620</v>
      </c>
      <c r="D575" s="4" t="s">
        <v>3621</v>
      </c>
      <c r="E575" s="4" t="s">
        <v>3622</v>
      </c>
      <c r="F575" s="4" t="s">
        <v>3623</v>
      </c>
      <c r="G575" s="4" t="s">
        <v>640</v>
      </c>
      <c r="H575" s="4" t="s">
        <v>161</v>
      </c>
      <c r="I575" s="4" t="s">
        <v>31</v>
      </c>
      <c r="J575" s="4" t="s">
        <v>172</v>
      </c>
      <c r="K575" s="4" t="s">
        <v>122</v>
      </c>
      <c r="L575" s="4">
        <v>1</v>
      </c>
      <c r="M575" s="5">
        <v>69.989999999999995</v>
      </c>
      <c r="N575" s="4" t="s">
        <v>34</v>
      </c>
      <c r="O575" s="5">
        <v>0</v>
      </c>
      <c r="P575" s="5">
        <v>5.99</v>
      </c>
      <c r="Q575" s="5">
        <v>4.2</v>
      </c>
      <c r="R575" s="5">
        <v>80.180000000000007</v>
      </c>
      <c r="S575" s="4" t="s">
        <v>64</v>
      </c>
      <c r="T575" s="4" t="s">
        <v>50</v>
      </c>
      <c r="U575" s="4" t="s">
        <v>66</v>
      </c>
      <c r="V575" s="4" t="s">
        <v>957</v>
      </c>
      <c r="W575" s="5">
        <v>0</v>
      </c>
    </row>
    <row r="576" spans="1:23" x14ac:dyDescent="0.3">
      <c r="A576" s="2" t="s">
        <v>3624</v>
      </c>
      <c r="B576" s="2" t="s">
        <v>527</v>
      </c>
      <c r="C576" s="2" t="s">
        <v>3625</v>
      </c>
      <c r="D576" s="2" t="s">
        <v>3626</v>
      </c>
      <c r="E576" s="2" t="s">
        <v>3627</v>
      </c>
      <c r="F576" s="2" t="s">
        <v>3628</v>
      </c>
      <c r="G576" s="2" t="s">
        <v>107</v>
      </c>
      <c r="H576" s="2" t="s">
        <v>108</v>
      </c>
      <c r="I576" s="2" t="s">
        <v>31</v>
      </c>
      <c r="J576" s="2" t="s">
        <v>3629</v>
      </c>
      <c r="K576" s="2" t="s">
        <v>143</v>
      </c>
      <c r="L576" s="2">
        <v>2</v>
      </c>
      <c r="M576" s="3">
        <v>284.95999999999998</v>
      </c>
      <c r="N576" s="2" t="s">
        <v>34</v>
      </c>
      <c r="O576" s="3">
        <v>0</v>
      </c>
      <c r="P576" s="3">
        <v>0</v>
      </c>
      <c r="Q576" s="3">
        <v>28.5</v>
      </c>
      <c r="R576" s="3">
        <v>313.45999999999998</v>
      </c>
      <c r="S576" s="2" t="s">
        <v>111</v>
      </c>
      <c r="T576" s="2" t="s">
        <v>144</v>
      </c>
      <c r="U576" s="2" t="s">
        <v>317</v>
      </c>
      <c r="V576" s="2"/>
      <c r="W576" s="3">
        <v>0</v>
      </c>
    </row>
    <row r="577" spans="1:23" x14ac:dyDescent="0.3">
      <c r="A577" s="4" t="s">
        <v>3630</v>
      </c>
      <c r="B577" s="4" t="s">
        <v>461</v>
      </c>
      <c r="C577" s="4" t="s">
        <v>3631</v>
      </c>
      <c r="D577" s="4" t="s">
        <v>3632</v>
      </c>
      <c r="E577" s="4" t="s">
        <v>3633</v>
      </c>
      <c r="F577" s="4" t="s">
        <v>3634</v>
      </c>
      <c r="G577" s="4" t="s">
        <v>29</v>
      </c>
      <c r="H577" s="4" t="s">
        <v>30</v>
      </c>
      <c r="I577" s="4" t="s">
        <v>31</v>
      </c>
      <c r="J577" s="4" t="s">
        <v>387</v>
      </c>
      <c r="K577" s="4" t="s">
        <v>33</v>
      </c>
      <c r="L577" s="4">
        <v>1</v>
      </c>
      <c r="M577" s="5">
        <v>35.99</v>
      </c>
      <c r="N577" s="4" t="s">
        <v>78</v>
      </c>
      <c r="O577" s="5">
        <v>3.6</v>
      </c>
      <c r="P577" s="5">
        <v>4.99</v>
      </c>
      <c r="Q577" s="5">
        <v>2.92</v>
      </c>
      <c r="R577" s="5">
        <v>40.299999999999997</v>
      </c>
      <c r="S577" s="4" t="s">
        <v>123</v>
      </c>
      <c r="T577" s="4" t="s">
        <v>99</v>
      </c>
      <c r="U577" s="4" t="s">
        <v>51</v>
      </c>
      <c r="V577" s="4" t="s">
        <v>69</v>
      </c>
      <c r="W577" s="5">
        <v>0</v>
      </c>
    </row>
    <row r="578" spans="1:23" x14ac:dyDescent="0.3">
      <c r="A578" s="2" t="s">
        <v>3635</v>
      </c>
      <c r="B578" s="2" t="s">
        <v>1458</v>
      </c>
      <c r="C578" s="2" t="s">
        <v>3636</v>
      </c>
      <c r="D578" s="2" t="s">
        <v>3637</v>
      </c>
      <c r="E578" s="2" t="s">
        <v>3638</v>
      </c>
      <c r="F578" s="2" t="s">
        <v>3639</v>
      </c>
      <c r="G578" s="2" t="s">
        <v>291</v>
      </c>
      <c r="H578" s="2" t="s">
        <v>292</v>
      </c>
      <c r="I578" s="2" t="s">
        <v>31</v>
      </c>
      <c r="J578" s="2" t="s">
        <v>132</v>
      </c>
      <c r="K578" s="2" t="s">
        <v>48</v>
      </c>
      <c r="L578" s="2">
        <v>1</v>
      </c>
      <c r="M578" s="3">
        <v>129.97999999999999</v>
      </c>
      <c r="N578" s="2" t="s">
        <v>63</v>
      </c>
      <c r="O578" s="3">
        <v>32.49</v>
      </c>
      <c r="P578" s="3">
        <v>0</v>
      </c>
      <c r="Q578" s="3">
        <v>7.8</v>
      </c>
      <c r="R578" s="3">
        <v>105.29</v>
      </c>
      <c r="S578" s="2" t="s">
        <v>123</v>
      </c>
      <c r="T578" s="2" t="s">
        <v>99</v>
      </c>
      <c r="U578" s="2" t="s">
        <v>51</v>
      </c>
      <c r="V578" s="2" t="s">
        <v>311</v>
      </c>
      <c r="W578" s="3">
        <v>0</v>
      </c>
    </row>
    <row r="579" spans="1:23" x14ac:dyDescent="0.3">
      <c r="A579" s="4" t="s">
        <v>3640</v>
      </c>
      <c r="B579" s="4" t="s">
        <v>286</v>
      </c>
      <c r="C579" s="4" t="s">
        <v>3641</v>
      </c>
      <c r="D579" s="4" t="s">
        <v>3642</v>
      </c>
      <c r="E579" s="4" t="s">
        <v>3643</v>
      </c>
      <c r="F579" s="4" t="s">
        <v>3644</v>
      </c>
      <c r="G579" s="4" t="s">
        <v>282</v>
      </c>
      <c r="H579" s="4" t="s">
        <v>88</v>
      </c>
      <c r="I579" s="4" t="s">
        <v>31</v>
      </c>
      <c r="J579" s="4" t="s">
        <v>379</v>
      </c>
      <c r="K579" s="4" t="s">
        <v>209</v>
      </c>
      <c r="L579" s="4">
        <v>1</v>
      </c>
      <c r="M579" s="5">
        <v>89.99</v>
      </c>
      <c r="N579" s="4" t="s">
        <v>34</v>
      </c>
      <c r="O579" s="5">
        <v>0</v>
      </c>
      <c r="P579" s="5">
        <v>0</v>
      </c>
      <c r="Q579" s="5">
        <v>9</v>
      </c>
      <c r="R579" s="5">
        <v>98.99</v>
      </c>
      <c r="S579" s="4" t="s">
        <v>35</v>
      </c>
      <c r="T579" s="4" t="s">
        <v>173</v>
      </c>
      <c r="U579" s="4" t="s">
        <v>51</v>
      </c>
      <c r="V579" s="4" t="s">
        <v>1781</v>
      </c>
      <c r="W579" s="5">
        <v>0</v>
      </c>
    </row>
    <row r="580" spans="1:23" x14ac:dyDescent="0.3">
      <c r="A580" s="2" t="s">
        <v>3645</v>
      </c>
      <c r="B580" s="2" t="s">
        <v>1846</v>
      </c>
      <c r="C580" s="2" t="s">
        <v>3646</v>
      </c>
      <c r="D580" s="2" t="s">
        <v>3647</v>
      </c>
      <c r="E580" s="2" t="s">
        <v>3648</v>
      </c>
      <c r="F580" s="2" t="s">
        <v>3649</v>
      </c>
      <c r="G580" s="2" t="s">
        <v>1183</v>
      </c>
      <c r="H580" s="2" t="s">
        <v>88</v>
      </c>
      <c r="I580" s="2" t="s">
        <v>31</v>
      </c>
      <c r="J580" s="2" t="s">
        <v>109</v>
      </c>
      <c r="K580" s="2" t="s">
        <v>110</v>
      </c>
      <c r="L580" s="2">
        <v>1</v>
      </c>
      <c r="M580" s="3">
        <v>68.97</v>
      </c>
      <c r="N580" s="2" t="s">
        <v>34</v>
      </c>
      <c r="O580" s="3">
        <v>0</v>
      </c>
      <c r="P580" s="3">
        <v>9.99</v>
      </c>
      <c r="Q580" s="3">
        <v>6.9</v>
      </c>
      <c r="R580" s="3">
        <v>85.86</v>
      </c>
      <c r="S580" s="2" t="s">
        <v>332</v>
      </c>
      <c r="T580" s="2" t="s">
        <v>99</v>
      </c>
      <c r="U580" s="2" t="s">
        <v>51</v>
      </c>
      <c r="V580" s="2" t="s">
        <v>2865</v>
      </c>
      <c r="W580" s="3">
        <v>0</v>
      </c>
    </row>
    <row r="581" spans="1:23" x14ac:dyDescent="0.3">
      <c r="A581" s="4" t="s">
        <v>3650</v>
      </c>
      <c r="B581" s="4" t="s">
        <v>1703</v>
      </c>
      <c r="C581" s="4" t="s">
        <v>3651</v>
      </c>
      <c r="D581" s="4" t="s">
        <v>3652</v>
      </c>
      <c r="E581" s="4" t="s">
        <v>3653</v>
      </c>
      <c r="F581" s="4" t="s">
        <v>3654</v>
      </c>
      <c r="G581" s="4" t="s">
        <v>87</v>
      </c>
      <c r="H581" s="4" t="s">
        <v>88</v>
      </c>
      <c r="I581" s="4" t="s">
        <v>31</v>
      </c>
      <c r="J581" s="4" t="s">
        <v>191</v>
      </c>
      <c r="K581" s="4" t="s">
        <v>77</v>
      </c>
      <c r="L581" s="4">
        <v>1</v>
      </c>
      <c r="M581" s="5">
        <v>24.99</v>
      </c>
      <c r="N581" s="4" t="s">
        <v>34</v>
      </c>
      <c r="O581" s="5">
        <v>0</v>
      </c>
      <c r="P581" s="5">
        <v>4.99</v>
      </c>
      <c r="Q581" s="5">
        <v>2</v>
      </c>
      <c r="R581" s="5">
        <v>31.98</v>
      </c>
      <c r="S581" s="4" t="s">
        <v>35</v>
      </c>
      <c r="T581" s="4" t="s">
        <v>183</v>
      </c>
      <c r="U581" s="4" t="s">
        <v>66</v>
      </c>
      <c r="V581" s="4" t="s">
        <v>463</v>
      </c>
      <c r="W581" s="5">
        <v>0</v>
      </c>
    </row>
    <row r="582" spans="1:23" x14ac:dyDescent="0.3">
      <c r="A582" s="2" t="s">
        <v>3655</v>
      </c>
      <c r="B582" s="2" t="s">
        <v>917</v>
      </c>
      <c r="C582" s="2" t="s">
        <v>3656</v>
      </c>
      <c r="D582" s="2" t="s">
        <v>3657</v>
      </c>
      <c r="E582" s="2" t="s">
        <v>3658</v>
      </c>
      <c r="F582" s="2" t="s">
        <v>3659</v>
      </c>
      <c r="G582" s="2" t="s">
        <v>207</v>
      </c>
      <c r="H582" s="2" t="s">
        <v>141</v>
      </c>
      <c r="I582" s="2" t="s">
        <v>31</v>
      </c>
      <c r="J582" s="2" t="s">
        <v>1997</v>
      </c>
      <c r="K582" s="2" t="s">
        <v>143</v>
      </c>
      <c r="L582" s="2">
        <v>1</v>
      </c>
      <c r="M582" s="3">
        <v>129.99</v>
      </c>
      <c r="N582" s="2" t="s">
        <v>49</v>
      </c>
      <c r="O582" s="3">
        <v>19.5</v>
      </c>
      <c r="P582" s="3">
        <v>0</v>
      </c>
      <c r="Q582" s="3">
        <v>11.05</v>
      </c>
      <c r="R582" s="3">
        <v>121.54</v>
      </c>
      <c r="S582" s="2" t="s">
        <v>35</v>
      </c>
      <c r="T582" s="2" t="s">
        <v>99</v>
      </c>
      <c r="U582" s="2" t="s">
        <v>51</v>
      </c>
      <c r="V582" s="2" t="s">
        <v>1683</v>
      </c>
      <c r="W582" s="3">
        <v>0</v>
      </c>
    </row>
    <row r="583" spans="1:23" x14ac:dyDescent="0.3">
      <c r="A583" s="4" t="s">
        <v>3660</v>
      </c>
      <c r="B583" s="4" t="s">
        <v>69</v>
      </c>
      <c r="C583" s="4" t="s">
        <v>3661</v>
      </c>
      <c r="D583" s="4" t="s">
        <v>3662</v>
      </c>
      <c r="E583" s="4" t="s">
        <v>3663</v>
      </c>
      <c r="F583" s="4" t="s">
        <v>3664</v>
      </c>
      <c r="G583" s="4" t="s">
        <v>1730</v>
      </c>
      <c r="H583" s="4" t="s">
        <v>161</v>
      </c>
      <c r="I583" s="4" t="s">
        <v>31</v>
      </c>
      <c r="J583" s="4" t="s">
        <v>2907</v>
      </c>
      <c r="K583" s="4" t="s">
        <v>110</v>
      </c>
      <c r="L583" s="4">
        <v>2</v>
      </c>
      <c r="M583" s="5">
        <v>57.98</v>
      </c>
      <c r="N583" s="4" t="s">
        <v>152</v>
      </c>
      <c r="O583" s="5">
        <v>2.9</v>
      </c>
      <c r="P583" s="5">
        <v>4.99</v>
      </c>
      <c r="Q583" s="5">
        <v>3.3</v>
      </c>
      <c r="R583" s="5">
        <v>63.37</v>
      </c>
      <c r="S583" s="4" t="s">
        <v>35</v>
      </c>
      <c r="T583" s="4" t="s">
        <v>183</v>
      </c>
      <c r="U583" s="4" t="s">
        <v>66</v>
      </c>
      <c r="V583" s="4" t="s">
        <v>2839</v>
      </c>
      <c r="W583" s="5">
        <v>0</v>
      </c>
    </row>
    <row r="584" spans="1:23" x14ac:dyDescent="0.3">
      <c r="A584" s="2" t="s">
        <v>3665</v>
      </c>
      <c r="B584" s="2" t="s">
        <v>570</v>
      </c>
      <c r="C584" s="2" t="s">
        <v>3666</v>
      </c>
      <c r="D584" s="2" t="s">
        <v>3667</v>
      </c>
      <c r="E584" s="2" t="s">
        <v>3668</v>
      </c>
      <c r="F584" s="2" t="s">
        <v>3669</v>
      </c>
      <c r="G584" s="2" t="s">
        <v>180</v>
      </c>
      <c r="H584" s="2" t="s">
        <v>181</v>
      </c>
      <c r="I584" s="2" t="s">
        <v>31</v>
      </c>
      <c r="J584" s="2" t="s">
        <v>3670</v>
      </c>
      <c r="K584" s="2" t="s">
        <v>209</v>
      </c>
      <c r="L584" s="2">
        <v>4</v>
      </c>
      <c r="M584" s="3">
        <v>213.95</v>
      </c>
      <c r="N584" s="2" t="s">
        <v>78</v>
      </c>
      <c r="O584" s="3">
        <v>21.4</v>
      </c>
      <c r="P584" s="3">
        <v>0</v>
      </c>
      <c r="Q584" s="3">
        <v>11.55</v>
      </c>
      <c r="R584" s="3">
        <v>204.1</v>
      </c>
      <c r="S584" s="2" t="s">
        <v>35</v>
      </c>
      <c r="T584" s="2" t="s">
        <v>144</v>
      </c>
      <c r="U584" s="2" t="s">
        <v>317</v>
      </c>
      <c r="V584" s="2"/>
      <c r="W584" s="3">
        <v>0</v>
      </c>
    </row>
    <row r="585" spans="1:23" x14ac:dyDescent="0.3">
      <c r="A585" s="4" t="s">
        <v>3671</v>
      </c>
      <c r="B585" s="4" t="s">
        <v>166</v>
      </c>
      <c r="C585" s="4" t="s">
        <v>3672</v>
      </c>
      <c r="D585" s="4" t="s">
        <v>3673</v>
      </c>
      <c r="E585" s="4" t="s">
        <v>3674</v>
      </c>
      <c r="F585" s="4" t="s">
        <v>3675</v>
      </c>
      <c r="G585" s="4" t="s">
        <v>45</v>
      </c>
      <c r="H585" s="4" t="s">
        <v>46</v>
      </c>
      <c r="I585" s="4" t="s">
        <v>31</v>
      </c>
      <c r="J585" s="4" t="s">
        <v>3676</v>
      </c>
      <c r="K585" s="4" t="s">
        <v>110</v>
      </c>
      <c r="L585" s="4">
        <v>1</v>
      </c>
      <c r="M585" s="5">
        <v>79.98</v>
      </c>
      <c r="N585" s="4" t="s">
        <v>49</v>
      </c>
      <c r="O585" s="5">
        <v>12</v>
      </c>
      <c r="P585" s="5">
        <v>0</v>
      </c>
      <c r="Q585" s="5">
        <v>6.8</v>
      </c>
      <c r="R585" s="5">
        <v>74.78</v>
      </c>
      <c r="S585" s="4" t="s">
        <v>123</v>
      </c>
      <c r="T585" s="4" t="s">
        <v>99</v>
      </c>
      <c r="U585" s="4" t="s">
        <v>37</v>
      </c>
      <c r="V585" s="4" t="s">
        <v>1194</v>
      </c>
      <c r="W585" s="5">
        <v>74.78</v>
      </c>
    </row>
    <row r="586" spans="1:23" x14ac:dyDescent="0.3">
      <c r="A586" s="2" t="s">
        <v>3677</v>
      </c>
      <c r="B586" s="2" t="s">
        <v>1546</v>
      </c>
      <c r="C586" s="2" t="s">
        <v>3678</v>
      </c>
      <c r="D586" s="2" t="s">
        <v>3679</v>
      </c>
      <c r="E586" s="2" t="s">
        <v>3680</v>
      </c>
      <c r="F586" s="2" t="s">
        <v>3681</v>
      </c>
      <c r="G586" s="2" t="s">
        <v>347</v>
      </c>
      <c r="H586" s="2" t="s">
        <v>60</v>
      </c>
      <c r="I586" s="2" t="s">
        <v>31</v>
      </c>
      <c r="J586" s="2" t="s">
        <v>3682</v>
      </c>
      <c r="K586" s="2" t="s">
        <v>77</v>
      </c>
      <c r="L586" s="2">
        <v>1</v>
      </c>
      <c r="M586" s="3">
        <v>69.98</v>
      </c>
      <c r="N586" s="2" t="s">
        <v>78</v>
      </c>
      <c r="O586" s="3">
        <v>7</v>
      </c>
      <c r="P586" s="3">
        <v>5.99</v>
      </c>
      <c r="Q586" s="3">
        <v>6.3</v>
      </c>
      <c r="R586" s="3">
        <v>75.27</v>
      </c>
      <c r="S586" s="2" t="s">
        <v>64</v>
      </c>
      <c r="T586" s="2" t="s">
        <v>65</v>
      </c>
      <c r="U586" s="2" t="s">
        <v>66</v>
      </c>
      <c r="V586" s="2" t="s">
        <v>2171</v>
      </c>
      <c r="W586" s="3">
        <v>0</v>
      </c>
    </row>
    <row r="587" spans="1:23" x14ac:dyDescent="0.3">
      <c r="A587" s="4" t="s">
        <v>3683</v>
      </c>
      <c r="B587" s="4" t="s">
        <v>1488</v>
      </c>
      <c r="C587" s="4" t="s">
        <v>3684</v>
      </c>
      <c r="D587" s="4" t="s">
        <v>3685</v>
      </c>
      <c r="E587" s="4" t="s">
        <v>3686</v>
      </c>
      <c r="F587" s="4" t="s">
        <v>3687</v>
      </c>
      <c r="G587" s="4" t="s">
        <v>45</v>
      </c>
      <c r="H587" s="4" t="s">
        <v>46</v>
      </c>
      <c r="I587" s="4" t="s">
        <v>31</v>
      </c>
      <c r="J587" s="4" t="s">
        <v>444</v>
      </c>
      <c r="K587" s="4" t="s">
        <v>48</v>
      </c>
      <c r="L587" s="4">
        <v>1</v>
      </c>
      <c r="M587" s="5">
        <v>64.989999999999995</v>
      </c>
      <c r="N587" s="4" t="s">
        <v>63</v>
      </c>
      <c r="O587" s="5">
        <v>16.25</v>
      </c>
      <c r="P587" s="5">
        <v>7.99</v>
      </c>
      <c r="Q587" s="5">
        <v>3.9</v>
      </c>
      <c r="R587" s="5">
        <v>60.63</v>
      </c>
      <c r="S587" s="4" t="s">
        <v>64</v>
      </c>
      <c r="T587" s="4" t="s">
        <v>36</v>
      </c>
      <c r="U587" s="4" t="s">
        <v>37</v>
      </c>
      <c r="V587" s="4" t="s">
        <v>838</v>
      </c>
      <c r="W587" s="5">
        <v>60.63</v>
      </c>
    </row>
    <row r="588" spans="1:23" x14ac:dyDescent="0.3">
      <c r="A588" s="2" t="s">
        <v>3688</v>
      </c>
      <c r="B588" s="2" t="s">
        <v>669</v>
      </c>
      <c r="C588" s="2" t="s">
        <v>3689</v>
      </c>
      <c r="D588" s="2" t="s">
        <v>1385</v>
      </c>
      <c r="E588" s="2" t="s">
        <v>3690</v>
      </c>
      <c r="F588" s="2" t="s">
        <v>3691</v>
      </c>
      <c r="G588" s="2" t="s">
        <v>74</v>
      </c>
      <c r="H588" s="2" t="s">
        <v>75</v>
      </c>
      <c r="I588" s="2" t="s">
        <v>31</v>
      </c>
      <c r="J588" s="2" t="s">
        <v>577</v>
      </c>
      <c r="K588" s="2" t="s">
        <v>364</v>
      </c>
      <c r="L588" s="2">
        <v>1</v>
      </c>
      <c r="M588" s="3">
        <v>19.989999999999998</v>
      </c>
      <c r="N588" s="2" t="s">
        <v>78</v>
      </c>
      <c r="O588" s="3">
        <v>2</v>
      </c>
      <c r="P588" s="3">
        <v>4.99</v>
      </c>
      <c r="Q588" s="3">
        <v>1.26</v>
      </c>
      <c r="R588" s="3">
        <v>24.24</v>
      </c>
      <c r="S588" s="2" t="s">
        <v>123</v>
      </c>
      <c r="T588" s="2" t="s">
        <v>99</v>
      </c>
      <c r="U588" s="2" t="s">
        <v>66</v>
      </c>
      <c r="V588" s="2" t="s">
        <v>1521</v>
      </c>
      <c r="W588" s="3">
        <v>0</v>
      </c>
    </row>
    <row r="589" spans="1:23" x14ac:dyDescent="0.3">
      <c r="A589" s="4" t="s">
        <v>3692</v>
      </c>
      <c r="B589" s="4" t="s">
        <v>1490</v>
      </c>
      <c r="C589" s="4" t="s">
        <v>3693</v>
      </c>
      <c r="D589" s="4" t="s">
        <v>3694</v>
      </c>
      <c r="E589" s="4" t="s">
        <v>3695</v>
      </c>
      <c r="F589" s="4" t="s">
        <v>3696</v>
      </c>
      <c r="G589" s="4" t="s">
        <v>323</v>
      </c>
      <c r="H589" s="4" t="s">
        <v>324</v>
      </c>
      <c r="I589" s="4" t="s">
        <v>31</v>
      </c>
      <c r="J589" s="4" t="s">
        <v>3697</v>
      </c>
      <c r="K589" s="4" t="s">
        <v>209</v>
      </c>
      <c r="L589" s="4">
        <v>4</v>
      </c>
      <c r="M589" s="5">
        <v>147.96</v>
      </c>
      <c r="N589" s="4" t="s">
        <v>78</v>
      </c>
      <c r="O589" s="5">
        <v>14.8</v>
      </c>
      <c r="P589" s="5">
        <v>0</v>
      </c>
      <c r="Q589" s="5">
        <v>10.65</v>
      </c>
      <c r="R589" s="5">
        <v>143.81</v>
      </c>
      <c r="S589" s="4" t="s">
        <v>35</v>
      </c>
      <c r="T589" s="4" t="s">
        <v>36</v>
      </c>
      <c r="U589" s="4" t="s">
        <v>317</v>
      </c>
      <c r="V589" s="4"/>
      <c r="W589" s="5">
        <v>0</v>
      </c>
    </row>
    <row r="590" spans="1:23" x14ac:dyDescent="0.3">
      <c r="A590" s="2" t="s">
        <v>3698</v>
      </c>
      <c r="B590" s="2" t="s">
        <v>256</v>
      </c>
      <c r="C590" s="2" t="s">
        <v>3699</v>
      </c>
      <c r="D590" s="2" t="s">
        <v>3700</v>
      </c>
      <c r="E590" s="2" t="s">
        <v>3701</v>
      </c>
      <c r="F590" s="2" t="s">
        <v>3702</v>
      </c>
      <c r="G590" s="2" t="s">
        <v>59</v>
      </c>
      <c r="H590" s="2" t="s">
        <v>60</v>
      </c>
      <c r="I590" s="2" t="s">
        <v>31</v>
      </c>
      <c r="J590" s="2" t="s">
        <v>283</v>
      </c>
      <c r="K590" s="2" t="s">
        <v>209</v>
      </c>
      <c r="L590" s="2">
        <v>1</v>
      </c>
      <c r="M590" s="3">
        <v>49.99</v>
      </c>
      <c r="N590" s="2" t="s">
        <v>34</v>
      </c>
      <c r="O590" s="3">
        <v>0</v>
      </c>
      <c r="P590" s="3">
        <v>5.99</v>
      </c>
      <c r="Q590" s="3">
        <v>3</v>
      </c>
      <c r="R590" s="3">
        <v>58.98</v>
      </c>
      <c r="S590" s="2" t="s">
        <v>35</v>
      </c>
      <c r="T590" s="2" t="s">
        <v>99</v>
      </c>
      <c r="U590" s="2" t="s">
        <v>66</v>
      </c>
      <c r="V590" s="2" t="s">
        <v>2015</v>
      </c>
      <c r="W590" s="3">
        <v>0</v>
      </c>
    </row>
    <row r="591" spans="1:23" x14ac:dyDescent="0.3">
      <c r="A591" s="4" t="s">
        <v>3703</v>
      </c>
      <c r="B591" s="4" t="s">
        <v>482</v>
      </c>
      <c r="C591" s="4" t="s">
        <v>3704</v>
      </c>
      <c r="D591" s="4" t="s">
        <v>3705</v>
      </c>
      <c r="E591" s="4" t="s">
        <v>3706</v>
      </c>
      <c r="F591" s="4" t="s">
        <v>3707</v>
      </c>
      <c r="G591" s="4" t="s">
        <v>291</v>
      </c>
      <c r="H591" s="4" t="s">
        <v>292</v>
      </c>
      <c r="I591" s="4" t="s">
        <v>31</v>
      </c>
      <c r="J591" s="4" t="s">
        <v>1695</v>
      </c>
      <c r="K591" s="4" t="s">
        <v>33</v>
      </c>
      <c r="L591" s="4">
        <v>1</v>
      </c>
      <c r="M591" s="5">
        <v>71.98</v>
      </c>
      <c r="N591" s="4" t="s">
        <v>78</v>
      </c>
      <c r="O591" s="5">
        <v>7.2</v>
      </c>
      <c r="P591" s="5">
        <v>9.99</v>
      </c>
      <c r="Q591" s="5">
        <v>4.53</v>
      </c>
      <c r="R591" s="5">
        <v>79.3</v>
      </c>
      <c r="S591" s="4" t="s">
        <v>35</v>
      </c>
      <c r="T591" s="4" t="s">
        <v>99</v>
      </c>
      <c r="U591" s="4" t="s">
        <v>66</v>
      </c>
      <c r="V591" s="4" t="s">
        <v>2886</v>
      </c>
      <c r="W591" s="5">
        <v>0</v>
      </c>
    </row>
    <row r="592" spans="1:23" x14ac:dyDescent="0.3">
      <c r="A592" s="2" t="s">
        <v>3708</v>
      </c>
      <c r="B592" s="2" t="s">
        <v>1873</v>
      </c>
      <c r="C592" s="2" t="s">
        <v>3709</v>
      </c>
      <c r="D592" s="2" t="s">
        <v>3710</v>
      </c>
      <c r="E592" s="2" t="s">
        <v>3711</v>
      </c>
      <c r="F592" s="2" t="s">
        <v>3712</v>
      </c>
      <c r="G592" s="2" t="s">
        <v>640</v>
      </c>
      <c r="H592" s="2" t="s">
        <v>161</v>
      </c>
      <c r="I592" s="2" t="s">
        <v>31</v>
      </c>
      <c r="J592" s="2" t="s">
        <v>3713</v>
      </c>
      <c r="K592" s="2" t="s">
        <v>122</v>
      </c>
      <c r="L592" s="2">
        <v>4</v>
      </c>
      <c r="M592" s="3">
        <v>234.95</v>
      </c>
      <c r="N592" s="2" t="s">
        <v>34</v>
      </c>
      <c r="O592" s="3">
        <v>0</v>
      </c>
      <c r="P592" s="3">
        <v>0</v>
      </c>
      <c r="Q592" s="3">
        <v>23.5</v>
      </c>
      <c r="R592" s="3">
        <v>258.45</v>
      </c>
      <c r="S592" s="2" t="s">
        <v>123</v>
      </c>
      <c r="T592" s="2" t="s">
        <v>99</v>
      </c>
      <c r="U592" s="2" t="s">
        <v>66</v>
      </c>
      <c r="V592" s="2" t="s">
        <v>166</v>
      </c>
      <c r="W592" s="3">
        <v>0</v>
      </c>
    </row>
    <row r="593" spans="1:23" x14ac:dyDescent="0.3">
      <c r="A593" s="4" t="s">
        <v>3714</v>
      </c>
      <c r="B593" s="4" t="s">
        <v>2647</v>
      </c>
      <c r="C593" s="4" t="s">
        <v>3715</v>
      </c>
      <c r="D593" s="4" t="s">
        <v>3716</v>
      </c>
      <c r="E593" s="4" t="s">
        <v>3717</v>
      </c>
      <c r="F593" s="4" t="s">
        <v>3718</v>
      </c>
      <c r="G593" s="4" t="s">
        <v>323</v>
      </c>
      <c r="H593" s="4" t="s">
        <v>324</v>
      </c>
      <c r="I593" s="4" t="s">
        <v>31</v>
      </c>
      <c r="J593" s="4" t="s">
        <v>1238</v>
      </c>
      <c r="K593" s="4" t="s">
        <v>209</v>
      </c>
      <c r="L593" s="4">
        <v>1</v>
      </c>
      <c r="M593" s="5">
        <v>39.99</v>
      </c>
      <c r="N593" s="4" t="s">
        <v>34</v>
      </c>
      <c r="O593" s="5">
        <v>0</v>
      </c>
      <c r="P593" s="5">
        <v>7.99</v>
      </c>
      <c r="Q593" s="5">
        <v>2.8</v>
      </c>
      <c r="R593" s="5">
        <v>50.78</v>
      </c>
      <c r="S593" s="4" t="s">
        <v>123</v>
      </c>
      <c r="T593" s="4" t="s">
        <v>99</v>
      </c>
      <c r="U593" s="4" t="s">
        <v>66</v>
      </c>
      <c r="V593" s="4" t="s">
        <v>1199</v>
      </c>
      <c r="W593" s="5">
        <v>0</v>
      </c>
    </row>
    <row r="594" spans="1:23" x14ac:dyDescent="0.3">
      <c r="A594" s="2" t="s">
        <v>3719</v>
      </c>
      <c r="B594" s="2" t="s">
        <v>175</v>
      </c>
      <c r="C594" s="2" t="s">
        <v>3720</v>
      </c>
      <c r="D594" s="2" t="s">
        <v>3721</v>
      </c>
      <c r="E594" s="2" t="s">
        <v>3722</v>
      </c>
      <c r="F594" s="2" t="s">
        <v>3723</v>
      </c>
      <c r="G594" s="2" t="s">
        <v>29</v>
      </c>
      <c r="H594" s="2" t="s">
        <v>30</v>
      </c>
      <c r="I594" s="2" t="s">
        <v>31</v>
      </c>
      <c r="J594" s="2" t="s">
        <v>678</v>
      </c>
      <c r="K594" s="2" t="s">
        <v>679</v>
      </c>
      <c r="L594" s="2">
        <v>1</v>
      </c>
      <c r="M594" s="3">
        <v>14.99</v>
      </c>
      <c r="N594" s="2" t="s">
        <v>78</v>
      </c>
      <c r="O594" s="3">
        <v>1.5</v>
      </c>
      <c r="P594" s="3">
        <v>7.99</v>
      </c>
      <c r="Q594" s="3">
        <v>1.35</v>
      </c>
      <c r="R594" s="3">
        <v>22.83</v>
      </c>
      <c r="S594" s="2" t="s">
        <v>35</v>
      </c>
      <c r="T594" s="2" t="s">
        <v>173</v>
      </c>
      <c r="U594" s="2" t="s">
        <v>100</v>
      </c>
      <c r="V594" s="2"/>
      <c r="W594" s="3">
        <v>0</v>
      </c>
    </row>
    <row r="595" spans="1:23" x14ac:dyDescent="0.3">
      <c r="A595" s="4" t="s">
        <v>3724</v>
      </c>
      <c r="B595" s="4" t="s">
        <v>1582</v>
      </c>
      <c r="C595" s="4" t="s">
        <v>3725</v>
      </c>
      <c r="D595" s="4" t="s">
        <v>3726</v>
      </c>
      <c r="E595" s="4" t="s">
        <v>3727</v>
      </c>
      <c r="F595" s="4" t="s">
        <v>3728</v>
      </c>
      <c r="G595" s="4" t="s">
        <v>119</v>
      </c>
      <c r="H595" s="4" t="s">
        <v>120</v>
      </c>
      <c r="I595" s="4" t="s">
        <v>31</v>
      </c>
      <c r="J595" s="4" t="s">
        <v>3676</v>
      </c>
      <c r="K595" s="4" t="s">
        <v>110</v>
      </c>
      <c r="L595" s="4">
        <v>1</v>
      </c>
      <c r="M595" s="5">
        <v>79.98</v>
      </c>
      <c r="N595" s="4" t="s">
        <v>49</v>
      </c>
      <c r="O595" s="5">
        <v>12</v>
      </c>
      <c r="P595" s="5">
        <v>0</v>
      </c>
      <c r="Q595" s="5">
        <v>5.44</v>
      </c>
      <c r="R595" s="5">
        <v>73.42</v>
      </c>
      <c r="S595" s="4" t="s">
        <v>35</v>
      </c>
      <c r="T595" s="4" t="s">
        <v>99</v>
      </c>
      <c r="U595" s="4" t="s">
        <v>317</v>
      </c>
      <c r="V595" s="4"/>
      <c r="W595" s="5">
        <v>0</v>
      </c>
    </row>
    <row r="596" spans="1:23" x14ac:dyDescent="0.3">
      <c r="A596" s="2" t="s">
        <v>3729</v>
      </c>
      <c r="B596" s="2" t="s">
        <v>2222</v>
      </c>
      <c r="C596" s="2" t="s">
        <v>3730</v>
      </c>
      <c r="D596" s="2" t="s">
        <v>3731</v>
      </c>
      <c r="E596" s="2" t="s">
        <v>3732</v>
      </c>
      <c r="F596" s="2" t="s">
        <v>3733</v>
      </c>
      <c r="G596" s="2" t="s">
        <v>291</v>
      </c>
      <c r="H596" s="2" t="s">
        <v>292</v>
      </c>
      <c r="I596" s="2" t="s">
        <v>31</v>
      </c>
      <c r="J596" s="2" t="s">
        <v>3734</v>
      </c>
      <c r="K596" s="2" t="s">
        <v>62</v>
      </c>
      <c r="L596" s="2">
        <v>2</v>
      </c>
      <c r="M596" s="3">
        <v>54.98</v>
      </c>
      <c r="N596" s="2" t="s">
        <v>78</v>
      </c>
      <c r="O596" s="3">
        <v>5.5</v>
      </c>
      <c r="P596" s="3">
        <v>7.99</v>
      </c>
      <c r="Q596" s="3">
        <v>3.46</v>
      </c>
      <c r="R596" s="3">
        <v>60.93</v>
      </c>
      <c r="S596" s="2" t="s">
        <v>35</v>
      </c>
      <c r="T596" s="2" t="s">
        <v>173</v>
      </c>
      <c r="U596" s="2" t="s">
        <v>51</v>
      </c>
      <c r="V596" s="2" t="s">
        <v>609</v>
      </c>
      <c r="W596" s="3">
        <v>0</v>
      </c>
    </row>
    <row r="597" spans="1:23" x14ac:dyDescent="0.3">
      <c r="A597" s="4" t="s">
        <v>3735</v>
      </c>
      <c r="B597" s="4" t="s">
        <v>1529</v>
      </c>
      <c r="C597" s="4" t="s">
        <v>3736</v>
      </c>
      <c r="D597" s="4" t="s">
        <v>3737</v>
      </c>
      <c r="E597" s="4" t="s">
        <v>3738</v>
      </c>
      <c r="F597" s="4" t="s">
        <v>3739</v>
      </c>
      <c r="G597" s="4" t="s">
        <v>190</v>
      </c>
      <c r="H597" s="4" t="s">
        <v>161</v>
      </c>
      <c r="I597" s="4" t="s">
        <v>31</v>
      </c>
      <c r="J597" s="4" t="s">
        <v>632</v>
      </c>
      <c r="K597" s="4" t="s">
        <v>33</v>
      </c>
      <c r="L597" s="4">
        <v>1</v>
      </c>
      <c r="M597" s="5">
        <v>49.99</v>
      </c>
      <c r="N597" s="4" t="s">
        <v>78</v>
      </c>
      <c r="O597" s="5">
        <v>5</v>
      </c>
      <c r="P597" s="5">
        <v>5.99</v>
      </c>
      <c r="Q597" s="5">
        <v>3.6</v>
      </c>
      <c r="R597" s="5">
        <v>54.58</v>
      </c>
      <c r="S597" s="4" t="s">
        <v>123</v>
      </c>
      <c r="T597" s="4" t="s">
        <v>99</v>
      </c>
      <c r="U597" s="4" t="s">
        <v>66</v>
      </c>
      <c r="V597" s="4" t="s">
        <v>1215</v>
      </c>
      <c r="W597" s="5">
        <v>0</v>
      </c>
    </row>
    <row r="598" spans="1:23" x14ac:dyDescent="0.3">
      <c r="A598" s="2" t="s">
        <v>3740</v>
      </c>
      <c r="B598" s="2" t="s">
        <v>3741</v>
      </c>
      <c r="C598" s="2" t="s">
        <v>3742</v>
      </c>
      <c r="D598" s="2" t="s">
        <v>3743</v>
      </c>
      <c r="E598" s="2" t="s">
        <v>3744</v>
      </c>
      <c r="F598" s="2" t="s">
        <v>3745</v>
      </c>
      <c r="G598" s="2" t="s">
        <v>802</v>
      </c>
      <c r="H598" s="2" t="s">
        <v>88</v>
      </c>
      <c r="I598" s="2" t="s">
        <v>31</v>
      </c>
      <c r="J598" s="2" t="s">
        <v>2576</v>
      </c>
      <c r="K598" s="2" t="s">
        <v>33</v>
      </c>
      <c r="L598" s="2">
        <v>1</v>
      </c>
      <c r="M598" s="3">
        <v>99.98</v>
      </c>
      <c r="N598" s="2" t="s">
        <v>34</v>
      </c>
      <c r="O598" s="3">
        <v>0</v>
      </c>
      <c r="P598" s="3">
        <v>0</v>
      </c>
      <c r="Q598" s="3">
        <v>8</v>
      </c>
      <c r="R598" s="3">
        <v>107.98</v>
      </c>
      <c r="S598" s="2" t="s">
        <v>35</v>
      </c>
      <c r="T598" s="2" t="s">
        <v>65</v>
      </c>
      <c r="U598" s="2" t="s">
        <v>37</v>
      </c>
      <c r="V598" s="2" t="s">
        <v>3746</v>
      </c>
      <c r="W598" s="3">
        <v>107.98</v>
      </c>
    </row>
    <row r="599" spans="1:23" x14ac:dyDescent="0.3">
      <c r="A599" s="4" t="s">
        <v>3747</v>
      </c>
      <c r="B599" s="4" t="s">
        <v>1170</v>
      </c>
      <c r="C599" s="4" t="s">
        <v>3748</v>
      </c>
      <c r="D599" s="4" t="s">
        <v>187</v>
      </c>
      <c r="E599" s="4" t="s">
        <v>3749</v>
      </c>
      <c r="F599" s="4" t="s">
        <v>3750</v>
      </c>
      <c r="G599" s="4" t="s">
        <v>119</v>
      </c>
      <c r="H599" s="4" t="s">
        <v>120</v>
      </c>
      <c r="I599" s="4" t="s">
        <v>31</v>
      </c>
      <c r="J599" s="4" t="s">
        <v>3751</v>
      </c>
      <c r="K599" s="4" t="s">
        <v>77</v>
      </c>
      <c r="L599" s="4">
        <v>2</v>
      </c>
      <c r="M599" s="5">
        <v>115.97</v>
      </c>
      <c r="N599" s="4" t="s">
        <v>49</v>
      </c>
      <c r="O599" s="5">
        <v>17.399999999999999</v>
      </c>
      <c r="P599" s="5">
        <v>0</v>
      </c>
      <c r="Q599" s="5">
        <v>8.3800000000000008</v>
      </c>
      <c r="R599" s="5">
        <v>106.95</v>
      </c>
      <c r="S599" s="4" t="s">
        <v>437</v>
      </c>
      <c r="T599" s="4" t="s">
        <v>99</v>
      </c>
      <c r="U599" s="4" t="s">
        <v>66</v>
      </c>
      <c r="V599" s="4" t="s">
        <v>2963</v>
      </c>
      <c r="W599" s="5">
        <v>0</v>
      </c>
    </row>
    <row r="600" spans="1:23" x14ac:dyDescent="0.3">
      <c r="A600" s="2" t="s">
        <v>3752</v>
      </c>
      <c r="B600" s="2" t="s">
        <v>1055</v>
      </c>
      <c r="C600" s="2" t="s">
        <v>3753</v>
      </c>
      <c r="D600" s="2" t="s">
        <v>3754</v>
      </c>
      <c r="E600" s="2" t="s">
        <v>3755</v>
      </c>
      <c r="F600" s="2" t="s">
        <v>3756</v>
      </c>
      <c r="G600" s="2" t="s">
        <v>282</v>
      </c>
      <c r="H600" s="2" t="s">
        <v>88</v>
      </c>
      <c r="I600" s="2" t="s">
        <v>31</v>
      </c>
      <c r="J600" s="2" t="s">
        <v>1340</v>
      </c>
      <c r="K600" s="2" t="s">
        <v>209</v>
      </c>
      <c r="L600" s="2">
        <v>1</v>
      </c>
      <c r="M600" s="3">
        <v>119.99</v>
      </c>
      <c r="N600" s="2" t="s">
        <v>34</v>
      </c>
      <c r="O600" s="3">
        <v>0</v>
      </c>
      <c r="P600" s="3">
        <v>0</v>
      </c>
      <c r="Q600" s="3">
        <v>9.6</v>
      </c>
      <c r="R600" s="3">
        <v>129.59</v>
      </c>
      <c r="S600" s="2" t="s">
        <v>35</v>
      </c>
      <c r="T600" s="2" t="s">
        <v>99</v>
      </c>
      <c r="U600" s="2" t="s">
        <v>100</v>
      </c>
      <c r="V600" s="2"/>
      <c r="W600" s="3">
        <v>0</v>
      </c>
    </row>
    <row r="601" spans="1:23" x14ac:dyDescent="0.3">
      <c r="A601" s="4" t="s">
        <v>3757</v>
      </c>
      <c r="B601" s="4" t="s">
        <v>595</v>
      </c>
      <c r="C601" s="4" t="s">
        <v>3758</v>
      </c>
      <c r="D601" s="4" t="s">
        <v>3759</v>
      </c>
      <c r="E601" s="4" t="s">
        <v>3760</v>
      </c>
      <c r="F601" s="4" t="s">
        <v>3761</v>
      </c>
      <c r="G601" s="4" t="s">
        <v>140</v>
      </c>
      <c r="H601" s="4" t="s">
        <v>141</v>
      </c>
      <c r="I601" s="4" t="s">
        <v>31</v>
      </c>
      <c r="J601" s="4" t="s">
        <v>3762</v>
      </c>
      <c r="K601" s="4" t="s">
        <v>33</v>
      </c>
      <c r="L601" s="4">
        <v>2</v>
      </c>
      <c r="M601" s="5">
        <v>68.98</v>
      </c>
      <c r="N601" s="4" t="s">
        <v>163</v>
      </c>
      <c r="O601" s="5">
        <v>13.8</v>
      </c>
      <c r="P601" s="5">
        <v>9.99</v>
      </c>
      <c r="Q601" s="5">
        <v>4.6900000000000004</v>
      </c>
      <c r="R601" s="5">
        <v>69.86</v>
      </c>
      <c r="S601" s="4" t="s">
        <v>123</v>
      </c>
      <c r="T601" s="4" t="s">
        <v>65</v>
      </c>
      <c r="U601" s="4" t="s">
        <v>66</v>
      </c>
      <c r="V601" s="4" t="s">
        <v>82</v>
      </c>
      <c r="W601" s="5">
        <v>0</v>
      </c>
    </row>
    <row r="602" spans="1:23" x14ac:dyDescent="0.3">
      <c r="A602" s="2" t="s">
        <v>3763</v>
      </c>
      <c r="B602" s="2" t="s">
        <v>202</v>
      </c>
      <c r="C602" s="2" t="s">
        <v>3764</v>
      </c>
      <c r="D602" s="2" t="s">
        <v>3765</v>
      </c>
      <c r="E602" s="2" t="s">
        <v>3766</v>
      </c>
      <c r="F602" s="2" t="s">
        <v>3767</v>
      </c>
      <c r="G602" s="2" t="s">
        <v>242</v>
      </c>
      <c r="H602" s="2" t="s">
        <v>243</v>
      </c>
      <c r="I602" s="2" t="s">
        <v>31</v>
      </c>
      <c r="J602" s="2" t="s">
        <v>3768</v>
      </c>
      <c r="K602" s="2" t="s">
        <v>110</v>
      </c>
      <c r="L602" s="2">
        <v>2</v>
      </c>
      <c r="M602" s="3">
        <v>99.97</v>
      </c>
      <c r="N602" s="2" t="s">
        <v>49</v>
      </c>
      <c r="O602" s="3">
        <v>15</v>
      </c>
      <c r="P602" s="3">
        <v>0</v>
      </c>
      <c r="Q602" s="3">
        <v>5.95</v>
      </c>
      <c r="R602" s="3">
        <v>90.92</v>
      </c>
      <c r="S602" s="2" t="s">
        <v>123</v>
      </c>
      <c r="T602" s="2" t="s">
        <v>99</v>
      </c>
      <c r="U602" s="2" t="s">
        <v>37</v>
      </c>
      <c r="V602" s="2" t="s">
        <v>656</v>
      </c>
      <c r="W602" s="3">
        <v>90.92</v>
      </c>
    </row>
    <row r="603" spans="1:23" x14ac:dyDescent="0.3">
      <c r="A603" s="4" t="s">
        <v>3769</v>
      </c>
      <c r="B603" s="4" t="s">
        <v>858</v>
      </c>
      <c r="C603" s="4" t="s">
        <v>3770</v>
      </c>
      <c r="D603" s="4" t="s">
        <v>3771</v>
      </c>
      <c r="E603" s="4" t="s">
        <v>3772</v>
      </c>
      <c r="F603" s="4" t="s">
        <v>3773</v>
      </c>
      <c r="G603" s="4" t="s">
        <v>131</v>
      </c>
      <c r="H603" s="4" t="s">
        <v>88</v>
      </c>
      <c r="I603" s="4" t="s">
        <v>31</v>
      </c>
      <c r="J603" s="4" t="s">
        <v>3774</v>
      </c>
      <c r="K603" s="4" t="s">
        <v>33</v>
      </c>
      <c r="L603" s="4">
        <v>2</v>
      </c>
      <c r="M603" s="5">
        <v>62.97</v>
      </c>
      <c r="N603" s="4" t="s">
        <v>152</v>
      </c>
      <c r="O603" s="5">
        <v>3.15</v>
      </c>
      <c r="P603" s="5">
        <v>4.99</v>
      </c>
      <c r="Q603" s="5">
        <v>5.98</v>
      </c>
      <c r="R603" s="5">
        <v>70.790000000000006</v>
      </c>
      <c r="S603" s="4" t="s">
        <v>35</v>
      </c>
      <c r="T603" s="4" t="s">
        <v>99</v>
      </c>
      <c r="U603" s="4" t="s">
        <v>100</v>
      </c>
      <c r="V603" s="4"/>
      <c r="W603" s="5">
        <v>0</v>
      </c>
    </row>
    <row r="604" spans="1:23" x14ac:dyDescent="0.3">
      <c r="A604" s="2" t="s">
        <v>3775</v>
      </c>
      <c r="B604" s="2" t="s">
        <v>277</v>
      </c>
      <c r="C604" s="2" t="s">
        <v>3776</v>
      </c>
      <c r="D604" s="2" t="s">
        <v>3777</v>
      </c>
      <c r="E604" s="2" t="s">
        <v>3778</v>
      </c>
      <c r="F604" s="2" t="s">
        <v>3779</v>
      </c>
      <c r="G604" s="2" t="s">
        <v>29</v>
      </c>
      <c r="H604" s="2" t="s">
        <v>30</v>
      </c>
      <c r="I604" s="2" t="s">
        <v>31</v>
      </c>
      <c r="J604" s="2" t="s">
        <v>379</v>
      </c>
      <c r="K604" s="2" t="s">
        <v>209</v>
      </c>
      <c r="L604" s="2">
        <v>1</v>
      </c>
      <c r="M604" s="3">
        <v>89.99</v>
      </c>
      <c r="N604" s="2" t="s">
        <v>34</v>
      </c>
      <c r="O604" s="3">
        <v>0</v>
      </c>
      <c r="P604" s="3">
        <v>0</v>
      </c>
      <c r="Q604" s="3">
        <v>8.1</v>
      </c>
      <c r="R604" s="3">
        <v>98.09</v>
      </c>
      <c r="S604" s="2" t="s">
        <v>35</v>
      </c>
      <c r="T604" s="2" t="s">
        <v>99</v>
      </c>
      <c r="U604" s="2" t="s">
        <v>100</v>
      </c>
      <c r="V604" s="2"/>
      <c r="W604" s="3">
        <v>0</v>
      </c>
    </row>
    <row r="605" spans="1:23" x14ac:dyDescent="0.3">
      <c r="A605" s="4" t="s">
        <v>3780</v>
      </c>
      <c r="B605" s="4" t="s">
        <v>2565</v>
      </c>
      <c r="C605" s="4" t="s">
        <v>3781</v>
      </c>
      <c r="D605" s="4" t="s">
        <v>3782</v>
      </c>
      <c r="E605" s="4" t="s">
        <v>3783</v>
      </c>
      <c r="F605" s="4" t="s">
        <v>3784</v>
      </c>
      <c r="G605" s="4" t="s">
        <v>1730</v>
      </c>
      <c r="H605" s="4" t="s">
        <v>161</v>
      </c>
      <c r="I605" s="4" t="s">
        <v>31</v>
      </c>
      <c r="J605" s="4" t="s">
        <v>3785</v>
      </c>
      <c r="K605" s="4" t="s">
        <v>48</v>
      </c>
      <c r="L605" s="4">
        <v>5</v>
      </c>
      <c r="M605" s="5">
        <v>464.93</v>
      </c>
      <c r="N605" s="4" t="s">
        <v>34</v>
      </c>
      <c r="O605" s="5">
        <v>0</v>
      </c>
      <c r="P605" s="5">
        <v>0</v>
      </c>
      <c r="Q605" s="5">
        <v>32.549999999999997</v>
      </c>
      <c r="R605" s="5">
        <v>497.48</v>
      </c>
      <c r="S605" s="4" t="s">
        <v>35</v>
      </c>
      <c r="T605" s="4" t="s">
        <v>144</v>
      </c>
      <c r="U605" s="4" t="s">
        <v>66</v>
      </c>
      <c r="V605" s="4" t="s">
        <v>326</v>
      </c>
      <c r="W605" s="5">
        <v>0</v>
      </c>
    </row>
    <row r="606" spans="1:23" x14ac:dyDescent="0.3">
      <c r="A606" s="2" t="s">
        <v>3786</v>
      </c>
      <c r="B606" s="2" t="s">
        <v>1341</v>
      </c>
      <c r="C606" s="2" t="s">
        <v>3787</v>
      </c>
      <c r="D606" s="2" t="s">
        <v>3363</v>
      </c>
      <c r="E606" s="2" t="s">
        <v>3788</v>
      </c>
      <c r="F606" s="2" t="s">
        <v>3789</v>
      </c>
      <c r="G606" s="2" t="s">
        <v>323</v>
      </c>
      <c r="H606" s="2" t="s">
        <v>324</v>
      </c>
      <c r="I606" s="2" t="s">
        <v>31</v>
      </c>
      <c r="J606" s="2" t="s">
        <v>3790</v>
      </c>
      <c r="K606" s="2" t="s">
        <v>143</v>
      </c>
      <c r="L606" s="2">
        <v>4</v>
      </c>
      <c r="M606" s="3">
        <v>317.95999999999998</v>
      </c>
      <c r="N606" s="2" t="s">
        <v>49</v>
      </c>
      <c r="O606" s="3">
        <v>47.69</v>
      </c>
      <c r="P606" s="3">
        <v>0</v>
      </c>
      <c r="Q606" s="3">
        <v>18.920000000000002</v>
      </c>
      <c r="R606" s="3">
        <v>289.19</v>
      </c>
      <c r="S606" s="2" t="s">
        <v>35</v>
      </c>
      <c r="T606" s="2" t="s">
        <v>173</v>
      </c>
      <c r="U606" s="2" t="s">
        <v>317</v>
      </c>
      <c r="V606" s="2"/>
      <c r="W606" s="3">
        <v>0</v>
      </c>
    </row>
    <row r="607" spans="1:23" x14ac:dyDescent="0.3">
      <c r="A607" s="4" t="s">
        <v>3791</v>
      </c>
      <c r="B607" s="4" t="s">
        <v>24</v>
      </c>
      <c r="C607" s="4" t="s">
        <v>3792</v>
      </c>
      <c r="D607" s="4" t="s">
        <v>3793</v>
      </c>
      <c r="E607" s="4" t="s">
        <v>3794</v>
      </c>
      <c r="F607" s="4" t="s">
        <v>3795</v>
      </c>
      <c r="G607" s="4" t="s">
        <v>45</v>
      </c>
      <c r="H607" s="4" t="s">
        <v>46</v>
      </c>
      <c r="I607" s="4" t="s">
        <v>31</v>
      </c>
      <c r="J607" s="4" t="s">
        <v>3796</v>
      </c>
      <c r="K607" s="4" t="s">
        <v>33</v>
      </c>
      <c r="L607" s="4">
        <v>2</v>
      </c>
      <c r="M607" s="5">
        <v>80.959999999999994</v>
      </c>
      <c r="N607" s="4" t="s">
        <v>78</v>
      </c>
      <c r="O607" s="5">
        <v>8.1</v>
      </c>
      <c r="P607" s="5">
        <v>0</v>
      </c>
      <c r="Q607" s="5">
        <v>6.56</v>
      </c>
      <c r="R607" s="5">
        <v>79.42</v>
      </c>
      <c r="S607" s="4" t="s">
        <v>111</v>
      </c>
      <c r="T607" s="4" t="s">
        <v>173</v>
      </c>
      <c r="U607" s="4" t="s">
        <v>51</v>
      </c>
      <c r="V607" s="4" t="s">
        <v>789</v>
      </c>
      <c r="W607" s="5">
        <v>0</v>
      </c>
    </row>
    <row r="608" spans="1:23" x14ac:dyDescent="0.3">
      <c r="A608" s="2" t="s">
        <v>3797</v>
      </c>
      <c r="B608" s="2" t="s">
        <v>3233</v>
      </c>
      <c r="C608" s="2" t="s">
        <v>3798</v>
      </c>
      <c r="D608" s="2" t="s">
        <v>3799</v>
      </c>
      <c r="E608" s="2" t="s">
        <v>3800</v>
      </c>
      <c r="F608" s="2" t="s">
        <v>3801</v>
      </c>
      <c r="G608" s="2" t="s">
        <v>394</v>
      </c>
      <c r="H608" s="2" t="s">
        <v>395</v>
      </c>
      <c r="I608" s="2" t="s">
        <v>31</v>
      </c>
      <c r="J608" s="2" t="s">
        <v>3802</v>
      </c>
      <c r="K608" s="2" t="s">
        <v>209</v>
      </c>
      <c r="L608" s="2">
        <v>3</v>
      </c>
      <c r="M608" s="3">
        <v>392.96</v>
      </c>
      <c r="N608" s="2" t="s">
        <v>163</v>
      </c>
      <c r="O608" s="3">
        <v>78.59</v>
      </c>
      <c r="P608" s="3">
        <v>0</v>
      </c>
      <c r="Q608" s="3">
        <v>26.72</v>
      </c>
      <c r="R608" s="3">
        <v>341.09</v>
      </c>
      <c r="S608" s="2" t="s">
        <v>437</v>
      </c>
      <c r="T608" s="2" t="s">
        <v>36</v>
      </c>
      <c r="U608" s="2" t="s">
        <v>66</v>
      </c>
      <c r="V608" s="2" t="s">
        <v>124</v>
      </c>
      <c r="W608" s="3">
        <v>0</v>
      </c>
    </row>
    <row r="609" spans="1:23" x14ac:dyDescent="0.3">
      <c r="A609" s="4" t="s">
        <v>3803</v>
      </c>
      <c r="B609" s="4" t="s">
        <v>2270</v>
      </c>
      <c r="C609" s="4" t="s">
        <v>3804</v>
      </c>
      <c r="D609" s="4" t="s">
        <v>3411</v>
      </c>
      <c r="E609" s="4" t="s">
        <v>3805</v>
      </c>
      <c r="F609" s="4" t="s">
        <v>3806</v>
      </c>
      <c r="G609" s="4" t="s">
        <v>692</v>
      </c>
      <c r="H609" s="4" t="s">
        <v>693</v>
      </c>
      <c r="I609" s="4" t="s">
        <v>31</v>
      </c>
      <c r="J609" s="4" t="s">
        <v>3807</v>
      </c>
      <c r="K609" s="4" t="s">
        <v>364</v>
      </c>
      <c r="L609" s="4">
        <v>2</v>
      </c>
      <c r="M609" s="5">
        <v>104.97</v>
      </c>
      <c r="N609" s="4" t="s">
        <v>34</v>
      </c>
      <c r="O609" s="5">
        <v>0</v>
      </c>
      <c r="P609" s="5">
        <v>0</v>
      </c>
      <c r="Q609" s="5">
        <v>7.35</v>
      </c>
      <c r="R609" s="5">
        <v>112.32</v>
      </c>
      <c r="S609" s="4" t="s">
        <v>35</v>
      </c>
      <c r="T609" s="4" t="s">
        <v>99</v>
      </c>
      <c r="U609" s="4" t="s">
        <v>100</v>
      </c>
      <c r="V609" s="4"/>
      <c r="W609" s="5">
        <v>0</v>
      </c>
    </row>
    <row r="610" spans="1:23" x14ac:dyDescent="0.3">
      <c r="A610" s="2" t="s">
        <v>3808</v>
      </c>
      <c r="B610" s="2" t="s">
        <v>311</v>
      </c>
      <c r="C610" s="2" t="s">
        <v>3809</v>
      </c>
      <c r="D610" s="2" t="s">
        <v>3810</v>
      </c>
      <c r="E610" s="2" t="s">
        <v>3811</v>
      </c>
      <c r="F610" s="2" t="s">
        <v>3812</v>
      </c>
      <c r="G610" s="2" t="s">
        <v>291</v>
      </c>
      <c r="H610" s="2" t="s">
        <v>292</v>
      </c>
      <c r="I610" s="2" t="s">
        <v>31</v>
      </c>
      <c r="J610" s="2" t="s">
        <v>3813</v>
      </c>
      <c r="K610" s="2" t="s">
        <v>209</v>
      </c>
      <c r="L610" s="2">
        <v>4</v>
      </c>
      <c r="M610" s="3">
        <v>245.95</v>
      </c>
      <c r="N610" s="2" t="s">
        <v>34</v>
      </c>
      <c r="O610" s="3">
        <v>0</v>
      </c>
      <c r="P610" s="3">
        <v>0</v>
      </c>
      <c r="Q610" s="3">
        <v>17.22</v>
      </c>
      <c r="R610" s="3">
        <v>263.17</v>
      </c>
      <c r="S610" s="2" t="s">
        <v>35</v>
      </c>
      <c r="T610" s="2" t="s">
        <v>144</v>
      </c>
      <c r="U610" s="2" t="s">
        <v>317</v>
      </c>
      <c r="V610" s="2"/>
      <c r="W610" s="3">
        <v>0</v>
      </c>
    </row>
    <row r="611" spans="1:23" x14ac:dyDescent="0.3">
      <c r="A611" s="4" t="s">
        <v>3814</v>
      </c>
      <c r="B611" s="4" t="s">
        <v>245</v>
      </c>
      <c r="C611" s="4" t="s">
        <v>3815</v>
      </c>
      <c r="D611" s="4" t="s">
        <v>3816</v>
      </c>
      <c r="E611" s="4" t="s">
        <v>3817</v>
      </c>
      <c r="F611" s="4" t="s">
        <v>3818</v>
      </c>
      <c r="G611" s="4" t="s">
        <v>323</v>
      </c>
      <c r="H611" s="4" t="s">
        <v>324</v>
      </c>
      <c r="I611" s="4" t="s">
        <v>31</v>
      </c>
      <c r="J611" s="4" t="s">
        <v>444</v>
      </c>
      <c r="K611" s="4" t="s">
        <v>48</v>
      </c>
      <c r="L611" s="4">
        <v>1</v>
      </c>
      <c r="M611" s="5">
        <v>64.989999999999995</v>
      </c>
      <c r="N611" s="4" t="s">
        <v>34</v>
      </c>
      <c r="O611" s="5">
        <v>0</v>
      </c>
      <c r="P611" s="5">
        <v>4.99</v>
      </c>
      <c r="Q611" s="5">
        <v>5.85</v>
      </c>
      <c r="R611" s="5">
        <v>75.83</v>
      </c>
      <c r="S611" s="4" t="s">
        <v>35</v>
      </c>
      <c r="T611" s="4" t="s">
        <v>50</v>
      </c>
      <c r="U611" s="4" t="s">
        <v>66</v>
      </c>
      <c r="V611" s="4" t="s">
        <v>924</v>
      </c>
      <c r="W611" s="5">
        <v>0</v>
      </c>
    </row>
    <row r="612" spans="1:23" x14ac:dyDescent="0.3">
      <c r="A612" s="2" t="s">
        <v>3819</v>
      </c>
      <c r="B612" s="2" t="s">
        <v>716</v>
      </c>
      <c r="C612" s="2" t="s">
        <v>3820</v>
      </c>
      <c r="D612" s="2" t="s">
        <v>3583</v>
      </c>
      <c r="E612" s="2" t="s">
        <v>3821</v>
      </c>
      <c r="F612" s="2" t="s">
        <v>3822</v>
      </c>
      <c r="G612" s="2" t="s">
        <v>347</v>
      </c>
      <c r="H612" s="2" t="s">
        <v>60</v>
      </c>
      <c r="I612" s="2" t="s">
        <v>31</v>
      </c>
      <c r="J612" s="2" t="s">
        <v>3823</v>
      </c>
      <c r="K612" s="2" t="s">
        <v>33</v>
      </c>
      <c r="L612" s="2">
        <v>1</v>
      </c>
      <c r="M612" s="3">
        <v>107.97</v>
      </c>
      <c r="N612" s="2" t="s">
        <v>63</v>
      </c>
      <c r="O612" s="3">
        <v>26.99</v>
      </c>
      <c r="P612" s="3">
        <v>0</v>
      </c>
      <c r="Q612" s="3">
        <v>6.88</v>
      </c>
      <c r="R612" s="3">
        <v>87.86</v>
      </c>
      <c r="S612" s="2" t="s">
        <v>35</v>
      </c>
      <c r="T612" s="2" t="s">
        <v>99</v>
      </c>
      <c r="U612" s="2" t="s">
        <v>100</v>
      </c>
      <c r="V612" s="2"/>
      <c r="W612" s="3">
        <v>0</v>
      </c>
    </row>
    <row r="613" spans="1:23" x14ac:dyDescent="0.3">
      <c r="A613" s="4" t="s">
        <v>3824</v>
      </c>
      <c r="B613" s="4" t="s">
        <v>210</v>
      </c>
      <c r="C613" s="4" t="s">
        <v>3825</v>
      </c>
      <c r="D613" s="4" t="s">
        <v>3826</v>
      </c>
      <c r="E613" s="4" t="s">
        <v>3827</v>
      </c>
      <c r="F613" s="4" t="s">
        <v>3828</v>
      </c>
      <c r="G613" s="4" t="s">
        <v>74</v>
      </c>
      <c r="H613" s="4" t="s">
        <v>75</v>
      </c>
      <c r="I613" s="4" t="s">
        <v>31</v>
      </c>
      <c r="J613" s="4" t="s">
        <v>495</v>
      </c>
      <c r="K613" s="4" t="s">
        <v>209</v>
      </c>
      <c r="L613" s="4">
        <v>1</v>
      </c>
      <c r="M613" s="5">
        <v>29.99</v>
      </c>
      <c r="N613" s="4" t="s">
        <v>34</v>
      </c>
      <c r="O613" s="5">
        <v>0</v>
      </c>
      <c r="P613" s="5">
        <v>7.99</v>
      </c>
      <c r="Q613" s="5">
        <v>1.8</v>
      </c>
      <c r="R613" s="5">
        <v>39.78</v>
      </c>
      <c r="S613" s="4" t="s">
        <v>35</v>
      </c>
      <c r="T613" s="4" t="s">
        <v>99</v>
      </c>
      <c r="U613" s="4" t="s">
        <v>37</v>
      </c>
      <c r="V613" s="4" t="s">
        <v>656</v>
      </c>
      <c r="W613" s="5">
        <v>39.78</v>
      </c>
    </row>
    <row r="614" spans="1:23" x14ac:dyDescent="0.3">
      <c r="A614" s="2" t="s">
        <v>3829</v>
      </c>
      <c r="B614" s="2" t="s">
        <v>52</v>
      </c>
      <c r="C614" s="2" t="s">
        <v>3830</v>
      </c>
      <c r="D614" s="2" t="s">
        <v>3144</v>
      </c>
      <c r="E614" s="2" t="s">
        <v>3831</v>
      </c>
      <c r="F614" s="2" t="s">
        <v>3832</v>
      </c>
      <c r="G614" s="2" t="s">
        <v>692</v>
      </c>
      <c r="H614" s="2" t="s">
        <v>693</v>
      </c>
      <c r="I614" s="2" t="s">
        <v>31</v>
      </c>
      <c r="J614" s="2" t="s">
        <v>1232</v>
      </c>
      <c r="K614" s="2" t="s">
        <v>77</v>
      </c>
      <c r="L614" s="2">
        <v>1</v>
      </c>
      <c r="M614" s="3">
        <v>34.99</v>
      </c>
      <c r="N614" s="2" t="s">
        <v>152</v>
      </c>
      <c r="O614" s="3">
        <v>1.75</v>
      </c>
      <c r="P614" s="3">
        <v>5.99</v>
      </c>
      <c r="Q614" s="3">
        <v>2.99</v>
      </c>
      <c r="R614" s="3">
        <v>42.22</v>
      </c>
      <c r="S614" s="2" t="s">
        <v>79</v>
      </c>
      <c r="T614" s="2" t="s">
        <v>173</v>
      </c>
      <c r="U614" s="2" t="s">
        <v>317</v>
      </c>
      <c r="V614" s="2"/>
      <c r="W614" s="3">
        <v>0</v>
      </c>
    </row>
    <row r="615" spans="1:23" x14ac:dyDescent="0.3">
      <c r="A615" s="4" t="s">
        <v>3833</v>
      </c>
      <c r="B615" s="4" t="s">
        <v>311</v>
      </c>
      <c r="C615" s="4" t="s">
        <v>3834</v>
      </c>
      <c r="D615" s="4" t="s">
        <v>2242</v>
      </c>
      <c r="E615" s="4" t="s">
        <v>3835</v>
      </c>
      <c r="F615" s="4" t="s">
        <v>3836</v>
      </c>
      <c r="G615" s="4" t="s">
        <v>323</v>
      </c>
      <c r="H615" s="4" t="s">
        <v>324</v>
      </c>
      <c r="I615" s="4" t="s">
        <v>31</v>
      </c>
      <c r="J615" s="4" t="s">
        <v>3837</v>
      </c>
      <c r="K615" s="4" t="s">
        <v>77</v>
      </c>
      <c r="L615" s="4">
        <v>1</v>
      </c>
      <c r="M615" s="5">
        <v>49.98</v>
      </c>
      <c r="N615" s="4" t="s">
        <v>34</v>
      </c>
      <c r="O615" s="5">
        <v>0</v>
      </c>
      <c r="P615" s="5">
        <v>5.99</v>
      </c>
      <c r="Q615" s="5">
        <v>3.5</v>
      </c>
      <c r="R615" s="5">
        <v>59.47</v>
      </c>
      <c r="S615" s="4" t="s">
        <v>123</v>
      </c>
      <c r="T615" s="4" t="s">
        <v>144</v>
      </c>
      <c r="U615" s="4" t="s">
        <v>66</v>
      </c>
      <c r="V615" s="4" t="s">
        <v>3438</v>
      </c>
      <c r="W615" s="5">
        <v>0</v>
      </c>
    </row>
    <row r="616" spans="1:23" x14ac:dyDescent="0.3">
      <c r="A616" s="2" t="s">
        <v>3838</v>
      </c>
      <c r="B616" s="2" t="s">
        <v>1742</v>
      </c>
      <c r="C616" s="2" t="s">
        <v>3839</v>
      </c>
      <c r="D616" s="2" t="s">
        <v>3840</v>
      </c>
      <c r="E616" s="2" t="s">
        <v>3841</v>
      </c>
      <c r="F616" s="2" t="s">
        <v>3842</v>
      </c>
      <c r="G616" s="2" t="s">
        <v>119</v>
      </c>
      <c r="H616" s="2" t="s">
        <v>120</v>
      </c>
      <c r="I616" s="2" t="s">
        <v>31</v>
      </c>
      <c r="J616" s="2" t="s">
        <v>3843</v>
      </c>
      <c r="K616" s="2" t="s">
        <v>209</v>
      </c>
      <c r="L616" s="2">
        <v>2</v>
      </c>
      <c r="M616" s="3">
        <v>349.97</v>
      </c>
      <c r="N616" s="2" t="s">
        <v>163</v>
      </c>
      <c r="O616" s="3">
        <v>69.989999999999995</v>
      </c>
      <c r="P616" s="3">
        <v>0</v>
      </c>
      <c r="Q616" s="3">
        <v>25.2</v>
      </c>
      <c r="R616" s="3">
        <v>305.18</v>
      </c>
      <c r="S616" s="2" t="s">
        <v>35</v>
      </c>
      <c r="T616" s="2" t="s">
        <v>99</v>
      </c>
      <c r="U616" s="2" t="s">
        <v>100</v>
      </c>
      <c r="V616" s="2"/>
      <c r="W616" s="3">
        <v>0</v>
      </c>
    </row>
    <row r="617" spans="1:23" x14ac:dyDescent="0.3">
      <c r="A617" s="4" t="s">
        <v>3844</v>
      </c>
      <c r="B617" s="4" t="s">
        <v>2210</v>
      </c>
      <c r="C617" s="4" t="s">
        <v>3845</v>
      </c>
      <c r="D617" s="4" t="s">
        <v>3846</v>
      </c>
      <c r="E617" s="4" t="s">
        <v>3847</v>
      </c>
      <c r="F617" s="4" t="s">
        <v>3848</v>
      </c>
      <c r="G617" s="4" t="s">
        <v>251</v>
      </c>
      <c r="H617" s="4" t="s">
        <v>252</v>
      </c>
      <c r="I617" s="4" t="s">
        <v>31</v>
      </c>
      <c r="J617" s="4" t="s">
        <v>3849</v>
      </c>
      <c r="K617" s="4" t="s">
        <v>209</v>
      </c>
      <c r="L617" s="4">
        <v>2</v>
      </c>
      <c r="M617" s="5">
        <v>144.97999999999999</v>
      </c>
      <c r="N617" s="4" t="s">
        <v>49</v>
      </c>
      <c r="O617" s="5">
        <v>21.75</v>
      </c>
      <c r="P617" s="5">
        <v>0</v>
      </c>
      <c r="Q617" s="5">
        <v>12.32</v>
      </c>
      <c r="R617" s="5">
        <v>135.55000000000001</v>
      </c>
      <c r="S617" s="4" t="s">
        <v>35</v>
      </c>
      <c r="T617" s="4" t="s">
        <v>144</v>
      </c>
      <c r="U617" s="4" t="s">
        <v>37</v>
      </c>
      <c r="V617" s="4" t="s">
        <v>1529</v>
      </c>
      <c r="W617" s="5">
        <v>135.55000000000001</v>
      </c>
    </row>
    <row r="618" spans="1:23" x14ac:dyDescent="0.3">
      <c r="A618" s="2" t="s">
        <v>3850</v>
      </c>
      <c r="B618" s="2" t="s">
        <v>3851</v>
      </c>
      <c r="C618" s="2" t="s">
        <v>3852</v>
      </c>
      <c r="D618" s="2" t="s">
        <v>3853</v>
      </c>
      <c r="E618" s="2" t="s">
        <v>3854</v>
      </c>
      <c r="F618" s="2" t="s">
        <v>3855</v>
      </c>
      <c r="G618" s="2" t="s">
        <v>394</v>
      </c>
      <c r="H618" s="2" t="s">
        <v>395</v>
      </c>
      <c r="I618" s="2" t="s">
        <v>31</v>
      </c>
      <c r="J618" s="2" t="s">
        <v>503</v>
      </c>
      <c r="K618" s="2" t="s">
        <v>122</v>
      </c>
      <c r="L618" s="2">
        <v>1</v>
      </c>
      <c r="M618" s="3">
        <v>59.99</v>
      </c>
      <c r="N618" s="2" t="s">
        <v>34</v>
      </c>
      <c r="O618" s="3">
        <v>0</v>
      </c>
      <c r="P618" s="3">
        <v>5.99</v>
      </c>
      <c r="Q618" s="3">
        <v>5.0999999999999996</v>
      </c>
      <c r="R618" s="3">
        <v>71.08</v>
      </c>
      <c r="S618" s="2" t="s">
        <v>332</v>
      </c>
      <c r="T618" s="2" t="s">
        <v>65</v>
      </c>
      <c r="U618" s="2" t="s">
        <v>37</v>
      </c>
      <c r="V618" s="2" t="s">
        <v>133</v>
      </c>
      <c r="W618" s="3">
        <v>71.08</v>
      </c>
    </row>
    <row r="619" spans="1:23" x14ac:dyDescent="0.3">
      <c r="A619" s="4" t="s">
        <v>3856</v>
      </c>
      <c r="B619" s="4" t="s">
        <v>2096</v>
      </c>
      <c r="C619" s="4" t="s">
        <v>3857</v>
      </c>
      <c r="D619" s="4" t="s">
        <v>912</v>
      </c>
      <c r="E619" s="4" t="s">
        <v>3858</v>
      </c>
      <c r="F619" s="4" t="s">
        <v>3859</v>
      </c>
      <c r="G619" s="4" t="s">
        <v>180</v>
      </c>
      <c r="H619" s="4" t="s">
        <v>181</v>
      </c>
      <c r="I619" s="4" t="s">
        <v>31</v>
      </c>
      <c r="J619" s="4" t="s">
        <v>191</v>
      </c>
      <c r="K619" s="4" t="s">
        <v>77</v>
      </c>
      <c r="L619" s="4">
        <v>1</v>
      </c>
      <c r="M619" s="5">
        <v>24.99</v>
      </c>
      <c r="N619" s="4" t="s">
        <v>34</v>
      </c>
      <c r="O619" s="5">
        <v>0</v>
      </c>
      <c r="P619" s="5">
        <v>7.99</v>
      </c>
      <c r="Q619" s="5">
        <v>1.75</v>
      </c>
      <c r="R619" s="5">
        <v>34.729999999999997</v>
      </c>
      <c r="S619" s="4" t="s">
        <v>64</v>
      </c>
      <c r="T619" s="4" t="s">
        <v>173</v>
      </c>
      <c r="U619" s="4" t="s">
        <v>66</v>
      </c>
      <c r="V619" s="4" t="s">
        <v>1347</v>
      </c>
      <c r="W619" s="5">
        <v>0</v>
      </c>
    </row>
    <row r="620" spans="1:23" x14ac:dyDescent="0.3">
      <c r="A620" s="2" t="s">
        <v>3860</v>
      </c>
      <c r="B620" s="2" t="s">
        <v>1271</v>
      </c>
      <c r="C620" s="2" t="s">
        <v>3861</v>
      </c>
      <c r="D620" s="2" t="s">
        <v>3862</v>
      </c>
      <c r="E620" s="2" t="s">
        <v>3863</v>
      </c>
      <c r="F620" s="2" t="s">
        <v>3864</v>
      </c>
      <c r="G620" s="2" t="s">
        <v>692</v>
      </c>
      <c r="H620" s="2" t="s">
        <v>693</v>
      </c>
      <c r="I620" s="2" t="s">
        <v>31</v>
      </c>
      <c r="J620" s="2" t="s">
        <v>1148</v>
      </c>
      <c r="K620" s="2" t="s">
        <v>33</v>
      </c>
      <c r="L620" s="2">
        <v>1</v>
      </c>
      <c r="M620" s="3">
        <v>18.989999999999998</v>
      </c>
      <c r="N620" s="2" t="s">
        <v>78</v>
      </c>
      <c r="O620" s="3">
        <v>1.9</v>
      </c>
      <c r="P620" s="3">
        <v>7.99</v>
      </c>
      <c r="Q620" s="3">
        <v>1.71</v>
      </c>
      <c r="R620" s="3">
        <v>26.79</v>
      </c>
      <c r="S620" s="2" t="s">
        <v>35</v>
      </c>
      <c r="T620" s="2" t="s">
        <v>65</v>
      </c>
      <c r="U620" s="2" t="s">
        <v>51</v>
      </c>
      <c r="V620" s="2" t="s">
        <v>52</v>
      </c>
      <c r="W620" s="3">
        <v>0</v>
      </c>
    </row>
    <row r="621" spans="1:23" x14ac:dyDescent="0.3">
      <c r="A621" s="4" t="s">
        <v>3865</v>
      </c>
      <c r="B621" s="4" t="s">
        <v>736</v>
      </c>
      <c r="C621" s="4" t="s">
        <v>3866</v>
      </c>
      <c r="D621" s="4" t="s">
        <v>3867</v>
      </c>
      <c r="E621" s="4" t="s">
        <v>3868</v>
      </c>
      <c r="F621" s="4" t="s">
        <v>3869</v>
      </c>
      <c r="G621" s="4" t="s">
        <v>692</v>
      </c>
      <c r="H621" s="4" t="s">
        <v>693</v>
      </c>
      <c r="I621" s="4" t="s">
        <v>31</v>
      </c>
      <c r="J621" s="4" t="s">
        <v>533</v>
      </c>
      <c r="K621" s="4" t="s">
        <v>209</v>
      </c>
      <c r="L621" s="4">
        <v>1</v>
      </c>
      <c r="M621" s="5">
        <v>239.98</v>
      </c>
      <c r="N621" s="4" t="s">
        <v>63</v>
      </c>
      <c r="O621" s="5">
        <v>59.99</v>
      </c>
      <c r="P621" s="5">
        <v>0</v>
      </c>
      <c r="Q621" s="5">
        <v>12.6</v>
      </c>
      <c r="R621" s="5">
        <v>192.59</v>
      </c>
      <c r="S621" s="4" t="s">
        <v>35</v>
      </c>
      <c r="T621" s="4" t="s">
        <v>36</v>
      </c>
      <c r="U621" s="4" t="s">
        <v>66</v>
      </c>
      <c r="V621" s="4" t="s">
        <v>680</v>
      </c>
      <c r="W621" s="5">
        <v>0</v>
      </c>
    </row>
    <row r="622" spans="1:23" x14ac:dyDescent="0.3">
      <c r="A622" s="2" t="s">
        <v>3870</v>
      </c>
      <c r="B622" s="2" t="s">
        <v>1618</v>
      </c>
      <c r="C622" s="2" t="s">
        <v>3871</v>
      </c>
      <c r="D622" s="2" t="s">
        <v>689</v>
      </c>
      <c r="E622" s="2" t="s">
        <v>3872</v>
      </c>
      <c r="F622" s="2" t="s">
        <v>3873</v>
      </c>
      <c r="G622" s="2" t="s">
        <v>692</v>
      </c>
      <c r="H622" s="2" t="s">
        <v>693</v>
      </c>
      <c r="I622" s="2" t="s">
        <v>31</v>
      </c>
      <c r="J622" s="2" t="s">
        <v>444</v>
      </c>
      <c r="K622" s="2" t="s">
        <v>48</v>
      </c>
      <c r="L622" s="2">
        <v>1</v>
      </c>
      <c r="M622" s="3">
        <v>64.989999999999995</v>
      </c>
      <c r="N622" s="2" t="s">
        <v>78</v>
      </c>
      <c r="O622" s="3">
        <v>6.5</v>
      </c>
      <c r="P622" s="3">
        <v>9.99</v>
      </c>
      <c r="Q622" s="3">
        <v>4.68</v>
      </c>
      <c r="R622" s="3">
        <v>73.16</v>
      </c>
      <c r="S622" s="2" t="s">
        <v>332</v>
      </c>
      <c r="T622" s="2" t="s">
        <v>99</v>
      </c>
      <c r="U622" s="2" t="s">
        <v>66</v>
      </c>
      <c r="V622" s="2" t="s">
        <v>1623</v>
      </c>
      <c r="W622" s="3">
        <v>0</v>
      </c>
    </row>
    <row r="623" spans="1:23" x14ac:dyDescent="0.3">
      <c r="A623" s="4" t="s">
        <v>3874</v>
      </c>
      <c r="B623" s="4" t="s">
        <v>734</v>
      </c>
      <c r="C623" s="4" t="s">
        <v>3875</v>
      </c>
      <c r="D623" s="4" t="s">
        <v>974</v>
      </c>
      <c r="E623" s="4" t="s">
        <v>3876</v>
      </c>
      <c r="F623" s="4" t="s">
        <v>3877</v>
      </c>
      <c r="G623" s="4" t="s">
        <v>45</v>
      </c>
      <c r="H623" s="4" t="s">
        <v>46</v>
      </c>
      <c r="I623" s="4" t="s">
        <v>31</v>
      </c>
      <c r="J623" s="4" t="s">
        <v>577</v>
      </c>
      <c r="K623" s="4" t="s">
        <v>364</v>
      </c>
      <c r="L623" s="4">
        <v>1</v>
      </c>
      <c r="M623" s="5">
        <v>19.989999999999998</v>
      </c>
      <c r="N623" s="4" t="s">
        <v>78</v>
      </c>
      <c r="O623" s="5">
        <v>2</v>
      </c>
      <c r="P623" s="5">
        <v>4.99</v>
      </c>
      <c r="Q623" s="5">
        <v>1.62</v>
      </c>
      <c r="R623" s="5">
        <v>24.6</v>
      </c>
      <c r="S623" s="4" t="s">
        <v>332</v>
      </c>
      <c r="T623" s="4" t="s">
        <v>50</v>
      </c>
      <c r="U623" s="4" t="s">
        <v>51</v>
      </c>
      <c r="V623" s="4" t="s">
        <v>519</v>
      </c>
      <c r="W623" s="5">
        <v>0</v>
      </c>
    </row>
    <row r="624" spans="1:23" x14ac:dyDescent="0.3">
      <c r="A624" s="2" t="s">
        <v>3878</v>
      </c>
      <c r="B624" s="2" t="s">
        <v>351</v>
      </c>
      <c r="C624" s="2" t="s">
        <v>3879</v>
      </c>
      <c r="D624" s="2" t="s">
        <v>1138</v>
      </c>
      <c r="E624" s="2" t="s">
        <v>3880</v>
      </c>
      <c r="F624" s="2" t="s">
        <v>3881</v>
      </c>
      <c r="G624" s="2" t="s">
        <v>29</v>
      </c>
      <c r="H624" s="2" t="s">
        <v>30</v>
      </c>
      <c r="I624" s="2" t="s">
        <v>31</v>
      </c>
      <c r="J624" s="2" t="s">
        <v>3882</v>
      </c>
      <c r="K624" s="2" t="s">
        <v>62</v>
      </c>
      <c r="L624" s="2">
        <v>3</v>
      </c>
      <c r="M624" s="3">
        <v>95.97</v>
      </c>
      <c r="N624" s="2" t="s">
        <v>78</v>
      </c>
      <c r="O624" s="3">
        <v>9.6</v>
      </c>
      <c r="P624" s="3">
        <v>0</v>
      </c>
      <c r="Q624" s="3">
        <v>7.77</v>
      </c>
      <c r="R624" s="3">
        <v>94.14</v>
      </c>
      <c r="S624" s="2" t="s">
        <v>123</v>
      </c>
      <c r="T624" s="2" t="s">
        <v>36</v>
      </c>
      <c r="U624" s="2" t="s">
        <v>37</v>
      </c>
      <c r="V624" s="2" t="s">
        <v>1149</v>
      </c>
      <c r="W624" s="3">
        <v>94.14</v>
      </c>
    </row>
    <row r="625" spans="1:23" x14ac:dyDescent="0.3">
      <c r="A625" s="4" t="s">
        <v>3883</v>
      </c>
      <c r="B625" s="4" t="s">
        <v>1865</v>
      </c>
      <c r="C625" s="4" t="s">
        <v>3884</v>
      </c>
      <c r="D625" s="4" t="s">
        <v>3885</v>
      </c>
      <c r="E625" s="4" t="s">
        <v>3886</v>
      </c>
      <c r="F625" s="4" t="s">
        <v>3887</v>
      </c>
      <c r="G625" s="4" t="s">
        <v>207</v>
      </c>
      <c r="H625" s="4" t="s">
        <v>141</v>
      </c>
      <c r="I625" s="4" t="s">
        <v>31</v>
      </c>
      <c r="J625" s="4" t="s">
        <v>3888</v>
      </c>
      <c r="K625" s="4" t="s">
        <v>209</v>
      </c>
      <c r="L625" s="4">
        <v>4</v>
      </c>
      <c r="M625" s="5">
        <v>179.96</v>
      </c>
      <c r="N625" s="4" t="s">
        <v>78</v>
      </c>
      <c r="O625" s="5">
        <v>18</v>
      </c>
      <c r="P625" s="5">
        <v>0</v>
      </c>
      <c r="Q625" s="5">
        <v>16.2</v>
      </c>
      <c r="R625" s="5">
        <v>178.16</v>
      </c>
      <c r="S625" s="4" t="s">
        <v>35</v>
      </c>
      <c r="T625" s="4" t="s">
        <v>36</v>
      </c>
      <c r="U625" s="4" t="s">
        <v>66</v>
      </c>
      <c r="V625" s="4" t="s">
        <v>1529</v>
      </c>
      <c r="W625" s="5">
        <v>0</v>
      </c>
    </row>
    <row r="626" spans="1:23" x14ac:dyDescent="0.3">
      <c r="A626" s="2" t="s">
        <v>3889</v>
      </c>
      <c r="B626" s="2" t="s">
        <v>1163</v>
      </c>
      <c r="C626" s="2" t="s">
        <v>3890</v>
      </c>
      <c r="D626" s="2" t="s">
        <v>3891</v>
      </c>
      <c r="E626" s="2" t="s">
        <v>3892</v>
      </c>
      <c r="F626" s="2" t="s">
        <v>3893</v>
      </c>
      <c r="G626" s="2" t="s">
        <v>45</v>
      </c>
      <c r="H626" s="2" t="s">
        <v>46</v>
      </c>
      <c r="I626" s="2" t="s">
        <v>31</v>
      </c>
      <c r="J626" s="2" t="s">
        <v>3894</v>
      </c>
      <c r="K626" s="2" t="s">
        <v>77</v>
      </c>
      <c r="L626" s="2">
        <v>2</v>
      </c>
      <c r="M626" s="3">
        <v>157.97999999999999</v>
      </c>
      <c r="N626" s="2" t="s">
        <v>49</v>
      </c>
      <c r="O626" s="3">
        <v>23.7</v>
      </c>
      <c r="P626" s="3">
        <v>0</v>
      </c>
      <c r="Q626" s="3">
        <v>8.06</v>
      </c>
      <c r="R626" s="3">
        <v>142.34</v>
      </c>
      <c r="S626" s="2" t="s">
        <v>64</v>
      </c>
      <c r="T626" s="2" t="s">
        <v>99</v>
      </c>
      <c r="U626" s="2" t="s">
        <v>37</v>
      </c>
      <c r="V626" s="2" t="s">
        <v>3746</v>
      </c>
      <c r="W626" s="3">
        <v>142.34</v>
      </c>
    </row>
    <row r="627" spans="1:23" x14ac:dyDescent="0.3">
      <c r="A627" s="4" t="s">
        <v>3895</v>
      </c>
      <c r="B627" s="4" t="s">
        <v>1323</v>
      </c>
      <c r="C627" s="4" t="s">
        <v>3896</v>
      </c>
      <c r="D627" s="4" t="s">
        <v>3897</v>
      </c>
      <c r="E627" s="4" t="s">
        <v>3898</v>
      </c>
      <c r="F627" s="4" t="s">
        <v>3899</v>
      </c>
      <c r="G627" s="4" t="s">
        <v>87</v>
      </c>
      <c r="H627" s="4" t="s">
        <v>88</v>
      </c>
      <c r="I627" s="4" t="s">
        <v>31</v>
      </c>
      <c r="J627" s="4" t="s">
        <v>267</v>
      </c>
      <c r="K627" s="4" t="s">
        <v>62</v>
      </c>
      <c r="L627" s="4">
        <v>1</v>
      </c>
      <c r="M627" s="5">
        <v>54.99</v>
      </c>
      <c r="N627" s="4" t="s">
        <v>34</v>
      </c>
      <c r="O627" s="5">
        <v>0</v>
      </c>
      <c r="P627" s="5">
        <v>5.99</v>
      </c>
      <c r="Q627" s="5">
        <v>3.3</v>
      </c>
      <c r="R627" s="5">
        <v>64.28</v>
      </c>
      <c r="S627" s="4" t="s">
        <v>64</v>
      </c>
      <c r="T627" s="4" t="s">
        <v>99</v>
      </c>
      <c r="U627" s="4" t="s">
        <v>37</v>
      </c>
      <c r="V627" s="4" t="s">
        <v>945</v>
      </c>
      <c r="W627" s="5">
        <v>64.28</v>
      </c>
    </row>
    <row r="628" spans="1:23" x14ac:dyDescent="0.3">
      <c r="A628" s="2" t="s">
        <v>3900</v>
      </c>
      <c r="B628" s="2" t="s">
        <v>3746</v>
      </c>
      <c r="C628" s="2" t="s">
        <v>3901</v>
      </c>
      <c r="D628" s="2" t="s">
        <v>3902</v>
      </c>
      <c r="E628" s="2" t="s">
        <v>3903</v>
      </c>
      <c r="F628" s="2" t="s">
        <v>3904</v>
      </c>
      <c r="G628" s="2" t="s">
        <v>1730</v>
      </c>
      <c r="H628" s="2" t="s">
        <v>161</v>
      </c>
      <c r="I628" s="2" t="s">
        <v>31</v>
      </c>
      <c r="J628" s="2" t="s">
        <v>3905</v>
      </c>
      <c r="K628" s="2" t="s">
        <v>62</v>
      </c>
      <c r="L628" s="2">
        <v>2</v>
      </c>
      <c r="M628" s="3">
        <v>82.98</v>
      </c>
      <c r="N628" s="2" t="s">
        <v>34</v>
      </c>
      <c r="O628" s="3">
        <v>0</v>
      </c>
      <c r="P628" s="3">
        <v>0</v>
      </c>
      <c r="Q628" s="3">
        <v>6.64</v>
      </c>
      <c r="R628" s="3">
        <v>89.62</v>
      </c>
      <c r="S628" s="2" t="s">
        <v>35</v>
      </c>
      <c r="T628" s="2" t="s">
        <v>173</v>
      </c>
      <c r="U628" s="2" t="s">
        <v>66</v>
      </c>
      <c r="V628" s="2" t="s">
        <v>1329</v>
      </c>
      <c r="W628" s="3">
        <v>0</v>
      </c>
    </row>
    <row r="629" spans="1:23" x14ac:dyDescent="0.3">
      <c r="A629" s="4" t="s">
        <v>3906</v>
      </c>
      <c r="B629" s="4" t="s">
        <v>1527</v>
      </c>
      <c r="C629" s="4" t="s">
        <v>3907</v>
      </c>
      <c r="D629" s="4" t="s">
        <v>2018</v>
      </c>
      <c r="E629" s="4" t="s">
        <v>3908</v>
      </c>
      <c r="F629" s="4" t="s">
        <v>3909</v>
      </c>
      <c r="G629" s="4" t="s">
        <v>394</v>
      </c>
      <c r="H629" s="4" t="s">
        <v>395</v>
      </c>
      <c r="I629" s="4" t="s">
        <v>31</v>
      </c>
      <c r="J629" s="4" t="s">
        <v>1232</v>
      </c>
      <c r="K629" s="4" t="s">
        <v>77</v>
      </c>
      <c r="L629" s="4">
        <v>1</v>
      </c>
      <c r="M629" s="5">
        <v>34.99</v>
      </c>
      <c r="N629" s="4" t="s">
        <v>78</v>
      </c>
      <c r="O629" s="5">
        <v>3.5</v>
      </c>
      <c r="P629" s="5">
        <v>7.99</v>
      </c>
      <c r="Q629" s="5">
        <v>2.52</v>
      </c>
      <c r="R629" s="5">
        <v>42</v>
      </c>
      <c r="S629" s="4" t="s">
        <v>437</v>
      </c>
      <c r="T629" s="4" t="s">
        <v>65</v>
      </c>
      <c r="U629" s="4" t="s">
        <v>51</v>
      </c>
      <c r="V629" s="4" t="s">
        <v>335</v>
      </c>
      <c r="W629" s="5">
        <v>0</v>
      </c>
    </row>
    <row r="630" spans="1:23" x14ac:dyDescent="0.3">
      <c r="A630" s="2" t="s">
        <v>3910</v>
      </c>
      <c r="B630" s="2" t="s">
        <v>2130</v>
      </c>
      <c r="C630" s="2" t="s">
        <v>3911</v>
      </c>
      <c r="D630" s="2" t="s">
        <v>3912</v>
      </c>
      <c r="E630" s="2" t="s">
        <v>3913</v>
      </c>
      <c r="F630" s="2" t="s">
        <v>3914</v>
      </c>
      <c r="G630" s="2" t="s">
        <v>1730</v>
      </c>
      <c r="H630" s="2" t="s">
        <v>161</v>
      </c>
      <c r="I630" s="2" t="s">
        <v>31</v>
      </c>
      <c r="J630" s="2" t="s">
        <v>741</v>
      </c>
      <c r="K630" s="2" t="s">
        <v>122</v>
      </c>
      <c r="L630" s="2">
        <v>1</v>
      </c>
      <c r="M630" s="3">
        <v>139.97999999999999</v>
      </c>
      <c r="N630" s="2" t="s">
        <v>63</v>
      </c>
      <c r="O630" s="3">
        <v>34.99</v>
      </c>
      <c r="P630" s="3">
        <v>0</v>
      </c>
      <c r="Q630" s="3">
        <v>10.5</v>
      </c>
      <c r="R630" s="3">
        <v>115.49</v>
      </c>
      <c r="S630" s="2" t="s">
        <v>332</v>
      </c>
      <c r="T630" s="2" t="s">
        <v>173</v>
      </c>
      <c r="U630" s="2" t="s">
        <v>51</v>
      </c>
      <c r="V630" s="2" t="s">
        <v>1329</v>
      </c>
      <c r="W630" s="3">
        <v>0</v>
      </c>
    </row>
    <row r="631" spans="1:23" x14ac:dyDescent="0.3">
      <c r="A631" s="4" t="s">
        <v>3915</v>
      </c>
      <c r="B631" s="4" t="s">
        <v>736</v>
      </c>
      <c r="C631" s="4" t="s">
        <v>3916</v>
      </c>
      <c r="D631" s="4" t="s">
        <v>3917</v>
      </c>
      <c r="E631" s="4" t="s">
        <v>3918</v>
      </c>
      <c r="F631" s="4" t="s">
        <v>3919</v>
      </c>
      <c r="G631" s="4" t="s">
        <v>347</v>
      </c>
      <c r="H631" s="4" t="s">
        <v>60</v>
      </c>
      <c r="I631" s="4" t="s">
        <v>31</v>
      </c>
      <c r="J631" s="4" t="s">
        <v>3920</v>
      </c>
      <c r="K631" s="4" t="s">
        <v>122</v>
      </c>
      <c r="L631" s="4">
        <v>4</v>
      </c>
      <c r="M631" s="5">
        <v>325.94</v>
      </c>
      <c r="N631" s="4" t="s">
        <v>63</v>
      </c>
      <c r="O631" s="5">
        <v>81.48</v>
      </c>
      <c r="P631" s="5">
        <v>0</v>
      </c>
      <c r="Q631" s="5">
        <v>14.67</v>
      </c>
      <c r="R631" s="5">
        <v>259.13</v>
      </c>
      <c r="S631" s="4" t="s">
        <v>64</v>
      </c>
      <c r="T631" s="4" t="s">
        <v>36</v>
      </c>
      <c r="U631" s="4" t="s">
        <v>37</v>
      </c>
      <c r="V631" s="4" t="s">
        <v>633</v>
      </c>
      <c r="W631" s="5">
        <v>259.13</v>
      </c>
    </row>
    <row r="632" spans="1:23" x14ac:dyDescent="0.3">
      <c r="A632" s="2" t="s">
        <v>3921</v>
      </c>
      <c r="B632" s="2" t="s">
        <v>2083</v>
      </c>
      <c r="C632" s="2" t="s">
        <v>3922</v>
      </c>
      <c r="D632" s="2" t="s">
        <v>3923</v>
      </c>
      <c r="E632" s="2" t="s">
        <v>3924</v>
      </c>
      <c r="F632" s="2" t="s">
        <v>3925</v>
      </c>
      <c r="G632" s="2" t="s">
        <v>207</v>
      </c>
      <c r="H632" s="2" t="s">
        <v>141</v>
      </c>
      <c r="I632" s="2" t="s">
        <v>31</v>
      </c>
      <c r="J632" s="2" t="s">
        <v>3926</v>
      </c>
      <c r="K632" s="2" t="s">
        <v>77</v>
      </c>
      <c r="L632" s="2">
        <v>3</v>
      </c>
      <c r="M632" s="3">
        <v>222.95</v>
      </c>
      <c r="N632" s="2" t="s">
        <v>163</v>
      </c>
      <c r="O632" s="3">
        <v>44.59</v>
      </c>
      <c r="P632" s="3">
        <v>0</v>
      </c>
      <c r="Q632" s="3">
        <v>17.84</v>
      </c>
      <c r="R632" s="3">
        <v>196.2</v>
      </c>
      <c r="S632" s="2" t="s">
        <v>437</v>
      </c>
      <c r="T632" s="2" t="s">
        <v>173</v>
      </c>
      <c r="U632" s="2" t="s">
        <v>66</v>
      </c>
      <c r="V632" s="2" t="s">
        <v>3927</v>
      </c>
      <c r="W632" s="3">
        <v>0</v>
      </c>
    </row>
    <row r="633" spans="1:23" x14ac:dyDescent="0.3">
      <c r="A633" s="4" t="s">
        <v>3928</v>
      </c>
      <c r="B633" s="4" t="s">
        <v>1477</v>
      </c>
      <c r="C633" s="4" t="s">
        <v>3929</v>
      </c>
      <c r="D633" s="4" t="s">
        <v>3930</v>
      </c>
      <c r="E633" s="4" t="s">
        <v>3931</v>
      </c>
      <c r="F633" s="4" t="s">
        <v>3932</v>
      </c>
      <c r="G633" s="4" t="s">
        <v>59</v>
      </c>
      <c r="H633" s="4" t="s">
        <v>60</v>
      </c>
      <c r="I633" s="4" t="s">
        <v>31</v>
      </c>
      <c r="J633" s="4" t="s">
        <v>132</v>
      </c>
      <c r="K633" s="4" t="s">
        <v>48</v>
      </c>
      <c r="L633" s="4">
        <v>1</v>
      </c>
      <c r="M633" s="5">
        <v>129.97999999999999</v>
      </c>
      <c r="N633" s="4" t="s">
        <v>34</v>
      </c>
      <c r="O633" s="5">
        <v>0</v>
      </c>
      <c r="P633" s="5">
        <v>0</v>
      </c>
      <c r="Q633" s="5">
        <v>11.7</v>
      </c>
      <c r="R633" s="5">
        <v>141.68</v>
      </c>
      <c r="S633" s="4" t="s">
        <v>35</v>
      </c>
      <c r="T633" s="4" t="s">
        <v>65</v>
      </c>
      <c r="U633" s="4" t="s">
        <v>66</v>
      </c>
      <c r="V633" s="4" t="s">
        <v>431</v>
      </c>
      <c r="W633" s="5">
        <v>0</v>
      </c>
    </row>
    <row r="634" spans="1:23" x14ac:dyDescent="0.3">
      <c r="A634" s="2" t="s">
        <v>3933</v>
      </c>
      <c r="B634" s="2" t="s">
        <v>587</v>
      </c>
      <c r="C634" s="2" t="s">
        <v>3934</v>
      </c>
      <c r="D634" s="2" t="s">
        <v>3935</v>
      </c>
      <c r="E634" s="2" t="s">
        <v>3936</v>
      </c>
      <c r="F634" s="2" t="s">
        <v>3937</v>
      </c>
      <c r="G634" s="2" t="s">
        <v>802</v>
      </c>
      <c r="H634" s="2" t="s">
        <v>88</v>
      </c>
      <c r="I634" s="2" t="s">
        <v>31</v>
      </c>
      <c r="J634" s="2" t="s">
        <v>3938</v>
      </c>
      <c r="K634" s="2" t="s">
        <v>110</v>
      </c>
      <c r="L634" s="2">
        <v>5</v>
      </c>
      <c r="M634" s="3">
        <v>267.95</v>
      </c>
      <c r="N634" s="2" t="s">
        <v>63</v>
      </c>
      <c r="O634" s="3">
        <v>66.989999999999995</v>
      </c>
      <c r="P634" s="3">
        <v>0</v>
      </c>
      <c r="Q634" s="3">
        <v>20.100000000000001</v>
      </c>
      <c r="R634" s="3">
        <v>221.06</v>
      </c>
      <c r="S634" s="2" t="s">
        <v>79</v>
      </c>
      <c r="T634" s="2" t="s">
        <v>144</v>
      </c>
      <c r="U634" s="2" t="s">
        <v>66</v>
      </c>
      <c r="V634" s="2" t="s">
        <v>752</v>
      </c>
      <c r="W634" s="3">
        <v>0</v>
      </c>
    </row>
    <row r="635" spans="1:23" x14ac:dyDescent="0.3">
      <c r="A635" s="4" t="s">
        <v>3939</v>
      </c>
      <c r="B635" s="4" t="s">
        <v>891</v>
      </c>
      <c r="C635" s="4" t="s">
        <v>3940</v>
      </c>
      <c r="D635" s="4" t="s">
        <v>3941</v>
      </c>
      <c r="E635" s="4" t="s">
        <v>3942</v>
      </c>
      <c r="F635" s="4" t="s">
        <v>3943</v>
      </c>
      <c r="G635" s="4" t="s">
        <v>640</v>
      </c>
      <c r="H635" s="4" t="s">
        <v>161</v>
      </c>
      <c r="I635" s="4" t="s">
        <v>31</v>
      </c>
      <c r="J635" s="4" t="s">
        <v>1148</v>
      </c>
      <c r="K635" s="4" t="s">
        <v>33</v>
      </c>
      <c r="L635" s="4">
        <v>1</v>
      </c>
      <c r="M635" s="5">
        <v>18.989999999999998</v>
      </c>
      <c r="N635" s="4" t="s">
        <v>78</v>
      </c>
      <c r="O635" s="5">
        <v>1.9</v>
      </c>
      <c r="P635" s="5">
        <v>4.99</v>
      </c>
      <c r="Q635" s="5">
        <v>1.37</v>
      </c>
      <c r="R635" s="5">
        <v>23.45</v>
      </c>
      <c r="S635" s="4" t="s">
        <v>111</v>
      </c>
      <c r="T635" s="4" t="s">
        <v>65</v>
      </c>
      <c r="U635" s="4" t="s">
        <v>66</v>
      </c>
      <c r="V635" s="4" t="s">
        <v>3944</v>
      </c>
      <c r="W635" s="5">
        <v>0</v>
      </c>
    </row>
    <row r="636" spans="1:23" x14ac:dyDescent="0.3">
      <c r="A636" s="2" t="s">
        <v>3945</v>
      </c>
      <c r="B636" s="2" t="s">
        <v>930</v>
      </c>
      <c r="C636" s="2" t="s">
        <v>3946</v>
      </c>
      <c r="D636" s="2" t="s">
        <v>3947</v>
      </c>
      <c r="E636" s="2" t="s">
        <v>3948</v>
      </c>
      <c r="F636" s="2" t="s">
        <v>3949</v>
      </c>
      <c r="G636" s="2" t="s">
        <v>107</v>
      </c>
      <c r="H636" s="2" t="s">
        <v>108</v>
      </c>
      <c r="I636" s="2" t="s">
        <v>31</v>
      </c>
      <c r="J636" s="2" t="s">
        <v>1689</v>
      </c>
      <c r="K636" s="2" t="s">
        <v>209</v>
      </c>
      <c r="L636" s="2">
        <v>2</v>
      </c>
      <c r="M636" s="3">
        <v>191.97</v>
      </c>
      <c r="N636" s="2" t="s">
        <v>63</v>
      </c>
      <c r="O636" s="3">
        <v>47.99</v>
      </c>
      <c r="P636" s="3">
        <v>0</v>
      </c>
      <c r="Q636" s="3">
        <v>8.64</v>
      </c>
      <c r="R636" s="3">
        <v>152.62</v>
      </c>
      <c r="S636" s="2" t="s">
        <v>35</v>
      </c>
      <c r="T636" s="2" t="s">
        <v>99</v>
      </c>
      <c r="U636" s="2" t="s">
        <v>51</v>
      </c>
      <c r="V636" s="2" t="s">
        <v>1055</v>
      </c>
      <c r="W636" s="3">
        <v>0</v>
      </c>
    </row>
    <row r="637" spans="1:23" x14ac:dyDescent="0.3">
      <c r="A637" s="4" t="s">
        <v>3950</v>
      </c>
      <c r="B637" s="4" t="s">
        <v>358</v>
      </c>
      <c r="C637" s="4" t="s">
        <v>3951</v>
      </c>
      <c r="D637" s="4" t="s">
        <v>3952</v>
      </c>
      <c r="E637" s="4" t="s">
        <v>3953</v>
      </c>
      <c r="F637" s="4" t="s">
        <v>3954</v>
      </c>
      <c r="G637" s="4" t="s">
        <v>29</v>
      </c>
      <c r="H637" s="4" t="s">
        <v>30</v>
      </c>
      <c r="I637" s="4" t="s">
        <v>31</v>
      </c>
      <c r="J637" s="4" t="s">
        <v>1232</v>
      </c>
      <c r="K637" s="4" t="s">
        <v>77</v>
      </c>
      <c r="L637" s="4">
        <v>1</v>
      </c>
      <c r="M637" s="5">
        <v>34.99</v>
      </c>
      <c r="N637" s="4" t="s">
        <v>34</v>
      </c>
      <c r="O637" s="5">
        <v>0</v>
      </c>
      <c r="P637" s="5">
        <v>9.99</v>
      </c>
      <c r="Q637" s="5">
        <v>2.8</v>
      </c>
      <c r="R637" s="5">
        <v>47.78</v>
      </c>
      <c r="S637" s="4" t="s">
        <v>35</v>
      </c>
      <c r="T637" s="4" t="s">
        <v>99</v>
      </c>
      <c r="U637" s="4" t="s">
        <v>66</v>
      </c>
      <c r="V637" s="4" t="s">
        <v>286</v>
      </c>
      <c r="W637" s="5">
        <v>0</v>
      </c>
    </row>
    <row r="638" spans="1:23" x14ac:dyDescent="0.3">
      <c r="A638" s="2" t="s">
        <v>3955</v>
      </c>
      <c r="B638" s="2" t="s">
        <v>227</v>
      </c>
      <c r="C638" s="2" t="s">
        <v>3956</v>
      </c>
      <c r="D638" s="2" t="s">
        <v>3957</v>
      </c>
      <c r="E638" s="2" t="s">
        <v>3958</v>
      </c>
      <c r="F638" s="2" t="s">
        <v>3959</v>
      </c>
      <c r="G638" s="2" t="s">
        <v>87</v>
      </c>
      <c r="H638" s="2" t="s">
        <v>88</v>
      </c>
      <c r="I638" s="2" t="s">
        <v>31</v>
      </c>
      <c r="J638" s="2" t="s">
        <v>1238</v>
      </c>
      <c r="K638" s="2" t="s">
        <v>209</v>
      </c>
      <c r="L638" s="2">
        <v>1</v>
      </c>
      <c r="M638" s="3">
        <v>39.99</v>
      </c>
      <c r="N638" s="2" t="s">
        <v>163</v>
      </c>
      <c r="O638" s="3">
        <v>8</v>
      </c>
      <c r="P638" s="3">
        <v>9.99</v>
      </c>
      <c r="Q638" s="3">
        <v>2.2400000000000002</v>
      </c>
      <c r="R638" s="3">
        <v>44.22</v>
      </c>
      <c r="S638" s="2" t="s">
        <v>111</v>
      </c>
      <c r="T638" s="2" t="s">
        <v>99</v>
      </c>
      <c r="U638" s="2" t="s">
        <v>66</v>
      </c>
      <c r="V638" s="2" t="s">
        <v>1658</v>
      </c>
      <c r="W638" s="3">
        <v>0</v>
      </c>
    </row>
    <row r="639" spans="1:23" x14ac:dyDescent="0.3">
      <c r="A639" s="4" t="s">
        <v>3960</v>
      </c>
      <c r="B639" s="4" t="s">
        <v>3092</v>
      </c>
      <c r="C639" s="4" t="s">
        <v>3961</v>
      </c>
      <c r="D639" s="4" t="s">
        <v>3962</v>
      </c>
      <c r="E639" s="4" t="s">
        <v>3963</v>
      </c>
      <c r="F639" s="4" t="s">
        <v>3964</v>
      </c>
      <c r="G639" s="4" t="s">
        <v>802</v>
      </c>
      <c r="H639" s="4" t="s">
        <v>88</v>
      </c>
      <c r="I639" s="4" t="s">
        <v>31</v>
      </c>
      <c r="J639" s="4" t="s">
        <v>308</v>
      </c>
      <c r="K639" s="4" t="s">
        <v>62</v>
      </c>
      <c r="L639" s="4">
        <v>1</v>
      </c>
      <c r="M639" s="5">
        <v>29.99</v>
      </c>
      <c r="N639" s="4" t="s">
        <v>63</v>
      </c>
      <c r="O639" s="5">
        <v>7.5</v>
      </c>
      <c r="P639" s="5">
        <v>5.99</v>
      </c>
      <c r="Q639" s="5">
        <v>1.35</v>
      </c>
      <c r="R639" s="5">
        <v>29.83</v>
      </c>
      <c r="S639" s="4" t="s">
        <v>123</v>
      </c>
      <c r="T639" s="4" t="s">
        <v>183</v>
      </c>
      <c r="U639" s="4" t="s">
        <v>51</v>
      </c>
      <c r="V639" s="4" t="s">
        <v>1315</v>
      </c>
      <c r="W639" s="5">
        <v>0</v>
      </c>
    </row>
    <row r="640" spans="1:23" x14ac:dyDescent="0.3">
      <c r="A640" s="2" t="s">
        <v>3965</v>
      </c>
      <c r="B640" s="2" t="s">
        <v>3042</v>
      </c>
      <c r="C640" s="2" t="s">
        <v>3966</v>
      </c>
      <c r="D640" s="2" t="s">
        <v>148</v>
      </c>
      <c r="E640" s="2" t="s">
        <v>3967</v>
      </c>
      <c r="F640" s="2" t="s">
        <v>3968</v>
      </c>
      <c r="G640" s="2" t="s">
        <v>140</v>
      </c>
      <c r="H640" s="2" t="s">
        <v>141</v>
      </c>
      <c r="I640" s="2" t="s">
        <v>31</v>
      </c>
      <c r="J640" s="2" t="s">
        <v>3969</v>
      </c>
      <c r="K640" s="2" t="s">
        <v>62</v>
      </c>
      <c r="L640" s="2">
        <v>2</v>
      </c>
      <c r="M640" s="3">
        <v>134.97</v>
      </c>
      <c r="N640" s="2" t="s">
        <v>163</v>
      </c>
      <c r="O640" s="3">
        <v>26.99</v>
      </c>
      <c r="P640" s="3">
        <v>0</v>
      </c>
      <c r="Q640" s="3">
        <v>8.64</v>
      </c>
      <c r="R640" s="3">
        <v>116.62</v>
      </c>
      <c r="S640" s="2" t="s">
        <v>35</v>
      </c>
      <c r="T640" s="2" t="s">
        <v>99</v>
      </c>
      <c r="U640" s="2" t="s">
        <v>66</v>
      </c>
      <c r="V640" s="2" t="s">
        <v>744</v>
      </c>
      <c r="W640" s="3">
        <v>0</v>
      </c>
    </row>
    <row r="641" spans="1:23" x14ac:dyDescent="0.3">
      <c r="A641" s="4" t="s">
        <v>3970</v>
      </c>
      <c r="B641" s="4" t="s">
        <v>1323</v>
      </c>
      <c r="C641" s="4" t="s">
        <v>3971</v>
      </c>
      <c r="D641" s="4" t="s">
        <v>3972</v>
      </c>
      <c r="E641" s="4" t="s">
        <v>3973</v>
      </c>
      <c r="F641" s="4" t="s">
        <v>3974</v>
      </c>
      <c r="G641" s="4" t="s">
        <v>131</v>
      </c>
      <c r="H641" s="4" t="s">
        <v>88</v>
      </c>
      <c r="I641" s="4" t="s">
        <v>31</v>
      </c>
      <c r="J641" s="4" t="s">
        <v>3975</v>
      </c>
      <c r="K641" s="4" t="s">
        <v>33</v>
      </c>
      <c r="L641" s="4">
        <v>3</v>
      </c>
      <c r="M641" s="5">
        <v>224.94</v>
      </c>
      <c r="N641" s="4" t="s">
        <v>49</v>
      </c>
      <c r="O641" s="5">
        <v>33.74</v>
      </c>
      <c r="P641" s="5">
        <v>0</v>
      </c>
      <c r="Q641" s="5">
        <v>11.47</v>
      </c>
      <c r="R641" s="5">
        <v>202.67</v>
      </c>
      <c r="S641" s="4" t="s">
        <v>79</v>
      </c>
      <c r="T641" s="4" t="s">
        <v>183</v>
      </c>
      <c r="U641" s="4" t="s">
        <v>51</v>
      </c>
      <c r="V641" s="4" t="s">
        <v>3421</v>
      </c>
      <c r="W641" s="5">
        <v>0</v>
      </c>
    </row>
    <row r="642" spans="1:23" x14ac:dyDescent="0.3">
      <c r="A642" s="2" t="s">
        <v>3976</v>
      </c>
      <c r="B642" s="2" t="s">
        <v>635</v>
      </c>
      <c r="C642" s="2" t="s">
        <v>3977</v>
      </c>
      <c r="D642" s="2" t="s">
        <v>3978</v>
      </c>
      <c r="E642" s="2" t="s">
        <v>3979</v>
      </c>
      <c r="F642" s="2" t="s">
        <v>3980</v>
      </c>
      <c r="G642" s="2" t="s">
        <v>140</v>
      </c>
      <c r="H642" s="2" t="s">
        <v>141</v>
      </c>
      <c r="I642" s="2" t="s">
        <v>31</v>
      </c>
      <c r="J642" s="2" t="s">
        <v>3981</v>
      </c>
      <c r="K642" s="2" t="s">
        <v>122</v>
      </c>
      <c r="L642" s="2">
        <v>2</v>
      </c>
      <c r="M642" s="3">
        <v>369.97</v>
      </c>
      <c r="N642" s="2" t="s">
        <v>163</v>
      </c>
      <c r="O642" s="3">
        <v>73.989999999999995</v>
      </c>
      <c r="P642" s="3">
        <v>0</v>
      </c>
      <c r="Q642" s="3">
        <v>23.68</v>
      </c>
      <c r="R642" s="3">
        <v>319.66000000000003</v>
      </c>
      <c r="S642" s="2" t="s">
        <v>35</v>
      </c>
      <c r="T642" s="2" t="s">
        <v>36</v>
      </c>
      <c r="U642" s="2" t="s">
        <v>66</v>
      </c>
      <c r="V642" s="2" t="s">
        <v>542</v>
      </c>
      <c r="W642" s="3">
        <v>0</v>
      </c>
    </row>
    <row r="643" spans="1:23" x14ac:dyDescent="0.3">
      <c r="A643" s="4" t="s">
        <v>3982</v>
      </c>
      <c r="B643" s="4" t="s">
        <v>1321</v>
      </c>
      <c r="C643" s="4" t="s">
        <v>3983</v>
      </c>
      <c r="D643" s="4" t="s">
        <v>1403</v>
      </c>
      <c r="E643" s="4" t="s">
        <v>3984</v>
      </c>
      <c r="F643" s="4" t="s">
        <v>3985</v>
      </c>
      <c r="G643" s="4" t="s">
        <v>180</v>
      </c>
      <c r="H643" s="4" t="s">
        <v>181</v>
      </c>
      <c r="I643" s="4" t="s">
        <v>31</v>
      </c>
      <c r="J643" s="4" t="s">
        <v>1148</v>
      </c>
      <c r="K643" s="4" t="s">
        <v>33</v>
      </c>
      <c r="L643" s="4">
        <v>1</v>
      </c>
      <c r="M643" s="5">
        <v>18.989999999999998</v>
      </c>
      <c r="N643" s="4" t="s">
        <v>49</v>
      </c>
      <c r="O643" s="5">
        <v>2.85</v>
      </c>
      <c r="P643" s="5">
        <v>5.99</v>
      </c>
      <c r="Q643" s="5">
        <v>1.61</v>
      </c>
      <c r="R643" s="5">
        <v>23.74</v>
      </c>
      <c r="S643" s="4" t="s">
        <v>35</v>
      </c>
      <c r="T643" s="4" t="s">
        <v>173</v>
      </c>
      <c r="U643" s="4" t="s">
        <v>66</v>
      </c>
      <c r="V643" s="4" t="s">
        <v>669</v>
      </c>
      <c r="W643" s="5">
        <v>0</v>
      </c>
    </row>
    <row r="644" spans="1:23" x14ac:dyDescent="0.3">
      <c r="A644" s="2" t="s">
        <v>3986</v>
      </c>
      <c r="B644" s="2" t="s">
        <v>3944</v>
      </c>
      <c r="C644" s="2" t="s">
        <v>3987</v>
      </c>
      <c r="D644" s="2" t="s">
        <v>3988</v>
      </c>
      <c r="E644" s="2" t="s">
        <v>3989</v>
      </c>
      <c r="F644" s="2" t="s">
        <v>3990</v>
      </c>
      <c r="G644" s="2" t="s">
        <v>242</v>
      </c>
      <c r="H644" s="2" t="s">
        <v>243</v>
      </c>
      <c r="I644" s="2" t="s">
        <v>31</v>
      </c>
      <c r="J644" s="2" t="s">
        <v>3991</v>
      </c>
      <c r="K644" s="2" t="s">
        <v>77</v>
      </c>
      <c r="L644" s="2">
        <v>2</v>
      </c>
      <c r="M644" s="3">
        <v>154.96</v>
      </c>
      <c r="N644" s="2" t="s">
        <v>78</v>
      </c>
      <c r="O644" s="3">
        <v>15.5</v>
      </c>
      <c r="P644" s="3">
        <v>0</v>
      </c>
      <c r="Q644" s="3">
        <v>11.85</v>
      </c>
      <c r="R644" s="3">
        <v>151.31</v>
      </c>
      <c r="S644" s="2" t="s">
        <v>437</v>
      </c>
      <c r="T644" s="2" t="s">
        <v>99</v>
      </c>
      <c r="U644" s="2" t="s">
        <v>317</v>
      </c>
      <c r="V644" s="2"/>
      <c r="W644" s="3">
        <v>0</v>
      </c>
    </row>
    <row r="645" spans="1:23" x14ac:dyDescent="0.3">
      <c r="A645" s="4" t="s">
        <v>3992</v>
      </c>
      <c r="B645" s="4" t="s">
        <v>1623</v>
      </c>
      <c r="C645" s="4" t="s">
        <v>3993</v>
      </c>
      <c r="D645" s="4" t="s">
        <v>1158</v>
      </c>
      <c r="E645" s="4" t="s">
        <v>3994</v>
      </c>
      <c r="F645" s="4" t="s">
        <v>3995</v>
      </c>
      <c r="G645" s="4" t="s">
        <v>394</v>
      </c>
      <c r="H645" s="4" t="s">
        <v>395</v>
      </c>
      <c r="I645" s="4" t="s">
        <v>31</v>
      </c>
      <c r="J645" s="4" t="s">
        <v>3996</v>
      </c>
      <c r="K645" s="4" t="s">
        <v>143</v>
      </c>
      <c r="L645" s="4">
        <v>3</v>
      </c>
      <c r="M645" s="5">
        <v>367.96</v>
      </c>
      <c r="N645" s="4" t="s">
        <v>34</v>
      </c>
      <c r="O645" s="5">
        <v>0</v>
      </c>
      <c r="P645" s="5">
        <v>0</v>
      </c>
      <c r="Q645" s="5">
        <v>29.44</v>
      </c>
      <c r="R645" s="5">
        <v>397.4</v>
      </c>
      <c r="S645" s="4" t="s">
        <v>35</v>
      </c>
      <c r="T645" s="4" t="s">
        <v>99</v>
      </c>
      <c r="U645" s="4" t="s">
        <v>317</v>
      </c>
      <c r="V645" s="4"/>
      <c r="W645" s="5">
        <v>0</v>
      </c>
    </row>
    <row r="646" spans="1:23" x14ac:dyDescent="0.3">
      <c r="A646" s="2" t="s">
        <v>3997</v>
      </c>
      <c r="B646" s="2" t="s">
        <v>328</v>
      </c>
      <c r="C646" s="2" t="s">
        <v>3998</v>
      </c>
      <c r="D646" s="2" t="s">
        <v>3999</v>
      </c>
      <c r="E646" s="2" t="s">
        <v>4000</v>
      </c>
      <c r="F646" s="2" t="s">
        <v>4001</v>
      </c>
      <c r="G646" s="2" t="s">
        <v>119</v>
      </c>
      <c r="H646" s="2" t="s">
        <v>120</v>
      </c>
      <c r="I646" s="2" t="s">
        <v>31</v>
      </c>
      <c r="J646" s="2" t="s">
        <v>4002</v>
      </c>
      <c r="K646" s="2" t="s">
        <v>122</v>
      </c>
      <c r="L646" s="2">
        <v>4</v>
      </c>
      <c r="M646" s="3">
        <v>465.95</v>
      </c>
      <c r="N646" s="2" t="s">
        <v>152</v>
      </c>
      <c r="O646" s="3">
        <v>23.3</v>
      </c>
      <c r="P646" s="3">
        <v>0</v>
      </c>
      <c r="Q646" s="3">
        <v>30.99</v>
      </c>
      <c r="R646" s="3">
        <v>473.64</v>
      </c>
      <c r="S646" s="2" t="s">
        <v>123</v>
      </c>
      <c r="T646" s="2" t="s">
        <v>183</v>
      </c>
      <c r="U646" s="2" t="s">
        <v>66</v>
      </c>
      <c r="V646" s="2" t="s">
        <v>309</v>
      </c>
      <c r="W646" s="3">
        <v>0</v>
      </c>
    </row>
    <row r="647" spans="1:23" x14ac:dyDescent="0.3">
      <c r="A647" s="4" t="s">
        <v>4003</v>
      </c>
      <c r="B647" s="4" t="s">
        <v>734</v>
      </c>
      <c r="C647" s="4" t="s">
        <v>4004</v>
      </c>
      <c r="D647" s="4" t="s">
        <v>4005</v>
      </c>
      <c r="E647" s="4" t="s">
        <v>4006</v>
      </c>
      <c r="F647" s="4" t="s">
        <v>4007</v>
      </c>
      <c r="G647" s="4" t="s">
        <v>251</v>
      </c>
      <c r="H647" s="4" t="s">
        <v>252</v>
      </c>
      <c r="I647" s="4" t="s">
        <v>31</v>
      </c>
      <c r="J647" s="4" t="s">
        <v>1148</v>
      </c>
      <c r="K647" s="4" t="s">
        <v>33</v>
      </c>
      <c r="L647" s="4">
        <v>1</v>
      </c>
      <c r="M647" s="5">
        <v>18.989999999999998</v>
      </c>
      <c r="N647" s="4" t="s">
        <v>78</v>
      </c>
      <c r="O647" s="5">
        <v>1.9</v>
      </c>
      <c r="P647" s="5">
        <v>4.99</v>
      </c>
      <c r="Q647" s="5">
        <v>1.71</v>
      </c>
      <c r="R647" s="5">
        <v>23.79</v>
      </c>
      <c r="S647" s="4" t="s">
        <v>35</v>
      </c>
      <c r="T647" s="4" t="s">
        <v>99</v>
      </c>
      <c r="U647" s="4" t="s">
        <v>37</v>
      </c>
      <c r="V647" s="4" t="s">
        <v>513</v>
      </c>
      <c r="W647" s="5">
        <v>23.79</v>
      </c>
    </row>
    <row r="648" spans="1:23" x14ac:dyDescent="0.3">
      <c r="A648" s="2" t="s">
        <v>4008</v>
      </c>
      <c r="B648" s="2" t="s">
        <v>2616</v>
      </c>
      <c r="C648" s="2" t="s">
        <v>4009</v>
      </c>
      <c r="D648" s="2" t="s">
        <v>4010</v>
      </c>
      <c r="E648" s="2" t="s">
        <v>4011</v>
      </c>
      <c r="F648" s="2" t="s">
        <v>4012</v>
      </c>
      <c r="G648" s="2" t="s">
        <v>190</v>
      </c>
      <c r="H648" s="2" t="s">
        <v>161</v>
      </c>
      <c r="I648" s="2" t="s">
        <v>31</v>
      </c>
      <c r="J648" s="2" t="s">
        <v>4013</v>
      </c>
      <c r="K648" s="2" t="s">
        <v>122</v>
      </c>
      <c r="L648" s="2">
        <v>2</v>
      </c>
      <c r="M648" s="3">
        <v>149.97999999999999</v>
      </c>
      <c r="N648" s="2" t="s">
        <v>63</v>
      </c>
      <c r="O648" s="3">
        <v>37.49</v>
      </c>
      <c r="P648" s="3">
        <v>0</v>
      </c>
      <c r="Q648" s="3">
        <v>6.75</v>
      </c>
      <c r="R648" s="3">
        <v>119.24</v>
      </c>
      <c r="S648" s="2" t="s">
        <v>123</v>
      </c>
      <c r="T648" s="2" t="s">
        <v>183</v>
      </c>
      <c r="U648" s="2" t="s">
        <v>66</v>
      </c>
      <c r="V648" s="2" t="s">
        <v>635</v>
      </c>
      <c r="W648" s="3">
        <v>0</v>
      </c>
    </row>
    <row r="649" spans="1:23" x14ac:dyDescent="0.3">
      <c r="A649" s="4" t="s">
        <v>4014</v>
      </c>
      <c r="B649" s="4" t="s">
        <v>3475</v>
      </c>
      <c r="C649" s="4" t="s">
        <v>4015</v>
      </c>
      <c r="D649" s="4" t="s">
        <v>4016</v>
      </c>
      <c r="E649" s="4" t="s">
        <v>4017</v>
      </c>
      <c r="F649" s="4" t="s">
        <v>4018</v>
      </c>
      <c r="G649" s="4" t="s">
        <v>1730</v>
      </c>
      <c r="H649" s="4" t="s">
        <v>161</v>
      </c>
      <c r="I649" s="4" t="s">
        <v>31</v>
      </c>
      <c r="J649" s="4" t="s">
        <v>4019</v>
      </c>
      <c r="K649" s="4" t="s">
        <v>209</v>
      </c>
      <c r="L649" s="4">
        <v>2</v>
      </c>
      <c r="M649" s="5">
        <v>304.97000000000003</v>
      </c>
      <c r="N649" s="4" t="s">
        <v>34</v>
      </c>
      <c r="O649" s="5">
        <v>0</v>
      </c>
      <c r="P649" s="5">
        <v>0</v>
      </c>
      <c r="Q649" s="5">
        <v>18.3</v>
      </c>
      <c r="R649" s="5">
        <v>323.27</v>
      </c>
      <c r="S649" s="4" t="s">
        <v>35</v>
      </c>
      <c r="T649" s="4" t="s">
        <v>144</v>
      </c>
      <c r="U649" s="4" t="s">
        <v>317</v>
      </c>
      <c r="V649" s="4"/>
      <c r="W649" s="5">
        <v>0</v>
      </c>
    </row>
    <row r="650" spans="1:23" x14ac:dyDescent="0.3">
      <c r="A650" s="2" t="s">
        <v>4020</v>
      </c>
      <c r="B650" s="2" t="s">
        <v>1178</v>
      </c>
      <c r="C650" s="2" t="s">
        <v>4021</v>
      </c>
      <c r="D650" s="2" t="s">
        <v>1757</v>
      </c>
      <c r="E650" s="2" t="s">
        <v>4022</v>
      </c>
      <c r="F650" s="2" t="s">
        <v>4023</v>
      </c>
      <c r="G650" s="2" t="s">
        <v>802</v>
      </c>
      <c r="H650" s="2" t="s">
        <v>88</v>
      </c>
      <c r="I650" s="2" t="s">
        <v>31</v>
      </c>
      <c r="J650" s="2" t="s">
        <v>4024</v>
      </c>
      <c r="K650" s="2" t="s">
        <v>77</v>
      </c>
      <c r="L650" s="2">
        <v>2</v>
      </c>
      <c r="M650" s="3">
        <v>77.98</v>
      </c>
      <c r="N650" s="2" t="s">
        <v>34</v>
      </c>
      <c r="O650" s="3">
        <v>0</v>
      </c>
      <c r="P650" s="3">
        <v>0</v>
      </c>
      <c r="Q650" s="3">
        <v>6.24</v>
      </c>
      <c r="R650" s="3">
        <v>84.22</v>
      </c>
      <c r="S650" s="2" t="s">
        <v>35</v>
      </c>
      <c r="T650" s="2" t="s">
        <v>99</v>
      </c>
      <c r="U650" s="2" t="s">
        <v>66</v>
      </c>
      <c r="V650" s="2" t="s">
        <v>4025</v>
      </c>
      <c r="W650" s="3">
        <v>0</v>
      </c>
    </row>
    <row r="651" spans="1:23" x14ac:dyDescent="0.3">
      <c r="A651" s="4" t="s">
        <v>4026</v>
      </c>
      <c r="B651" s="4" t="s">
        <v>804</v>
      </c>
      <c r="C651" s="4" t="s">
        <v>4027</v>
      </c>
      <c r="D651" s="4" t="s">
        <v>1224</v>
      </c>
      <c r="E651" s="4" t="s">
        <v>4028</v>
      </c>
      <c r="F651" s="4" t="s">
        <v>4029</v>
      </c>
      <c r="G651" s="4" t="s">
        <v>160</v>
      </c>
      <c r="H651" s="4" t="s">
        <v>161</v>
      </c>
      <c r="I651" s="4" t="s">
        <v>31</v>
      </c>
      <c r="J651" s="4" t="s">
        <v>4030</v>
      </c>
      <c r="K651" s="4" t="s">
        <v>143</v>
      </c>
      <c r="L651" s="4">
        <v>2</v>
      </c>
      <c r="M651" s="5">
        <v>259.95999999999998</v>
      </c>
      <c r="N651" s="4" t="s">
        <v>49</v>
      </c>
      <c r="O651" s="5">
        <v>38.99</v>
      </c>
      <c r="P651" s="5">
        <v>0</v>
      </c>
      <c r="Q651" s="5">
        <v>17.68</v>
      </c>
      <c r="R651" s="5">
        <v>238.65</v>
      </c>
      <c r="S651" s="4" t="s">
        <v>332</v>
      </c>
      <c r="T651" s="4" t="s">
        <v>144</v>
      </c>
      <c r="U651" s="4" t="s">
        <v>100</v>
      </c>
      <c r="V651" s="4"/>
      <c r="W651" s="5">
        <v>0</v>
      </c>
    </row>
    <row r="652" spans="1:23" x14ac:dyDescent="0.3">
      <c r="A652" s="2" t="s">
        <v>4031</v>
      </c>
      <c r="B652" s="2" t="s">
        <v>3042</v>
      </c>
      <c r="C652" s="2" t="s">
        <v>4032</v>
      </c>
      <c r="D652" s="2" t="s">
        <v>4010</v>
      </c>
      <c r="E652" s="2" t="s">
        <v>4033</v>
      </c>
      <c r="F652" s="2" t="s">
        <v>4034</v>
      </c>
      <c r="G652" s="2" t="s">
        <v>45</v>
      </c>
      <c r="H652" s="2" t="s">
        <v>46</v>
      </c>
      <c r="I652" s="2" t="s">
        <v>31</v>
      </c>
      <c r="J652" s="2" t="s">
        <v>4035</v>
      </c>
      <c r="K652" s="2" t="s">
        <v>77</v>
      </c>
      <c r="L652" s="2">
        <v>2</v>
      </c>
      <c r="M652" s="3">
        <v>409.95</v>
      </c>
      <c r="N652" s="2" t="s">
        <v>34</v>
      </c>
      <c r="O652" s="3">
        <v>0</v>
      </c>
      <c r="P652" s="3">
        <v>0</v>
      </c>
      <c r="Q652" s="3">
        <v>36.9</v>
      </c>
      <c r="R652" s="3">
        <v>446.85</v>
      </c>
      <c r="S652" s="2" t="s">
        <v>35</v>
      </c>
      <c r="T652" s="2" t="s">
        <v>65</v>
      </c>
      <c r="U652" s="2" t="s">
        <v>100</v>
      </c>
      <c r="V652" s="2"/>
      <c r="W652" s="3">
        <v>0</v>
      </c>
    </row>
    <row r="653" spans="1:23" x14ac:dyDescent="0.3">
      <c r="A653" s="4" t="s">
        <v>4036</v>
      </c>
      <c r="B653" s="4" t="s">
        <v>3356</v>
      </c>
      <c r="C653" s="4" t="s">
        <v>4037</v>
      </c>
      <c r="D653" s="4" t="s">
        <v>4038</v>
      </c>
      <c r="E653" s="4" t="s">
        <v>4039</v>
      </c>
      <c r="F653" s="4" t="s">
        <v>4040</v>
      </c>
      <c r="G653" s="4" t="s">
        <v>59</v>
      </c>
      <c r="H653" s="4" t="s">
        <v>60</v>
      </c>
      <c r="I653" s="4" t="s">
        <v>31</v>
      </c>
      <c r="J653" s="4" t="s">
        <v>316</v>
      </c>
      <c r="K653" s="4" t="s">
        <v>48</v>
      </c>
      <c r="L653" s="4">
        <v>1</v>
      </c>
      <c r="M653" s="5">
        <v>34.99</v>
      </c>
      <c r="N653" s="4" t="s">
        <v>49</v>
      </c>
      <c r="O653" s="5">
        <v>5.25</v>
      </c>
      <c r="P653" s="5">
        <v>7.99</v>
      </c>
      <c r="Q653" s="5">
        <v>2.97</v>
      </c>
      <c r="R653" s="5">
        <v>40.700000000000003</v>
      </c>
      <c r="S653" s="4" t="s">
        <v>35</v>
      </c>
      <c r="T653" s="4" t="s">
        <v>99</v>
      </c>
      <c r="U653" s="4" t="s">
        <v>51</v>
      </c>
      <c r="V653" s="4" t="s">
        <v>358</v>
      </c>
      <c r="W653" s="5">
        <v>0</v>
      </c>
    </row>
    <row r="654" spans="1:23" x14ac:dyDescent="0.3">
      <c r="A654" s="2" t="s">
        <v>4041</v>
      </c>
      <c r="B654" s="2" t="s">
        <v>595</v>
      </c>
      <c r="C654" s="2" t="s">
        <v>4042</v>
      </c>
      <c r="D654" s="2" t="s">
        <v>4043</v>
      </c>
      <c r="E654" s="2" t="s">
        <v>4044</v>
      </c>
      <c r="F654" s="2" t="s">
        <v>4045</v>
      </c>
      <c r="G654" s="2" t="s">
        <v>347</v>
      </c>
      <c r="H654" s="2" t="s">
        <v>60</v>
      </c>
      <c r="I654" s="2" t="s">
        <v>31</v>
      </c>
      <c r="J654" s="2" t="s">
        <v>4046</v>
      </c>
      <c r="K654" s="2" t="s">
        <v>122</v>
      </c>
      <c r="L654" s="2">
        <v>4</v>
      </c>
      <c r="M654" s="3">
        <v>152.94</v>
      </c>
      <c r="N654" s="2" t="s">
        <v>34</v>
      </c>
      <c r="O654" s="3">
        <v>0</v>
      </c>
      <c r="P654" s="3">
        <v>0</v>
      </c>
      <c r="Q654" s="3">
        <v>13</v>
      </c>
      <c r="R654" s="3">
        <v>165.94</v>
      </c>
      <c r="S654" s="2" t="s">
        <v>64</v>
      </c>
      <c r="T654" s="2" t="s">
        <v>99</v>
      </c>
      <c r="U654" s="2" t="s">
        <v>66</v>
      </c>
      <c r="V654" s="2" t="s">
        <v>601</v>
      </c>
      <c r="W654" s="3">
        <v>0</v>
      </c>
    </row>
    <row r="655" spans="1:23" x14ac:dyDescent="0.3">
      <c r="A655" s="4" t="s">
        <v>4047</v>
      </c>
      <c r="B655" s="4" t="s">
        <v>534</v>
      </c>
      <c r="C655" s="4" t="s">
        <v>4048</v>
      </c>
      <c r="D655" s="4" t="s">
        <v>4049</v>
      </c>
      <c r="E655" s="4" t="s">
        <v>4050</v>
      </c>
      <c r="F655" s="4" t="s">
        <v>4051</v>
      </c>
      <c r="G655" s="4" t="s">
        <v>45</v>
      </c>
      <c r="H655" s="4" t="s">
        <v>46</v>
      </c>
      <c r="I655" s="4" t="s">
        <v>31</v>
      </c>
      <c r="J655" s="4" t="s">
        <v>4052</v>
      </c>
      <c r="K655" s="4" t="s">
        <v>110</v>
      </c>
      <c r="L655" s="4">
        <v>2</v>
      </c>
      <c r="M655" s="5">
        <v>75.98</v>
      </c>
      <c r="N655" s="4" t="s">
        <v>63</v>
      </c>
      <c r="O655" s="5">
        <v>19</v>
      </c>
      <c r="P655" s="5">
        <v>0</v>
      </c>
      <c r="Q655" s="5">
        <v>4.84</v>
      </c>
      <c r="R655" s="5">
        <v>61.82</v>
      </c>
      <c r="S655" s="4" t="s">
        <v>123</v>
      </c>
      <c r="T655" s="4" t="s">
        <v>99</v>
      </c>
      <c r="U655" s="4" t="s">
        <v>317</v>
      </c>
      <c r="V655" s="4"/>
      <c r="W655" s="5">
        <v>0</v>
      </c>
    </row>
    <row r="656" spans="1:23" x14ac:dyDescent="0.3">
      <c r="A656" s="2" t="s">
        <v>4053</v>
      </c>
      <c r="B656" s="2" t="s">
        <v>858</v>
      </c>
      <c r="C656" s="2" t="s">
        <v>4054</v>
      </c>
      <c r="D656" s="2" t="s">
        <v>1002</v>
      </c>
      <c r="E656" s="2" t="s">
        <v>4055</v>
      </c>
      <c r="F656" s="2" t="s">
        <v>4056</v>
      </c>
      <c r="G656" s="2" t="s">
        <v>59</v>
      </c>
      <c r="H656" s="2" t="s">
        <v>60</v>
      </c>
      <c r="I656" s="2" t="s">
        <v>31</v>
      </c>
      <c r="J656" s="2" t="s">
        <v>4057</v>
      </c>
      <c r="K656" s="2" t="s">
        <v>122</v>
      </c>
      <c r="L656" s="2">
        <v>2</v>
      </c>
      <c r="M656" s="3">
        <v>155.97</v>
      </c>
      <c r="N656" s="2" t="s">
        <v>63</v>
      </c>
      <c r="O656" s="3">
        <v>38.99</v>
      </c>
      <c r="P656" s="3">
        <v>0</v>
      </c>
      <c r="Q656" s="3">
        <v>10.53</v>
      </c>
      <c r="R656" s="3">
        <v>127.51</v>
      </c>
      <c r="S656" s="2" t="s">
        <v>35</v>
      </c>
      <c r="T656" s="2" t="s">
        <v>173</v>
      </c>
      <c r="U656" s="2" t="s">
        <v>51</v>
      </c>
      <c r="V656" s="2" t="s">
        <v>863</v>
      </c>
      <c r="W656" s="3">
        <v>0</v>
      </c>
    </row>
    <row r="657" spans="1:23" x14ac:dyDescent="0.3">
      <c r="A657" s="4" t="s">
        <v>4058</v>
      </c>
      <c r="B657" s="4" t="s">
        <v>3415</v>
      </c>
      <c r="C657" s="4" t="s">
        <v>4059</v>
      </c>
      <c r="D657" s="4" t="s">
        <v>3197</v>
      </c>
      <c r="E657" s="4" t="s">
        <v>4060</v>
      </c>
      <c r="F657" s="4" t="s">
        <v>4061</v>
      </c>
      <c r="G657" s="4" t="s">
        <v>119</v>
      </c>
      <c r="H657" s="4" t="s">
        <v>120</v>
      </c>
      <c r="I657" s="4" t="s">
        <v>31</v>
      </c>
      <c r="J657" s="4" t="s">
        <v>4062</v>
      </c>
      <c r="K657" s="4" t="s">
        <v>209</v>
      </c>
      <c r="L657" s="4">
        <v>5</v>
      </c>
      <c r="M657" s="5">
        <v>253.95</v>
      </c>
      <c r="N657" s="4" t="s">
        <v>78</v>
      </c>
      <c r="O657" s="5">
        <v>25.39</v>
      </c>
      <c r="P657" s="5">
        <v>0</v>
      </c>
      <c r="Q657" s="5">
        <v>22.86</v>
      </c>
      <c r="R657" s="5">
        <v>251.42</v>
      </c>
      <c r="S657" s="4" t="s">
        <v>64</v>
      </c>
      <c r="T657" s="4" t="s">
        <v>99</v>
      </c>
      <c r="U657" s="4" t="s">
        <v>66</v>
      </c>
      <c r="V657" s="4" t="s">
        <v>671</v>
      </c>
      <c r="W657" s="5">
        <v>0</v>
      </c>
    </row>
    <row r="658" spans="1:23" x14ac:dyDescent="0.3">
      <c r="A658" s="2" t="s">
        <v>4063</v>
      </c>
      <c r="B658" s="2" t="s">
        <v>1846</v>
      </c>
      <c r="C658" s="2" t="s">
        <v>4064</v>
      </c>
      <c r="D658" s="2" t="s">
        <v>4065</v>
      </c>
      <c r="E658" s="2" t="s">
        <v>4066</v>
      </c>
      <c r="F658" s="2" t="s">
        <v>4067</v>
      </c>
      <c r="G658" s="2" t="s">
        <v>394</v>
      </c>
      <c r="H658" s="2" t="s">
        <v>395</v>
      </c>
      <c r="I658" s="2" t="s">
        <v>31</v>
      </c>
      <c r="J658" s="2" t="s">
        <v>4068</v>
      </c>
      <c r="K658" s="2" t="s">
        <v>33</v>
      </c>
      <c r="L658" s="2">
        <v>2</v>
      </c>
      <c r="M658" s="3">
        <v>119.98</v>
      </c>
      <c r="N658" s="2" t="s">
        <v>34</v>
      </c>
      <c r="O658" s="3">
        <v>0</v>
      </c>
      <c r="P658" s="3">
        <v>0</v>
      </c>
      <c r="Q658" s="3">
        <v>9.6</v>
      </c>
      <c r="R658" s="3">
        <v>129.58000000000001</v>
      </c>
      <c r="S658" s="2" t="s">
        <v>35</v>
      </c>
      <c r="T658" s="2" t="s">
        <v>36</v>
      </c>
      <c r="U658" s="2" t="s">
        <v>66</v>
      </c>
      <c r="V658" s="2" t="s">
        <v>2584</v>
      </c>
      <c r="W658" s="3">
        <v>0</v>
      </c>
    </row>
    <row r="659" spans="1:23" x14ac:dyDescent="0.3">
      <c r="A659" s="4" t="s">
        <v>4069</v>
      </c>
      <c r="B659" s="4" t="s">
        <v>237</v>
      </c>
      <c r="C659" s="4" t="s">
        <v>4070</v>
      </c>
      <c r="D659" s="4" t="s">
        <v>4071</v>
      </c>
      <c r="E659" s="4" t="s">
        <v>4072</v>
      </c>
      <c r="F659" s="4" t="s">
        <v>4073</v>
      </c>
      <c r="G659" s="4" t="s">
        <v>347</v>
      </c>
      <c r="H659" s="4" t="s">
        <v>60</v>
      </c>
      <c r="I659" s="4" t="s">
        <v>31</v>
      </c>
      <c r="J659" s="4" t="s">
        <v>4074</v>
      </c>
      <c r="K659" s="4" t="s">
        <v>33</v>
      </c>
      <c r="L659" s="4">
        <v>3</v>
      </c>
      <c r="M659" s="5">
        <v>204.97</v>
      </c>
      <c r="N659" s="4" t="s">
        <v>34</v>
      </c>
      <c r="O659" s="5">
        <v>0</v>
      </c>
      <c r="P659" s="5">
        <v>0</v>
      </c>
      <c r="Q659" s="5">
        <v>12.3</v>
      </c>
      <c r="R659" s="5">
        <v>217.27</v>
      </c>
      <c r="S659" s="4" t="s">
        <v>79</v>
      </c>
      <c r="T659" s="4" t="s">
        <v>36</v>
      </c>
      <c r="U659" s="4" t="s">
        <v>66</v>
      </c>
      <c r="V659" s="4" t="s">
        <v>245</v>
      </c>
      <c r="W659" s="5">
        <v>0</v>
      </c>
    </row>
    <row r="660" spans="1:23" x14ac:dyDescent="0.3">
      <c r="A660" s="2" t="s">
        <v>4075</v>
      </c>
      <c r="B660" s="2" t="s">
        <v>3927</v>
      </c>
      <c r="C660" s="2" t="s">
        <v>4076</v>
      </c>
      <c r="D660" s="2" t="s">
        <v>4077</v>
      </c>
      <c r="E660" s="2" t="s">
        <v>4078</v>
      </c>
      <c r="F660" s="2" t="s">
        <v>4079</v>
      </c>
      <c r="G660" s="2" t="s">
        <v>291</v>
      </c>
      <c r="H660" s="2" t="s">
        <v>292</v>
      </c>
      <c r="I660" s="2" t="s">
        <v>31</v>
      </c>
      <c r="J660" s="2" t="s">
        <v>632</v>
      </c>
      <c r="K660" s="2" t="s">
        <v>33</v>
      </c>
      <c r="L660" s="2">
        <v>1</v>
      </c>
      <c r="M660" s="3">
        <v>49.99</v>
      </c>
      <c r="N660" s="2" t="s">
        <v>78</v>
      </c>
      <c r="O660" s="3">
        <v>5</v>
      </c>
      <c r="P660" s="3">
        <v>4.99</v>
      </c>
      <c r="Q660" s="3">
        <v>3.15</v>
      </c>
      <c r="R660" s="3">
        <v>53.13</v>
      </c>
      <c r="S660" s="2" t="s">
        <v>64</v>
      </c>
      <c r="T660" s="2" t="s">
        <v>99</v>
      </c>
      <c r="U660" s="2" t="s">
        <v>317</v>
      </c>
      <c r="V660" s="2"/>
      <c r="W660" s="3">
        <v>0</v>
      </c>
    </row>
    <row r="661" spans="1:23" x14ac:dyDescent="0.3">
      <c r="A661" s="4" t="s">
        <v>4080</v>
      </c>
      <c r="B661" s="4" t="s">
        <v>342</v>
      </c>
      <c r="C661" s="4" t="s">
        <v>4081</v>
      </c>
      <c r="D661" s="4" t="s">
        <v>4082</v>
      </c>
      <c r="E661" s="4" t="s">
        <v>4083</v>
      </c>
      <c r="F661" s="4" t="s">
        <v>4084</v>
      </c>
      <c r="G661" s="4" t="s">
        <v>131</v>
      </c>
      <c r="H661" s="4" t="s">
        <v>88</v>
      </c>
      <c r="I661" s="4" t="s">
        <v>31</v>
      </c>
      <c r="J661" s="4" t="s">
        <v>4085</v>
      </c>
      <c r="K661" s="4" t="s">
        <v>122</v>
      </c>
      <c r="L661" s="4">
        <v>3</v>
      </c>
      <c r="M661" s="5">
        <v>172.97</v>
      </c>
      <c r="N661" s="4" t="s">
        <v>163</v>
      </c>
      <c r="O661" s="5">
        <v>34.590000000000003</v>
      </c>
      <c r="P661" s="5">
        <v>0</v>
      </c>
      <c r="Q661" s="5">
        <v>11.76</v>
      </c>
      <c r="R661" s="5">
        <v>150.13999999999999</v>
      </c>
      <c r="S661" s="4" t="s">
        <v>64</v>
      </c>
      <c r="T661" s="4" t="s">
        <v>99</v>
      </c>
      <c r="U661" s="4" t="s">
        <v>66</v>
      </c>
      <c r="V661" s="4" t="s">
        <v>649</v>
      </c>
      <c r="W661" s="5">
        <v>0</v>
      </c>
    </row>
    <row r="662" spans="1:23" x14ac:dyDescent="0.3">
      <c r="A662" s="2" t="s">
        <v>4086</v>
      </c>
      <c r="B662" s="2" t="s">
        <v>227</v>
      </c>
      <c r="C662" s="2" t="s">
        <v>4087</v>
      </c>
      <c r="D662" s="2" t="s">
        <v>4088</v>
      </c>
      <c r="E662" s="2" t="s">
        <v>4089</v>
      </c>
      <c r="F662" s="2" t="s">
        <v>4090</v>
      </c>
      <c r="G662" s="2" t="s">
        <v>74</v>
      </c>
      <c r="H662" s="2" t="s">
        <v>75</v>
      </c>
      <c r="I662" s="2" t="s">
        <v>31</v>
      </c>
      <c r="J662" s="2" t="s">
        <v>4091</v>
      </c>
      <c r="K662" s="2" t="s">
        <v>122</v>
      </c>
      <c r="L662" s="2">
        <v>2</v>
      </c>
      <c r="M662" s="3">
        <v>138.96</v>
      </c>
      <c r="N662" s="2" t="s">
        <v>34</v>
      </c>
      <c r="O662" s="3">
        <v>0</v>
      </c>
      <c r="P662" s="3">
        <v>0</v>
      </c>
      <c r="Q662" s="3">
        <v>11.81</v>
      </c>
      <c r="R662" s="3">
        <v>150.77000000000001</v>
      </c>
      <c r="S662" s="2" t="s">
        <v>123</v>
      </c>
      <c r="T662" s="2" t="s">
        <v>50</v>
      </c>
      <c r="U662" s="2" t="s">
        <v>66</v>
      </c>
      <c r="V662" s="2" t="s">
        <v>984</v>
      </c>
      <c r="W662" s="3">
        <v>0</v>
      </c>
    </row>
    <row r="663" spans="1:23" x14ac:dyDescent="0.3">
      <c r="A663" s="4" t="s">
        <v>4092</v>
      </c>
      <c r="B663" s="4" t="s">
        <v>2222</v>
      </c>
      <c r="C663" s="4" t="s">
        <v>4093</v>
      </c>
      <c r="D663" s="4" t="s">
        <v>4094</v>
      </c>
      <c r="E663" s="4" t="s">
        <v>4095</v>
      </c>
      <c r="F663" s="4" t="s">
        <v>4096</v>
      </c>
      <c r="G663" s="4" t="s">
        <v>676</v>
      </c>
      <c r="H663" s="4" t="s">
        <v>677</v>
      </c>
      <c r="I663" s="4" t="s">
        <v>31</v>
      </c>
      <c r="J663" s="4" t="s">
        <v>371</v>
      </c>
      <c r="K663" s="4" t="s">
        <v>122</v>
      </c>
      <c r="L663" s="4">
        <v>1</v>
      </c>
      <c r="M663" s="5">
        <v>109.99</v>
      </c>
      <c r="N663" s="4" t="s">
        <v>34</v>
      </c>
      <c r="O663" s="5">
        <v>0</v>
      </c>
      <c r="P663" s="5">
        <v>0</v>
      </c>
      <c r="Q663" s="5">
        <v>9.9</v>
      </c>
      <c r="R663" s="5">
        <v>119.89</v>
      </c>
      <c r="S663" s="4" t="s">
        <v>35</v>
      </c>
      <c r="T663" s="4" t="s">
        <v>36</v>
      </c>
      <c r="U663" s="4" t="s">
        <v>100</v>
      </c>
      <c r="V663" s="4"/>
      <c r="W663" s="5">
        <v>0</v>
      </c>
    </row>
    <row r="664" spans="1:23" x14ac:dyDescent="0.3">
      <c r="A664" s="2" t="s">
        <v>4097</v>
      </c>
      <c r="B664" s="2" t="s">
        <v>342</v>
      </c>
      <c r="C664" s="2" t="s">
        <v>4098</v>
      </c>
      <c r="D664" s="2" t="s">
        <v>2299</v>
      </c>
      <c r="E664" s="2" t="s">
        <v>4099</v>
      </c>
      <c r="F664" s="2" t="s">
        <v>4100</v>
      </c>
      <c r="G664" s="2" t="s">
        <v>676</v>
      </c>
      <c r="H664" s="2" t="s">
        <v>677</v>
      </c>
      <c r="I664" s="2" t="s">
        <v>31</v>
      </c>
      <c r="J664" s="2" t="s">
        <v>4101</v>
      </c>
      <c r="K664" s="2" t="s">
        <v>143</v>
      </c>
      <c r="L664" s="2">
        <v>2</v>
      </c>
      <c r="M664" s="3">
        <v>279.97000000000003</v>
      </c>
      <c r="N664" s="2" t="s">
        <v>63</v>
      </c>
      <c r="O664" s="3">
        <v>69.989999999999995</v>
      </c>
      <c r="P664" s="3">
        <v>0</v>
      </c>
      <c r="Q664" s="3">
        <v>12.6</v>
      </c>
      <c r="R664" s="3">
        <v>222.58</v>
      </c>
      <c r="S664" s="2" t="s">
        <v>35</v>
      </c>
      <c r="T664" s="2" t="s">
        <v>99</v>
      </c>
      <c r="U664" s="2" t="s">
        <v>66</v>
      </c>
      <c r="V664" s="2" t="s">
        <v>296</v>
      </c>
      <c r="W664" s="3">
        <v>0</v>
      </c>
    </row>
    <row r="665" spans="1:23" x14ac:dyDescent="0.3">
      <c r="A665" s="4" t="s">
        <v>4102</v>
      </c>
      <c r="B665" s="4" t="s">
        <v>1271</v>
      </c>
      <c r="C665" s="4" t="s">
        <v>4103</v>
      </c>
      <c r="D665" s="4" t="s">
        <v>4104</v>
      </c>
      <c r="E665" s="4" t="s">
        <v>4105</v>
      </c>
      <c r="F665" s="4" t="s">
        <v>4106</v>
      </c>
      <c r="G665" s="4" t="s">
        <v>45</v>
      </c>
      <c r="H665" s="4" t="s">
        <v>46</v>
      </c>
      <c r="I665" s="4" t="s">
        <v>31</v>
      </c>
      <c r="J665" s="4" t="s">
        <v>4107</v>
      </c>
      <c r="K665" s="4" t="s">
        <v>62</v>
      </c>
      <c r="L665" s="4">
        <v>2</v>
      </c>
      <c r="M665" s="5">
        <v>194.97</v>
      </c>
      <c r="N665" s="4" t="s">
        <v>78</v>
      </c>
      <c r="O665" s="5">
        <v>19.5</v>
      </c>
      <c r="P665" s="5">
        <v>0</v>
      </c>
      <c r="Q665" s="5">
        <v>17.55</v>
      </c>
      <c r="R665" s="5">
        <v>193.02</v>
      </c>
      <c r="S665" s="4" t="s">
        <v>111</v>
      </c>
      <c r="T665" s="4" t="s">
        <v>99</v>
      </c>
      <c r="U665" s="4" t="s">
        <v>66</v>
      </c>
      <c r="V665" s="4" t="s">
        <v>52</v>
      </c>
      <c r="W665" s="5">
        <v>0</v>
      </c>
    </row>
    <row r="666" spans="1:23" x14ac:dyDescent="0.3">
      <c r="A666" s="2" t="s">
        <v>4108</v>
      </c>
      <c r="B666" s="2" t="s">
        <v>617</v>
      </c>
      <c r="C666" s="2" t="s">
        <v>4109</v>
      </c>
      <c r="D666" s="2" t="s">
        <v>4110</v>
      </c>
      <c r="E666" s="2" t="s">
        <v>4111</v>
      </c>
      <c r="F666" s="2" t="s">
        <v>4112</v>
      </c>
      <c r="G666" s="2" t="s">
        <v>119</v>
      </c>
      <c r="H666" s="2" t="s">
        <v>120</v>
      </c>
      <c r="I666" s="2" t="s">
        <v>31</v>
      </c>
      <c r="J666" s="2" t="s">
        <v>4113</v>
      </c>
      <c r="K666" s="2" t="s">
        <v>209</v>
      </c>
      <c r="L666" s="2">
        <v>3</v>
      </c>
      <c r="M666" s="3">
        <v>265.97000000000003</v>
      </c>
      <c r="N666" s="2" t="s">
        <v>34</v>
      </c>
      <c r="O666" s="3">
        <v>0</v>
      </c>
      <c r="P666" s="3">
        <v>0</v>
      </c>
      <c r="Q666" s="3">
        <v>26.6</v>
      </c>
      <c r="R666" s="3">
        <v>292.57</v>
      </c>
      <c r="S666" s="2" t="s">
        <v>123</v>
      </c>
      <c r="T666" s="2" t="s">
        <v>99</v>
      </c>
      <c r="U666" s="2" t="s">
        <v>66</v>
      </c>
      <c r="V666" s="2" t="s">
        <v>2325</v>
      </c>
      <c r="W666" s="3">
        <v>0</v>
      </c>
    </row>
    <row r="667" spans="1:23" x14ac:dyDescent="0.3">
      <c r="A667" s="4" t="s">
        <v>4114</v>
      </c>
      <c r="B667" s="4" t="s">
        <v>133</v>
      </c>
      <c r="C667" s="4" t="s">
        <v>4115</v>
      </c>
      <c r="D667" s="4" t="s">
        <v>4116</v>
      </c>
      <c r="E667" s="4" t="s">
        <v>4117</v>
      </c>
      <c r="F667" s="4" t="s">
        <v>4118</v>
      </c>
      <c r="G667" s="4" t="s">
        <v>45</v>
      </c>
      <c r="H667" s="4" t="s">
        <v>46</v>
      </c>
      <c r="I667" s="4" t="s">
        <v>31</v>
      </c>
      <c r="J667" s="4" t="s">
        <v>4119</v>
      </c>
      <c r="K667" s="4" t="s">
        <v>209</v>
      </c>
      <c r="L667" s="4">
        <v>2</v>
      </c>
      <c r="M667" s="5">
        <v>89.97</v>
      </c>
      <c r="N667" s="4" t="s">
        <v>34</v>
      </c>
      <c r="O667" s="5">
        <v>0</v>
      </c>
      <c r="P667" s="5">
        <v>0</v>
      </c>
      <c r="Q667" s="5">
        <v>7.2</v>
      </c>
      <c r="R667" s="5">
        <v>97.17</v>
      </c>
      <c r="S667" s="4" t="s">
        <v>64</v>
      </c>
      <c r="T667" s="4" t="s">
        <v>50</v>
      </c>
      <c r="U667" s="4" t="s">
        <v>66</v>
      </c>
      <c r="V667" s="4" t="s">
        <v>470</v>
      </c>
      <c r="W667" s="5">
        <v>0</v>
      </c>
    </row>
    <row r="668" spans="1:23" x14ac:dyDescent="0.3">
      <c r="A668" s="2" t="s">
        <v>4120</v>
      </c>
      <c r="B668" s="2" t="s">
        <v>2210</v>
      </c>
      <c r="C668" s="2" t="s">
        <v>4121</v>
      </c>
      <c r="D668" s="2" t="s">
        <v>4122</v>
      </c>
      <c r="E668" s="2" t="s">
        <v>4123</v>
      </c>
      <c r="F668" s="2" t="s">
        <v>4124</v>
      </c>
      <c r="G668" s="2" t="s">
        <v>291</v>
      </c>
      <c r="H668" s="2" t="s">
        <v>292</v>
      </c>
      <c r="I668" s="2" t="s">
        <v>31</v>
      </c>
      <c r="J668" s="2" t="s">
        <v>4125</v>
      </c>
      <c r="K668" s="2" t="s">
        <v>62</v>
      </c>
      <c r="L668" s="2">
        <v>2</v>
      </c>
      <c r="M668" s="3">
        <v>139.97</v>
      </c>
      <c r="N668" s="2" t="s">
        <v>34</v>
      </c>
      <c r="O668" s="3">
        <v>0</v>
      </c>
      <c r="P668" s="3">
        <v>0</v>
      </c>
      <c r="Q668" s="3">
        <v>11.2</v>
      </c>
      <c r="R668" s="3">
        <v>151.16999999999999</v>
      </c>
      <c r="S668" s="2" t="s">
        <v>35</v>
      </c>
      <c r="T668" s="2" t="s">
        <v>144</v>
      </c>
      <c r="U668" s="2" t="s">
        <v>66</v>
      </c>
      <c r="V668" s="2" t="s">
        <v>1215</v>
      </c>
      <c r="W668" s="3">
        <v>0</v>
      </c>
    </row>
    <row r="669" spans="1:23" x14ac:dyDescent="0.3">
      <c r="A669" s="4" t="s">
        <v>4126</v>
      </c>
      <c r="B669" s="4" t="s">
        <v>277</v>
      </c>
      <c r="C669" s="4" t="s">
        <v>4127</v>
      </c>
      <c r="D669" s="4" t="s">
        <v>42</v>
      </c>
      <c r="E669" s="4" t="s">
        <v>4128</v>
      </c>
      <c r="F669" s="4" t="s">
        <v>4129</v>
      </c>
      <c r="G669" s="4" t="s">
        <v>224</v>
      </c>
      <c r="H669" s="4" t="s">
        <v>225</v>
      </c>
      <c r="I669" s="4" t="s">
        <v>31</v>
      </c>
      <c r="J669" s="4" t="s">
        <v>1232</v>
      </c>
      <c r="K669" s="4" t="s">
        <v>77</v>
      </c>
      <c r="L669" s="4">
        <v>1</v>
      </c>
      <c r="M669" s="5">
        <v>34.99</v>
      </c>
      <c r="N669" s="4" t="s">
        <v>163</v>
      </c>
      <c r="O669" s="5">
        <v>7</v>
      </c>
      <c r="P669" s="5">
        <v>7.99</v>
      </c>
      <c r="Q669" s="5">
        <v>1.68</v>
      </c>
      <c r="R669" s="5">
        <v>37.659999999999997</v>
      </c>
      <c r="S669" s="4" t="s">
        <v>123</v>
      </c>
      <c r="T669" s="4" t="s">
        <v>36</v>
      </c>
      <c r="U669" s="4" t="s">
        <v>51</v>
      </c>
      <c r="V669" s="4" t="s">
        <v>366</v>
      </c>
      <c r="W669" s="5">
        <v>0</v>
      </c>
    </row>
    <row r="670" spans="1:23" x14ac:dyDescent="0.3">
      <c r="A670" s="2" t="s">
        <v>4130</v>
      </c>
      <c r="B670" s="2" t="s">
        <v>965</v>
      </c>
      <c r="C670" s="2" t="s">
        <v>4131</v>
      </c>
      <c r="D670" s="2" t="s">
        <v>2343</v>
      </c>
      <c r="E670" s="2" t="s">
        <v>4132</v>
      </c>
      <c r="F670" s="2" t="s">
        <v>4133</v>
      </c>
      <c r="G670" s="2" t="s">
        <v>171</v>
      </c>
      <c r="H670" s="2" t="s">
        <v>88</v>
      </c>
      <c r="I670" s="2" t="s">
        <v>31</v>
      </c>
      <c r="J670" s="2" t="s">
        <v>883</v>
      </c>
      <c r="K670" s="2" t="s">
        <v>110</v>
      </c>
      <c r="L670" s="2">
        <v>1</v>
      </c>
      <c r="M670" s="3">
        <v>65.98</v>
      </c>
      <c r="N670" s="2" t="s">
        <v>78</v>
      </c>
      <c r="O670" s="3">
        <v>6.6</v>
      </c>
      <c r="P670" s="3">
        <v>5.99</v>
      </c>
      <c r="Q670" s="3">
        <v>4.75</v>
      </c>
      <c r="R670" s="3">
        <v>70.12</v>
      </c>
      <c r="S670" s="2" t="s">
        <v>64</v>
      </c>
      <c r="T670" s="2" t="s">
        <v>173</v>
      </c>
      <c r="U670" s="2" t="s">
        <v>66</v>
      </c>
      <c r="V670" s="2" t="s">
        <v>3228</v>
      </c>
      <c r="W670" s="3">
        <v>0</v>
      </c>
    </row>
    <row r="671" spans="1:23" x14ac:dyDescent="0.3">
      <c r="A671" s="4" t="s">
        <v>4134</v>
      </c>
      <c r="B671" s="4" t="s">
        <v>1618</v>
      </c>
      <c r="C671" s="4" t="s">
        <v>4135</v>
      </c>
      <c r="D671" s="4" t="s">
        <v>4136</v>
      </c>
      <c r="E671" s="4" t="s">
        <v>4137</v>
      </c>
      <c r="F671" s="4" t="s">
        <v>4138</v>
      </c>
      <c r="G671" s="4" t="s">
        <v>45</v>
      </c>
      <c r="H671" s="4" t="s">
        <v>46</v>
      </c>
      <c r="I671" s="4" t="s">
        <v>31</v>
      </c>
      <c r="J671" s="4" t="s">
        <v>4139</v>
      </c>
      <c r="K671" s="4" t="s">
        <v>110</v>
      </c>
      <c r="L671" s="4">
        <v>2</v>
      </c>
      <c r="M671" s="5">
        <v>107.98</v>
      </c>
      <c r="N671" s="4" t="s">
        <v>78</v>
      </c>
      <c r="O671" s="5">
        <v>10.8</v>
      </c>
      <c r="P671" s="5">
        <v>0</v>
      </c>
      <c r="Q671" s="5">
        <v>7.77</v>
      </c>
      <c r="R671" s="5">
        <v>104.95</v>
      </c>
      <c r="S671" s="4" t="s">
        <v>64</v>
      </c>
      <c r="T671" s="4" t="s">
        <v>36</v>
      </c>
      <c r="U671" s="4" t="s">
        <v>66</v>
      </c>
      <c r="V671" s="4" t="s">
        <v>2176</v>
      </c>
      <c r="W671" s="5">
        <v>0</v>
      </c>
    </row>
    <row r="672" spans="1:23" x14ac:dyDescent="0.3">
      <c r="A672" s="2" t="s">
        <v>4140</v>
      </c>
      <c r="B672" s="2" t="s">
        <v>4141</v>
      </c>
      <c r="C672" s="2" t="s">
        <v>4142</v>
      </c>
      <c r="D672" s="2" t="s">
        <v>1266</v>
      </c>
      <c r="E672" s="2" t="s">
        <v>4143</v>
      </c>
      <c r="F672" s="2" t="s">
        <v>4144</v>
      </c>
      <c r="G672" s="2" t="s">
        <v>119</v>
      </c>
      <c r="H672" s="2" t="s">
        <v>120</v>
      </c>
      <c r="I672" s="2" t="s">
        <v>31</v>
      </c>
      <c r="J672" s="2" t="s">
        <v>4145</v>
      </c>
      <c r="K672" s="2" t="s">
        <v>122</v>
      </c>
      <c r="L672" s="2">
        <v>4</v>
      </c>
      <c r="M672" s="3">
        <v>190.95</v>
      </c>
      <c r="N672" s="2" t="s">
        <v>152</v>
      </c>
      <c r="O672" s="3">
        <v>9.5500000000000007</v>
      </c>
      <c r="P672" s="3">
        <v>0</v>
      </c>
      <c r="Q672" s="3">
        <v>15.42</v>
      </c>
      <c r="R672" s="3">
        <v>196.82</v>
      </c>
      <c r="S672" s="2" t="s">
        <v>64</v>
      </c>
      <c r="T672" s="2" t="s">
        <v>144</v>
      </c>
      <c r="U672" s="2" t="s">
        <v>317</v>
      </c>
      <c r="V672" s="2"/>
      <c r="W672" s="3">
        <v>0</v>
      </c>
    </row>
    <row r="673" spans="1:23" x14ac:dyDescent="0.3">
      <c r="A673" s="4" t="s">
        <v>4146</v>
      </c>
      <c r="B673" s="4" t="s">
        <v>562</v>
      </c>
      <c r="C673" s="4" t="s">
        <v>4147</v>
      </c>
      <c r="D673" s="4" t="s">
        <v>4148</v>
      </c>
      <c r="E673" s="4" t="s">
        <v>4149</v>
      </c>
      <c r="F673" s="4" t="s">
        <v>4150</v>
      </c>
      <c r="G673" s="4" t="s">
        <v>59</v>
      </c>
      <c r="H673" s="4" t="s">
        <v>60</v>
      </c>
      <c r="I673" s="4" t="s">
        <v>31</v>
      </c>
      <c r="J673" s="4" t="s">
        <v>234</v>
      </c>
      <c r="K673" s="4" t="s">
        <v>62</v>
      </c>
      <c r="L673" s="4">
        <v>1</v>
      </c>
      <c r="M673" s="5">
        <v>49.98</v>
      </c>
      <c r="N673" s="4" t="s">
        <v>63</v>
      </c>
      <c r="O673" s="5">
        <v>12.49</v>
      </c>
      <c r="P673" s="5">
        <v>4.99</v>
      </c>
      <c r="Q673" s="5">
        <v>3.19</v>
      </c>
      <c r="R673" s="5">
        <v>45.67</v>
      </c>
      <c r="S673" s="4" t="s">
        <v>123</v>
      </c>
      <c r="T673" s="4" t="s">
        <v>99</v>
      </c>
      <c r="U673" s="4" t="s">
        <v>317</v>
      </c>
      <c r="V673" s="4"/>
      <c r="W673" s="5">
        <v>0</v>
      </c>
    </row>
    <row r="674" spans="1:23" x14ac:dyDescent="0.3">
      <c r="A674" s="2" t="s">
        <v>4151</v>
      </c>
      <c r="B674" s="2" t="s">
        <v>2729</v>
      </c>
      <c r="C674" s="2" t="s">
        <v>4152</v>
      </c>
      <c r="D674" s="2" t="s">
        <v>4153</v>
      </c>
      <c r="E674" s="2" t="s">
        <v>4154</v>
      </c>
      <c r="F674" s="2" t="s">
        <v>4155</v>
      </c>
      <c r="G674" s="2" t="s">
        <v>207</v>
      </c>
      <c r="H674" s="2" t="s">
        <v>141</v>
      </c>
      <c r="I674" s="2" t="s">
        <v>31</v>
      </c>
      <c r="J674" s="2" t="s">
        <v>3676</v>
      </c>
      <c r="K674" s="2" t="s">
        <v>110</v>
      </c>
      <c r="L674" s="2">
        <v>1</v>
      </c>
      <c r="M674" s="3">
        <v>79.98</v>
      </c>
      <c r="N674" s="2" t="s">
        <v>34</v>
      </c>
      <c r="O674" s="3">
        <v>0</v>
      </c>
      <c r="P674" s="3">
        <v>0</v>
      </c>
      <c r="Q674" s="3">
        <v>8</v>
      </c>
      <c r="R674" s="3">
        <v>87.98</v>
      </c>
      <c r="S674" s="2" t="s">
        <v>35</v>
      </c>
      <c r="T674" s="2" t="s">
        <v>50</v>
      </c>
      <c r="U674" s="2" t="s">
        <v>66</v>
      </c>
      <c r="V674" s="2" t="s">
        <v>4156</v>
      </c>
      <c r="W674" s="3">
        <v>0</v>
      </c>
    </row>
    <row r="675" spans="1:23" x14ac:dyDescent="0.3">
      <c r="A675" s="4" t="s">
        <v>4157</v>
      </c>
      <c r="B675" s="4" t="s">
        <v>2149</v>
      </c>
      <c r="C675" s="4" t="s">
        <v>4158</v>
      </c>
      <c r="D675" s="4" t="s">
        <v>4159</v>
      </c>
      <c r="E675" s="4" t="s">
        <v>4160</v>
      </c>
      <c r="F675" s="4" t="s">
        <v>4161</v>
      </c>
      <c r="G675" s="4" t="s">
        <v>403</v>
      </c>
      <c r="H675" s="4" t="s">
        <v>404</v>
      </c>
      <c r="I675" s="4" t="s">
        <v>31</v>
      </c>
      <c r="J675" s="4" t="s">
        <v>1141</v>
      </c>
      <c r="K675" s="4" t="s">
        <v>122</v>
      </c>
      <c r="L675" s="4">
        <v>1</v>
      </c>
      <c r="M675" s="5">
        <v>74.989999999999995</v>
      </c>
      <c r="N675" s="4" t="s">
        <v>34</v>
      </c>
      <c r="O675" s="5">
        <v>0</v>
      </c>
      <c r="P675" s="5">
        <v>5.99</v>
      </c>
      <c r="Q675" s="5">
        <v>5.25</v>
      </c>
      <c r="R675" s="5">
        <v>86.23</v>
      </c>
      <c r="S675" s="4" t="s">
        <v>111</v>
      </c>
      <c r="T675" s="4" t="s">
        <v>173</v>
      </c>
      <c r="U675" s="4" t="s">
        <v>66</v>
      </c>
      <c r="V675" s="4" t="s">
        <v>789</v>
      </c>
      <c r="W675" s="5">
        <v>0</v>
      </c>
    </row>
    <row r="676" spans="1:23" x14ac:dyDescent="0.3">
      <c r="A676" s="2" t="s">
        <v>4162</v>
      </c>
      <c r="B676" s="2" t="s">
        <v>135</v>
      </c>
      <c r="C676" s="2" t="s">
        <v>4163</v>
      </c>
      <c r="D676" s="2" t="s">
        <v>4164</v>
      </c>
      <c r="E676" s="2" t="s">
        <v>4165</v>
      </c>
      <c r="F676" s="2" t="s">
        <v>4166</v>
      </c>
      <c r="G676" s="2" t="s">
        <v>403</v>
      </c>
      <c r="H676" s="2" t="s">
        <v>404</v>
      </c>
      <c r="I676" s="2" t="s">
        <v>31</v>
      </c>
      <c r="J676" s="2" t="s">
        <v>4167</v>
      </c>
      <c r="K676" s="2" t="s">
        <v>33</v>
      </c>
      <c r="L676" s="2">
        <v>2</v>
      </c>
      <c r="M676" s="3">
        <v>107.97</v>
      </c>
      <c r="N676" s="2" t="s">
        <v>163</v>
      </c>
      <c r="O676" s="3">
        <v>21.59</v>
      </c>
      <c r="P676" s="3">
        <v>0</v>
      </c>
      <c r="Q676" s="3">
        <v>8.64</v>
      </c>
      <c r="R676" s="3">
        <v>95.02</v>
      </c>
      <c r="S676" s="2" t="s">
        <v>35</v>
      </c>
      <c r="T676" s="2" t="s">
        <v>65</v>
      </c>
      <c r="U676" s="2" t="s">
        <v>317</v>
      </c>
      <c r="V676" s="2"/>
      <c r="W676" s="3">
        <v>0</v>
      </c>
    </row>
    <row r="677" spans="1:23" x14ac:dyDescent="0.3">
      <c r="A677" s="4" t="s">
        <v>4168</v>
      </c>
      <c r="B677" s="4" t="s">
        <v>534</v>
      </c>
      <c r="C677" s="4" t="s">
        <v>4169</v>
      </c>
      <c r="D677" s="4" t="s">
        <v>4170</v>
      </c>
      <c r="E677" s="4" t="s">
        <v>4171</v>
      </c>
      <c r="F677" s="4" t="s">
        <v>4172</v>
      </c>
      <c r="G677" s="4" t="s">
        <v>291</v>
      </c>
      <c r="H677" s="4" t="s">
        <v>292</v>
      </c>
      <c r="I677" s="4" t="s">
        <v>31</v>
      </c>
      <c r="J677" s="4" t="s">
        <v>4173</v>
      </c>
      <c r="K677" s="4" t="s">
        <v>143</v>
      </c>
      <c r="L677" s="4">
        <v>2</v>
      </c>
      <c r="M677" s="5">
        <v>84.98</v>
      </c>
      <c r="N677" s="4" t="s">
        <v>152</v>
      </c>
      <c r="O677" s="5">
        <v>4.25</v>
      </c>
      <c r="P677" s="5">
        <v>0</v>
      </c>
      <c r="Q677" s="5">
        <v>4.84</v>
      </c>
      <c r="R677" s="5">
        <v>85.57</v>
      </c>
      <c r="S677" s="4" t="s">
        <v>35</v>
      </c>
      <c r="T677" s="4" t="s">
        <v>36</v>
      </c>
      <c r="U677" s="4" t="s">
        <v>66</v>
      </c>
      <c r="V677" s="4" t="s">
        <v>431</v>
      </c>
      <c r="W677" s="5">
        <v>0</v>
      </c>
    </row>
    <row r="678" spans="1:23" x14ac:dyDescent="0.3">
      <c r="A678" s="2" t="s">
        <v>4174</v>
      </c>
      <c r="B678" s="2" t="s">
        <v>736</v>
      </c>
      <c r="C678" s="2" t="s">
        <v>4175</v>
      </c>
      <c r="D678" s="2" t="s">
        <v>4176</v>
      </c>
      <c r="E678" s="2" t="s">
        <v>4177</v>
      </c>
      <c r="F678" s="2" t="s">
        <v>4178</v>
      </c>
      <c r="G678" s="2" t="s">
        <v>59</v>
      </c>
      <c r="H678" s="2" t="s">
        <v>60</v>
      </c>
      <c r="I678" s="2" t="s">
        <v>31</v>
      </c>
      <c r="J678" s="2" t="s">
        <v>4179</v>
      </c>
      <c r="K678" s="2" t="s">
        <v>209</v>
      </c>
      <c r="L678" s="2">
        <v>2</v>
      </c>
      <c r="M678" s="3">
        <v>249.98</v>
      </c>
      <c r="N678" s="2" t="s">
        <v>49</v>
      </c>
      <c r="O678" s="3">
        <v>37.5</v>
      </c>
      <c r="P678" s="3">
        <v>0</v>
      </c>
      <c r="Q678" s="3">
        <v>12.75</v>
      </c>
      <c r="R678" s="3">
        <v>225.23</v>
      </c>
      <c r="S678" s="2" t="s">
        <v>35</v>
      </c>
      <c r="T678" s="2" t="s">
        <v>36</v>
      </c>
      <c r="U678" s="2" t="s">
        <v>317</v>
      </c>
      <c r="V678" s="2"/>
      <c r="W678" s="3">
        <v>0</v>
      </c>
    </row>
    <row r="679" spans="1:23" x14ac:dyDescent="0.3">
      <c r="A679" s="4" t="s">
        <v>4180</v>
      </c>
      <c r="B679" s="4" t="s">
        <v>849</v>
      </c>
      <c r="C679" s="4" t="s">
        <v>4181</v>
      </c>
      <c r="D679" s="4" t="s">
        <v>4182</v>
      </c>
      <c r="E679" s="4" t="s">
        <v>4183</v>
      </c>
      <c r="F679" s="4" t="s">
        <v>4184</v>
      </c>
      <c r="G679" s="4" t="s">
        <v>1730</v>
      </c>
      <c r="H679" s="4" t="s">
        <v>161</v>
      </c>
      <c r="I679" s="4" t="s">
        <v>31</v>
      </c>
      <c r="J679" s="4" t="s">
        <v>142</v>
      </c>
      <c r="K679" s="4" t="s">
        <v>143</v>
      </c>
      <c r="L679" s="4">
        <v>1</v>
      </c>
      <c r="M679" s="5">
        <v>159.97999999999999</v>
      </c>
      <c r="N679" s="4" t="s">
        <v>163</v>
      </c>
      <c r="O679" s="5">
        <v>32</v>
      </c>
      <c r="P679" s="5">
        <v>0</v>
      </c>
      <c r="Q679" s="5">
        <v>7.68</v>
      </c>
      <c r="R679" s="5">
        <v>135.66</v>
      </c>
      <c r="S679" s="4" t="s">
        <v>35</v>
      </c>
      <c r="T679" s="4" t="s">
        <v>144</v>
      </c>
      <c r="U679" s="4" t="s">
        <v>317</v>
      </c>
      <c r="V679" s="4"/>
      <c r="W679" s="5">
        <v>0</v>
      </c>
    </row>
    <row r="680" spans="1:23" x14ac:dyDescent="0.3">
      <c r="A680" s="2" t="s">
        <v>4185</v>
      </c>
      <c r="B680" s="2" t="s">
        <v>335</v>
      </c>
      <c r="C680" s="2" t="s">
        <v>4186</v>
      </c>
      <c r="D680" s="2" t="s">
        <v>4187</v>
      </c>
      <c r="E680" s="2" t="s">
        <v>4188</v>
      </c>
      <c r="F680" s="2" t="s">
        <v>4189</v>
      </c>
      <c r="G680" s="2" t="s">
        <v>640</v>
      </c>
      <c r="H680" s="2" t="s">
        <v>161</v>
      </c>
      <c r="I680" s="2" t="s">
        <v>31</v>
      </c>
      <c r="J680" s="2" t="s">
        <v>4190</v>
      </c>
      <c r="K680" s="2" t="s">
        <v>364</v>
      </c>
      <c r="L680" s="2">
        <v>4</v>
      </c>
      <c r="M680" s="3">
        <v>149.96</v>
      </c>
      <c r="N680" s="2" t="s">
        <v>163</v>
      </c>
      <c r="O680" s="3">
        <v>29.99</v>
      </c>
      <c r="P680" s="3">
        <v>0</v>
      </c>
      <c r="Q680" s="3">
        <v>10.8</v>
      </c>
      <c r="R680" s="3">
        <v>130.77000000000001</v>
      </c>
      <c r="S680" s="2" t="s">
        <v>123</v>
      </c>
      <c r="T680" s="2" t="s">
        <v>173</v>
      </c>
      <c r="U680" s="2" t="s">
        <v>51</v>
      </c>
      <c r="V680" s="2" t="s">
        <v>1573</v>
      </c>
      <c r="W680" s="3">
        <v>0</v>
      </c>
    </row>
    <row r="681" spans="1:23" x14ac:dyDescent="0.3">
      <c r="A681" s="4" t="s">
        <v>4191</v>
      </c>
      <c r="B681" s="4" t="s">
        <v>1830</v>
      </c>
      <c r="C681" s="4" t="s">
        <v>4192</v>
      </c>
      <c r="D681" s="4" t="s">
        <v>980</v>
      </c>
      <c r="E681" s="4" t="s">
        <v>4193</v>
      </c>
      <c r="F681" s="4" t="s">
        <v>4194</v>
      </c>
      <c r="G681" s="4" t="s">
        <v>347</v>
      </c>
      <c r="H681" s="4" t="s">
        <v>60</v>
      </c>
      <c r="I681" s="4" t="s">
        <v>31</v>
      </c>
      <c r="J681" s="4" t="s">
        <v>234</v>
      </c>
      <c r="K681" s="4" t="s">
        <v>62</v>
      </c>
      <c r="L681" s="4">
        <v>1</v>
      </c>
      <c r="M681" s="5">
        <v>49.98</v>
      </c>
      <c r="N681" s="4" t="s">
        <v>78</v>
      </c>
      <c r="O681" s="5">
        <v>5</v>
      </c>
      <c r="P681" s="5">
        <v>5.99</v>
      </c>
      <c r="Q681" s="5">
        <v>4.05</v>
      </c>
      <c r="R681" s="5">
        <v>55.02</v>
      </c>
      <c r="S681" s="4" t="s">
        <v>332</v>
      </c>
      <c r="T681" s="4" t="s">
        <v>144</v>
      </c>
      <c r="U681" s="4" t="s">
        <v>100</v>
      </c>
      <c r="V681" s="4"/>
      <c r="W681" s="5">
        <v>0</v>
      </c>
    </row>
    <row r="682" spans="1:23" x14ac:dyDescent="0.3">
      <c r="A682" s="2" t="s">
        <v>4195</v>
      </c>
      <c r="B682" s="2" t="s">
        <v>1122</v>
      </c>
      <c r="C682" s="2" t="s">
        <v>4196</v>
      </c>
      <c r="D682" s="2" t="s">
        <v>906</v>
      </c>
      <c r="E682" s="2" t="s">
        <v>4197</v>
      </c>
      <c r="F682" s="2" t="s">
        <v>4198</v>
      </c>
      <c r="G682" s="2" t="s">
        <v>802</v>
      </c>
      <c r="H682" s="2" t="s">
        <v>88</v>
      </c>
      <c r="I682" s="2" t="s">
        <v>31</v>
      </c>
      <c r="J682" s="2" t="s">
        <v>4199</v>
      </c>
      <c r="K682" s="2" t="s">
        <v>33</v>
      </c>
      <c r="L682" s="2">
        <v>4</v>
      </c>
      <c r="M682" s="3">
        <v>317.95</v>
      </c>
      <c r="N682" s="2" t="s">
        <v>34</v>
      </c>
      <c r="O682" s="3">
        <v>0</v>
      </c>
      <c r="P682" s="3">
        <v>0</v>
      </c>
      <c r="Q682" s="3">
        <v>25.44</v>
      </c>
      <c r="R682" s="3">
        <v>343.39</v>
      </c>
      <c r="S682" s="2" t="s">
        <v>123</v>
      </c>
      <c r="T682" s="2" t="s">
        <v>99</v>
      </c>
      <c r="U682" s="2" t="s">
        <v>51</v>
      </c>
      <c r="V682" s="2" t="s">
        <v>1446</v>
      </c>
      <c r="W682" s="3">
        <v>0</v>
      </c>
    </row>
    <row r="683" spans="1:23" x14ac:dyDescent="0.3">
      <c r="A683" s="4" t="s">
        <v>4200</v>
      </c>
      <c r="B683" s="4" t="s">
        <v>663</v>
      </c>
      <c r="C683" s="4" t="s">
        <v>4201</v>
      </c>
      <c r="D683" s="4" t="s">
        <v>4202</v>
      </c>
      <c r="E683" s="4" t="s">
        <v>4203</v>
      </c>
      <c r="F683" s="4" t="s">
        <v>4204</v>
      </c>
      <c r="G683" s="4" t="s">
        <v>428</v>
      </c>
      <c r="H683" s="4" t="s">
        <v>429</v>
      </c>
      <c r="I683" s="4" t="s">
        <v>31</v>
      </c>
      <c r="J683" s="4" t="s">
        <v>1238</v>
      </c>
      <c r="K683" s="4" t="s">
        <v>209</v>
      </c>
      <c r="L683" s="4">
        <v>1</v>
      </c>
      <c r="M683" s="5">
        <v>39.99</v>
      </c>
      <c r="N683" s="4" t="s">
        <v>34</v>
      </c>
      <c r="O683" s="5">
        <v>0</v>
      </c>
      <c r="P683" s="5">
        <v>9.99</v>
      </c>
      <c r="Q683" s="5">
        <v>3.4</v>
      </c>
      <c r="R683" s="5">
        <v>53.38</v>
      </c>
      <c r="S683" s="4" t="s">
        <v>111</v>
      </c>
      <c r="T683" s="4" t="s">
        <v>99</v>
      </c>
      <c r="U683" s="4" t="s">
        <v>100</v>
      </c>
      <c r="V683" s="4"/>
      <c r="W683" s="5">
        <v>0</v>
      </c>
    </row>
    <row r="684" spans="1:23" x14ac:dyDescent="0.3">
      <c r="A684" s="2" t="s">
        <v>4205</v>
      </c>
      <c r="B684" s="2" t="s">
        <v>957</v>
      </c>
      <c r="C684" s="2" t="s">
        <v>4206</v>
      </c>
      <c r="D684" s="2" t="s">
        <v>4207</v>
      </c>
      <c r="E684" s="2" t="s">
        <v>4208</v>
      </c>
      <c r="F684" s="2" t="s">
        <v>4209</v>
      </c>
      <c r="G684" s="2" t="s">
        <v>45</v>
      </c>
      <c r="H684" s="2" t="s">
        <v>46</v>
      </c>
      <c r="I684" s="2" t="s">
        <v>31</v>
      </c>
      <c r="J684" s="2" t="s">
        <v>109</v>
      </c>
      <c r="K684" s="2" t="s">
        <v>110</v>
      </c>
      <c r="L684" s="2">
        <v>1</v>
      </c>
      <c r="M684" s="3">
        <v>68.97</v>
      </c>
      <c r="N684" s="2" t="s">
        <v>34</v>
      </c>
      <c r="O684" s="3">
        <v>0</v>
      </c>
      <c r="P684" s="3">
        <v>9.99</v>
      </c>
      <c r="Q684" s="3">
        <v>6.21</v>
      </c>
      <c r="R684" s="3">
        <v>85.17</v>
      </c>
      <c r="S684" s="2" t="s">
        <v>98</v>
      </c>
      <c r="T684" s="2" t="s">
        <v>99</v>
      </c>
      <c r="U684" s="2" t="s">
        <v>66</v>
      </c>
      <c r="V684" s="2" t="s">
        <v>478</v>
      </c>
      <c r="W684" s="3">
        <v>0</v>
      </c>
    </row>
    <row r="685" spans="1:23" x14ac:dyDescent="0.3">
      <c r="A685" s="4" t="s">
        <v>4210</v>
      </c>
      <c r="B685" s="4" t="s">
        <v>1086</v>
      </c>
      <c r="C685" s="4" t="s">
        <v>4211</v>
      </c>
      <c r="D685" s="4" t="s">
        <v>4212</v>
      </c>
      <c r="E685" s="4" t="s">
        <v>4213</v>
      </c>
      <c r="F685" s="4" t="s">
        <v>4214</v>
      </c>
      <c r="G685" s="4" t="s">
        <v>224</v>
      </c>
      <c r="H685" s="4" t="s">
        <v>225</v>
      </c>
      <c r="I685" s="4" t="s">
        <v>31</v>
      </c>
      <c r="J685" s="4" t="s">
        <v>1232</v>
      </c>
      <c r="K685" s="4" t="s">
        <v>77</v>
      </c>
      <c r="L685" s="4">
        <v>1</v>
      </c>
      <c r="M685" s="5">
        <v>34.99</v>
      </c>
      <c r="N685" s="4" t="s">
        <v>63</v>
      </c>
      <c r="O685" s="5">
        <v>8.75</v>
      </c>
      <c r="P685" s="5">
        <v>5.99</v>
      </c>
      <c r="Q685" s="5">
        <v>2.62</v>
      </c>
      <c r="R685" s="5">
        <v>34.85</v>
      </c>
      <c r="S685" s="4" t="s">
        <v>332</v>
      </c>
      <c r="T685" s="4" t="s">
        <v>99</v>
      </c>
      <c r="U685" s="4" t="s">
        <v>100</v>
      </c>
      <c r="V685" s="4"/>
      <c r="W685" s="5">
        <v>0</v>
      </c>
    </row>
    <row r="686" spans="1:23" x14ac:dyDescent="0.3">
      <c r="A686" s="2" t="s">
        <v>4215</v>
      </c>
      <c r="B686" s="2" t="s">
        <v>2222</v>
      </c>
      <c r="C686" s="2" t="s">
        <v>4216</v>
      </c>
      <c r="D686" s="2" t="s">
        <v>4217</v>
      </c>
      <c r="E686" s="2" t="s">
        <v>4218</v>
      </c>
      <c r="F686" s="2" t="s">
        <v>4219</v>
      </c>
      <c r="G686" s="2" t="s">
        <v>87</v>
      </c>
      <c r="H686" s="2" t="s">
        <v>88</v>
      </c>
      <c r="I686" s="2" t="s">
        <v>31</v>
      </c>
      <c r="J686" s="2" t="s">
        <v>1232</v>
      </c>
      <c r="K686" s="2" t="s">
        <v>77</v>
      </c>
      <c r="L686" s="2">
        <v>1</v>
      </c>
      <c r="M686" s="3">
        <v>34.99</v>
      </c>
      <c r="N686" s="2" t="s">
        <v>49</v>
      </c>
      <c r="O686" s="3">
        <v>5.25</v>
      </c>
      <c r="P686" s="3">
        <v>5.99</v>
      </c>
      <c r="Q686" s="3">
        <v>1.78</v>
      </c>
      <c r="R686" s="3">
        <v>37.51</v>
      </c>
      <c r="S686" s="2" t="s">
        <v>332</v>
      </c>
      <c r="T686" s="2" t="s">
        <v>36</v>
      </c>
      <c r="U686" s="2" t="s">
        <v>66</v>
      </c>
      <c r="V686" s="2" t="s">
        <v>3851</v>
      </c>
      <c r="W686" s="3">
        <v>0</v>
      </c>
    </row>
    <row r="687" spans="1:23" x14ac:dyDescent="0.3">
      <c r="A687" s="4" t="s">
        <v>4220</v>
      </c>
      <c r="B687" s="4" t="s">
        <v>296</v>
      </c>
      <c r="C687" s="4" t="s">
        <v>4221</v>
      </c>
      <c r="D687" s="4" t="s">
        <v>545</v>
      </c>
      <c r="E687" s="4" t="s">
        <v>4222</v>
      </c>
      <c r="F687" s="4" t="s">
        <v>4223</v>
      </c>
      <c r="G687" s="4" t="s">
        <v>160</v>
      </c>
      <c r="H687" s="4" t="s">
        <v>161</v>
      </c>
      <c r="I687" s="4" t="s">
        <v>31</v>
      </c>
      <c r="J687" s="4" t="s">
        <v>1148</v>
      </c>
      <c r="K687" s="4" t="s">
        <v>33</v>
      </c>
      <c r="L687" s="4">
        <v>1</v>
      </c>
      <c r="M687" s="5">
        <v>18.989999999999998</v>
      </c>
      <c r="N687" s="4" t="s">
        <v>163</v>
      </c>
      <c r="O687" s="5">
        <v>3.8</v>
      </c>
      <c r="P687" s="5">
        <v>9.99</v>
      </c>
      <c r="Q687" s="5">
        <v>1.52</v>
      </c>
      <c r="R687" s="5">
        <v>26.7</v>
      </c>
      <c r="S687" s="4" t="s">
        <v>64</v>
      </c>
      <c r="T687" s="4" t="s">
        <v>173</v>
      </c>
      <c r="U687" s="4" t="s">
        <v>100</v>
      </c>
      <c r="V687" s="4"/>
      <c r="W687" s="5">
        <v>0</v>
      </c>
    </row>
    <row r="688" spans="1:23" x14ac:dyDescent="0.3">
      <c r="A688" s="2" t="s">
        <v>4224</v>
      </c>
      <c r="B688" s="2" t="s">
        <v>1873</v>
      </c>
      <c r="C688" s="2" t="s">
        <v>4225</v>
      </c>
      <c r="D688" s="2" t="s">
        <v>3935</v>
      </c>
      <c r="E688" s="2" t="s">
        <v>4226</v>
      </c>
      <c r="F688" s="2" t="s">
        <v>4227</v>
      </c>
      <c r="G688" s="2" t="s">
        <v>394</v>
      </c>
      <c r="H688" s="2" t="s">
        <v>395</v>
      </c>
      <c r="I688" s="2" t="s">
        <v>31</v>
      </c>
      <c r="J688" s="2" t="s">
        <v>4228</v>
      </c>
      <c r="K688" s="2" t="s">
        <v>122</v>
      </c>
      <c r="L688" s="2">
        <v>3</v>
      </c>
      <c r="M688" s="3">
        <v>143.97</v>
      </c>
      <c r="N688" s="2" t="s">
        <v>152</v>
      </c>
      <c r="O688" s="3">
        <v>7.2</v>
      </c>
      <c r="P688" s="3">
        <v>0</v>
      </c>
      <c r="Q688" s="3">
        <v>8.2100000000000009</v>
      </c>
      <c r="R688" s="3">
        <v>144.97999999999999</v>
      </c>
      <c r="S688" s="2" t="s">
        <v>64</v>
      </c>
      <c r="T688" s="2" t="s">
        <v>36</v>
      </c>
      <c r="U688" s="2" t="s">
        <v>51</v>
      </c>
      <c r="V688" s="2" t="s">
        <v>2532</v>
      </c>
      <c r="W688" s="3">
        <v>0</v>
      </c>
    </row>
    <row r="689" spans="1:23" x14ac:dyDescent="0.3">
      <c r="A689" s="4" t="s">
        <v>4229</v>
      </c>
      <c r="B689" s="4" t="s">
        <v>2004</v>
      </c>
      <c r="C689" s="4" t="s">
        <v>4230</v>
      </c>
      <c r="D689" s="4" t="s">
        <v>4231</v>
      </c>
      <c r="E689" s="4" t="s">
        <v>4232</v>
      </c>
      <c r="F689" s="4" t="s">
        <v>4233</v>
      </c>
      <c r="G689" s="4" t="s">
        <v>190</v>
      </c>
      <c r="H689" s="4" t="s">
        <v>161</v>
      </c>
      <c r="I689" s="4" t="s">
        <v>31</v>
      </c>
      <c r="J689" s="4" t="s">
        <v>4234</v>
      </c>
      <c r="K689" s="4" t="s">
        <v>209</v>
      </c>
      <c r="L689" s="4">
        <v>2</v>
      </c>
      <c r="M689" s="5">
        <v>142.97999999999999</v>
      </c>
      <c r="N689" s="4" t="s">
        <v>152</v>
      </c>
      <c r="O689" s="5">
        <v>7.15</v>
      </c>
      <c r="P689" s="5">
        <v>0</v>
      </c>
      <c r="Q689" s="5">
        <v>11.55</v>
      </c>
      <c r="R689" s="5">
        <v>147.38</v>
      </c>
      <c r="S689" s="4" t="s">
        <v>123</v>
      </c>
      <c r="T689" s="4" t="s">
        <v>144</v>
      </c>
      <c r="U689" s="4" t="s">
        <v>66</v>
      </c>
      <c r="V689" s="4" t="s">
        <v>1529</v>
      </c>
      <c r="W689" s="5">
        <v>0</v>
      </c>
    </row>
    <row r="690" spans="1:23" x14ac:dyDescent="0.3">
      <c r="A690" s="2" t="s">
        <v>4235</v>
      </c>
      <c r="B690" s="2" t="s">
        <v>1043</v>
      </c>
      <c r="C690" s="2" t="s">
        <v>4236</v>
      </c>
      <c r="D690" s="2" t="s">
        <v>4237</v>
      </c>
      <c r="E690" s="2" t="s">
        <v>4238</v>
      </c>
      <c r="F690" s="2" t="s">
        <v>4239</v>
      </c>
      <c r="G690" s="2" t="s">
        <v>140</v>
      </c>
      <c r="H690" s="2" t="s">
        <v>141</v>
      </c>
      <c r="I690" s="2" t="s">
        <v>31</v>
      </c>
      <c r="J690" s="2" t="s">
        <v>983</v>
      </c>
      <c r="K690" s="2" t="s">
        <v>122</v>
      </c>
      <c r="L690" s="2">
        <v>1</v>
      </c>
      <c r="M690" s="3">
        <v>209.97</v>
      </c>
      <c r="N690" s="2" t="s">
        <v>152</v>
      </c>
      <c r="O690" s="3">
        <v>10.5</v>
      </c>
      <c r="P690" s="3">
        <v>0</v>
      </c>
      <c r="Q690" s="3">
        <v>15.96</v>
      </c>
      <c r="R690" s="3">
        <v>215.43</v>
      </c>
      <c r="S690" s="2" t="s">
        <v>35</v>
      </c>
      <c r="T690" s="2" t="s">
        <v>99</v>
      </c>
      <c r="U690" s="2" t="s">
        <v>317</v>
      </c>
      <c r="V690" s="2"/>
      <c r="W690" s="3">
        <v>0</v>
      </c>
    </row>
    <row r="691" spans="1:23" x14ac:dyDescent="0.3">
      <c r="A691" s="4" t="s">
        <v>4240</v>
      </c>
      <c r="B691" s="4" t="s">
        <v>2805</v>
      </c>
      <c r="C691" s="4" t="s">
        <v>4241</v>
      </c>
      <c r="D691" s="4" t="s">
        <v>4242</v>
      </c>
      <c r="E691" s="4" t="s">
        <v>4243</v>
      </c>
      <c r="F691" s="4" t="s">
        <v>4244</v>
      </c>
      <c r="G691" s="4" t="s">
        <v>291</v>
      </c>
      <c r="H691" s="4" t="s">
        <v>292</v>
      </c>
      <c r="I691" s="4" t="s">
        <v>31</v>
      </c>
      <c r="J691" s="4" t="s">
        <v>1238</v>
      </c>
      <c r="K691" s="4" t="s">
        <v>209</v>
      </c>
      <c r="L691" s="4">
        <v>1</v>
      </c>
      <c r="M691" s="5">
        <v>39.99</v>
      </c>
      <c r="N691" s="4" t="s">
        <v>78</v>
      </c>
      <c r="O691" s="5">
        <v>4</v>
      </c>
      <c r="P691" s="5">
        <v>9.99</v>
      </c>
      <c r="Q691" s="5">
        <v>2.52</v>
      </c>
      <c r="R691" s="5">
        <v>48.5</v>
      </c>
      <c r="S691" s="4" t="s">
        <v>111</v>
      </c>
      <c r="T691" s="4" t="s">
        <v>173</v>
      </c>
      <c r="U691" s="4" t="s">
        <v>100</v>
      </c>
      <c r="V691" s="4"/>
      <c r="W691" s="5">
        <v>0</v>
      </c>
    </row>
    <row r="692" spans="1:23" x14ac:dyDescent="0.3">
      <c r="A692" s="2" t="s">
        <v>4245</v>
      </c>
      <c r="B692" s="2" t="s">
        <v>1178</v>
      </c>
      <c r="C692" s="2" t="s">
        <v>4246</v>
      </c>
      <c r="D692" s="2" t="s">
        <v>3615</v>
      </c>
      <c r="E692" s="2" t="s">
        <v>4247</v>
      </c>
      <c r="F692" s="2" t="s">
        <v>4248</v>
      </c>
      <c r="G692" s="2" t="s">
        <v>171</v>
      </c>
      <c r="H692" s="2" t="s">
        <v>88</v>
      </c>
      <c r="I692" s="2" t="s">
        <v>31</v>
      </c>
      <c r="J692" s="2" t="s">
        <v>678</v>
      </c>
      <c r="K692" s="2" t="s">
        <v>679</v>
      </c>
      <c r="L692" s="2">
        <v>1</v>
      </c>
      <c r="M692" s="3">
        <v>14.99</v>
      </c>
      <c r="N692" s="2" t="s">
        <v>34</v>
      </c>
      <c r="O692" s="3">
        <v>0</v>
      </c>
      <c r="P692" s="3">
        <v>9.99</v>
      </c>
      <c r="Q692" s="3">
        <v>1.35</v>
      </c>
      <c r="R692" s="3">
        <v>26.33</v>
      </c>
      <c r="S692" s="2" t="s">
        <v>64</v>
      </c>
      <c r="T692" s="2" t="s">
        <v>325</v>
      </c>
      <c r="U692" s="2" t="s">
        <v>317</v>
      </c>
      <c r="V692" s="2"/>
      <c r="W692" s="3">
        <v>0</v>
      </c>
    </row>
    <row r="693" spans="1:23" x14ac:dyDescent="0.3">
      <c r="A693" s="4" t="s">
        <v>4249</v>
      </c>
      <c r="B693" s="4" t="s">
        <v>1976</v>
      </c>
      <c r="C693" s="4" t="s">
        <v>4250</v>
      </c>
      <c r="D693" s="4" t="s">
        <v>2132</v>
      </c>
      <c r="E693" s="4" t="s">
        <v>4251</v>
      </c>
      <c r="F693" s="4" t="s">
        <v>4252</v>
      </c>
      <c r="G693" s="4" t="s">
        <v>140</v>
      </c>
      <c r="H693" s="4" t="s">
        <v>141</v>
      </c>
      <c r="I693" s="4" t="s">
        <v>31</v>
      </c>
      <c r="J693" s="4" t="s">
        <v>4253</v>
      </c>
      <c r="K693" s="4" t="s">
        <v>364</v>
      </c>
      <c r="L693" s="4">
        <v>2</v>
      </c>
      <c r="M693" s="5">
        <v>109.98</v>
      </c>
      <c r="N693" s="4" t="s">
        <v>152</v>
      </c>
      <c r="O693" s="5">
        <v>5.5</v>
      </c>
      <c r="P693" s="5">
        <v>0</v>
      </c>
      <c r="Q693" s="5">
        <v>10.45</v>
      </c>
      <c r="R693" s="5">
        <v>114.93</v>
      </c>
      <c r="S693" s="4" t="s">
        <v>123</v>
      </c>
      <c r="T693" s="4" t="s">
        <v>99</v>
      </c>
      <c r="U693" s="4" t="s">
        <v>51</v>
      </c>
      <c r="V693" s="4" t="s">
        <v>865</v>
      </c>
      <c r="W693" s="5">
        <v>0</v>
      </c>
    </row>
    <row r="694" spans="1:23" x14ac:dyDescent="0.3">
      <c r="A694" s="2" t="s">
        <v>4254</v>
      </c>
      <c r="B694" s="2" t="s">
        <v>2412</v>
      </c>
      <c r="C694" s="2" t="s">
        <v>4255</v>
      </c>
      <c r="D694" s="2" t="s">
        <v>4256</v>
      </c>
      <c r="E694" s="2" t="s">
        <v>4257</v>
      </c>
      <c r="F694" s="2" t="s">
        <v>4258</v>
      </c>
      <c r="G694" s="2" t="s">
        <v>74</v>
      </c>
      <c r="H694" s="2" t="s">
        <v>75</v>
      </c>
      <c r="I694" s="2" t="s">
        <v>31</v>
      </c>
      <c r="J694" s="2" t="s">
        <v>4259</v>
      </c>
      <c r="K694" s="2" t="s">
        <v>122</v>
      </c>
      <c r="L694" s="2">
        <v>2</v>
      </c>
      <c r="M694" s="3">
        <v>209.97</v>
      </c>
      <c r="N694" s="2" t="s">
        <v>34</v>
      </c>
      <c r="O694" s="3">
        <v>0</v>
      </c>
      <c r="P694" s="3">
        <v>0</v>
      </c>
      <c r="Q694" s="3">
        <v>16.8</v>
      </c>
      <c r="R694" s="3">
        <v>226.77</v>
      </c>
      <c r="S694" s="2" t="s">
        <v>35</v>
      </c>
      <c r="T694" s="2" t="s">
        <v>99</v>
      </c>
      <c r="U694" s="2" t="s">
        <v>66</v>
      </c>
      <c r="V694" s="2" t="s">
        <v>498</v>
      </c>
      <c r="W694" s="3">
        <v>0</v>
      </c>
    </row>
    <row r="695" spans="1:23" x14ac:dyDescent="0.3">
      <c r="A695" s="4" t="s">
        <v>4260</v>
      </c>
      <c r="B695" s="4" t="s">
        <v>380</v>
      </c>
      <c r="C695" s="4" t="s">
        <v>4261</v>
      </c>
      <c r="D695" s="4" t="s">
        <v>954</v>
      </c>
      <c r="E695" s="4" t="s">
        <v>4262</v>
      </c>
      <c r="F695" s="4" t="s">
        <v>4263</v>
      </c>
      <c r="G695" s="4" t="s">
        <v>45</v>
      </c>
      <c r="H695" s="4" t="s">
        <v>46</v>
      </c>
      <c r="I695" s="4" t="s">
        <v>31</v>
      </c>
      <c r="J695" s="4" t="s">
        <v>4264</v>
      </c>
      <c r="K695" s="4" t="s">
        <v>48</v>
      </c>
      <c r="L695" s="4">
        <v>2</v>
      </c>
      <c r="M695" s="5">
        <v>131.96</v>
      </c>
      <c r="N695" s="4" t="s">
        <v>34</v>
      </c>
      <c r="O695" s="5">
        <v>0</v>
      </c>
      <c r="P695" s="5">
        <v>0</v>
      </c>
      <c r="Q695" s="5">
        <v>9.24</v>
      </c>
      <c r="R695" s="5">
        <v>141.19999999999999</v>
      </c>
      <c r="S695" s="4" t="s">
        <v>123</v>
      </c>
      <c r="T695" s="4" t="s">
        <v>50</v>
      </c>
      <c r="U695" s="4" t="s">
        <v>66</v>
      </c>
      <c r="V695" s="4" t="s">
        <v>2481</v>
      </c>
      <c r="W695" s="5">
        <v>0</v>
      </c>
    </row>
    <row r="696" spans="1:23" x14ac:dyDescent="0.3">
      <c r="A696" s="2" t="s">
        <v>4265</v>
      </c>
      <c r="B696" s="2" t="s">
        <v>421</v>
      </c>
      <c r="C696" s="2" t="s">
        <v>4266</v>
      </c>
      <c r="D696" s="2" t="s">
        <v>4267</v>
      </c>
      <c r="E696" s="2" t="s">
        <v>4268</v>
      </c>
      <c r="F696" s="2" t="s">
        <v>4269</v>
      </c>
      <c r="G696" s="2" t="s">
        <v>74</v>
      </c>
      <c r="H696" s="2" t="s">
        <v>75</v>
      </c>
      <c r="I696" s="2" t="s">
        <v>31</v>
      </c>
      <c r="J696" s="2" t="s">
        <v>4270</v>
      </c>
      <c r="K696" s="2" t="s">
        <v>62</v>
      </c>
      <c r="L696" s="2">
        <v>4</v>
      </c>
      <c r="M696" s="3">
        <v>323.92</v>
      </c>
      <c r="N696" s="2" t="s">
        <v>163</v>
      </c>
      <c r="O696" s="3">
        <v>64.78</v>
      </c>
      <c r="P696" s="3">
        <v>0</v>
      </c>
      <c r="Q696" s="3">
        <v>22.03</v>
      </c>
      <c r="R696" s="3">
        <v>281.17</v>
      </c>
      <c r="S696" s="2" t="s">
        <v>332</v>
      </c>
      <c r="T696" s="2" t="s">
        <v>99</v>
      </c>
      <c r="U696" s="2" t="s">
        <v>317</v>
      </c>
      <c r="V696" s="2"/>
      <c r="W696" s="3">
        <v>0</v>
      </c>
    </row>
    <row r="697" spans="1:23" x14ac:dyDescent="0.3">
      <c r="A697" s="4" t="s">
        <v>4271</v>
      </c>
      <c r="B697" s="4" t="s">
        <v>1787</v>
      </c>
      <c r="C697" s="4" t="s">
        <v>4272</v>
      </c>
      <c r="D697" s="4" t="s">
        <v>1721</v>
      </c>
      <c r="E697" s="4" t="s">
        <v>4273</v>
      </c>
      <c r="F697" s="4" t="s">
        <v>4274</v>
      </c>
      <c r="G697" s="4" t="s">
        <v>692</v>
      </c>
      <c r="H697" s="4" t="s">
        <v>693</v>
      </c>
      <c r="I697" s="4" t="s">
        <v>31</v>
      </c>
      <c r="J697" s="4" t="s">
        <v>533</v>
      </c>
      <c r="K697" s="4" t="s">
        <v>209</v>
      </c>
      <c r="L697" s="4">
        <v>1</v>
      </c>
      <c r="M697" s="5">
        <v>239.98</v>
      </c>
      <c r="N697" s="4" t="s">
        <v>152</v>
      </c>
      <c r="O697" s="5">
        <v>12</v>
      </c>
      <c r="P697" s="5">
        <v>0</v>
      </c>
      <c r="Q697" s="5">
        <v>13.68</v>
      </c>
      <c r="R697" s="5">
        <v>241.66</v>
      </c>
      <c r="S697" s="4" t="s">
        <v>64</v>
      </c>
      <c r="T697" s="4" t="s">
        <v>99</v>
      </c>
      <c r="U697" s="4" t="s">
        <v>51</v>
      </c>
      <c r="V697" s="4" t="s">
        <v>1823</v>
      </c>
      <c r="W697" s="5">
        <v>0</v>
      </c>
    </row>
    <row r="698" spans="1:23" x14ac:dyDescent="0.3">
      <c r="A698" s="2" t="s">
        <v>4275</v>
      </c>
      <c r="B698" s="2" t="s">
        <v>797</v>
      </c>
      <c r="C698" s="2" t="s">
        <v>4276</v>
      </c>
      <c r="D698" s="2" t="s">
        <v>4277</v>
      </c>
      <c r="E698" s="2" t="s">
        <v>4278</v>
      </c>
      <c r="F698" s="2" t="s">
        <v>4279</v>
      </c>
      <c r="G698" s="2" t="s">
        <v>802</v>
      </c>
      <c r="H698" s="2" t="s">
        <v>88</v>
      </c>
      <c r="I698" s="2" t="s">
        <v>31</v>
      </c>
      <c r="J698" s="2" t="s">
        <v>4280</v>
      </c>
      <c r="K698" s="2" t="s">
        <v>48</v>
      </c>
      <c r="L698" s="2">
        <v>2</v>
      </c>
      <c r="M698" s="3">
        <v>129.97</v>
      </c>
      <c r="N698" s="2" t="s">
        <v>163</v>
      </c>
      <c r="O698" s="3">
        <v>25.99</v>
      </c>
      <c r="P698" s="3">
        <v>0</v>
      </c>
      <c r="Q698" s="3">
        <v>8.32</v>
      </c>
      <c r="R698" s="3">
        <v>112.3</v>
      </c>
      <c r="S698" s="2" t="s">
        <v>332</v>
      </c>
      <c r="T698" s="2" t="s">
        <v>144</v>
      </c>
      <c r="U698" s="2" t="s">
        <v>66</v>
      </c>
      <c r="V698" s="2" t="s">
        <v>2902</v>
      </c>
      <c r="W698" s="3">
        <v>0</v>
      </c>
    </row>
    <row r="699" spans="1:23" x14ac:dyDescent="0.3">
      <c r="A699" s="4" t="s">
        <v>4281</v>
      </c>
      <c r="B699" s="4" t="s">
        <v>957</v>
      </c>
      <c r="C699" s="4" t="s">
        <v>4282</v>
      </c>
      <c r="D699" s="4" t="s">
        <v>3203</v>
      </c>
      <c r="E699" s="4" t="s">
        <v>4283</v>
      </c>
      <c r="F699" s="4" t="s">
        <v>4284</v>
      </c>
      <c r="G699" s="4" t="s">
        <v>190</v>
      </c>
      <c r="H699" s="4" t="s">
        <v>161</v>
      </c>
      <c r="I699" s="4" t="s">
        <v>31</v>
      </c>
      <c r="J699" s="4" t="s">
        <v>4285</v>
      </c>
      <c r="K699" s="4" t="s">
        <v>33</v>
      </c>
      <c r="L699" s="4">
        <v>2</v>
      </c>
      <c r="M699" s="5">
        <v>88.97</v>
      </c>
      <c r="N699" s="4" t="s">
        <v>152</v>
      </c>
      <c r="O699" s="5">
        <v>4.45</v>
      </c>
      <c r="P699" s="5">
        <v>0</v>
      </c>
      <c r="Q699" s="5">
        <v>8.4499999999999993</v>
      </c>
      <c r="R699" s="5">
        <v>92.97</v>
      </c>
      <c r="S699" s="4" t="s">
        <v>35</v>
      </c>
      <c r="T699" s="4" t="s">
        <v>144</v>
      </c>
      <c r="U699" s="4" t="s">
        <v>66</v>
      </c>
      <c r="V699" s="4" t="s">
        <v>3475</v>
      </c>
      <c r="W699" s="5">
        <v>0</v>
      </c>
    </row>
    <row r="700" spans="1:23" x14ac:dyDescent="0.3">
      <c r="A700" s="2" t="s">
        <v>4286</v>
      </c>
      <c r="B700" s="2" t="s">
        <v>641</v>
      </c>
      <c r="C700" s="2" t="s">
        <v>4287</v>
      </c>
      <c r="D700" s="2" t="s">
        <v>4288</v>
      </c>
      <c r="E700" s="2" t="s">
        <v>4289</v>
      </c>
      <c r="F700" s="2" t="s">
        <v>4290</v>
      </c>
      <c r="G700" s="2" t="s">
        <v>190</v>
      </c>
      <c r="H700" s="2" t="s">
        <v>161</v>
      </c>
      <c r="I700" s="2" t="s">
        <v>31</v>
      </c>
      <c r="J700" s="2" t="s">
        <v>172</v>
      </c>
      <c r="K700" s="2" t="s">
        <v>122</v>
      </c>
      <c r="L700" s="2">
        <v>1</v>
      </c>
      <c r="M700" s="3">
        <v>69.989999999999995</v>
      </c>
      <c r="N700" s="2" t="s">
        <v>34</v>
      </c>
      <c r="O700" s="3">
        <v>0</v>
      </c>
      <c r="P700" s="3">
        <v>4.99</v>
      </c>
      <c r="Q700" s="3">
        <v>5.6</v>
      </c>
      <c r="R700" s="3">
        <v>80.58</v>
      </c>
      <c r="S700" s="2" t="s">
        <v>123</v>
      </c>
      <c r="T700" s="2" t="s">
        <v>173</v>
      </c>
      <c r="U700" s="2" t="s">
        <v>37</v>
      </c>
      <c r="V700" s="2" t="s">
        <v>915</v>
      </c>
      <c r="W700" s="3">
        <v>80.58</v>
      </c>
    </row>
    <row r="701" spans="1:23" x14ac:dyDescent="0.3">
      <c r="A701" s="4" t="s">
        <v>4291</v>
      </c>
      <c r="B701" s="4" t="s">
        <v>498</v>
      </c>
      <c r="C701" s="4" t="s">
        <v>4292</v>
      </c>
      <c r="D701" s="4" t="s">
        <v>4293</v>
      </c>
      <c r="E701" s="4" t="s">
        <v>4294</v>
      </c>
      <c r="F701" s="4" t="s">
        <v>4295</v>
      </c>
      <c r="G701" s="4" t="s">
        <v>676</v>
      </c>
      <c r="H701" s="4" t="s">
        <v>677</v>
      </c>
      <c r="I701" s="4" t="s">
        <v>31</v>
      </c>
      <c r="J701" s="4" t="s">
        <v>61</v>
      </c>
      <c r="K701" s="4" t="s">
        <v>62</v>
      </c>
      <c r="L701" s="4">
        <v>1</v>
      </c>
      <c r="M701" s="5">
        <v>24.99</v>
      </c>
      <c r="N701" s="4" t="s">
        <v>34</v>
      </c>
      <c r="O701" s="5">
        <v>0</v>
      </c>
      <c r="P701" s="5">
        <v>9.99</v>
      </c>
      <c r="Q701" s="5">
        <v>1.75</v>
      </c>
      <c r="R701" s="5">
        <v>36.729999999999997</v>
      </c>
      <c r="S701" s="4" t="s">
        <v>123</v>
      </c>
      <c r="T701" s="4" t="s">
        <v>99</v>
      </c>
      <c r="U701" s="4" t="s">
        <v>66</v>
      </c>
      <c r="V701" s="4" t="s">
        <v>478</v>
      </c>
      <c r="W701" s="5">
        <v>0</v>
      </c>
    </row>
    <row r="702" spans="1:23" x14ac:dyDescent="0.3">
      <c r="A702" s="2" t="s">
        <v>4296</v>
      </c>
      <c r="B702" s="2" t="s">
        <v>922</v>
      </c>
      <c r="C702" s="2" t="s">
        <v>4297</v>
      </c>
      <c r="D702" s="2" t="s">
        <v>4298</v>
      </c>
      <c r="E702" s="2" t="s">
        <v>4299</v>
      </c>
      <c r="F702" s="2" t="s">
        <v>4300</v>
      </c>
      <c r="G702" s="2" t="s">
        <v>87</v>
      </c>
      <c r="H702" s="2" t="s">
        <v>88</v>
      </c>
      <c r="I702" s="2" t="s">
        <v>31</v>
      </c>
      <c r="J702" s="2" t="s">
        <v>1997</v>
      </c>
      <c r="K702" s="2" t="s">
        <v>143</v>
      </c>
      <c r="L702" s="2">
        <v>1</v>
      </c>
      <c r="M702" s="3">
        <v>129.99</v>
      </c>
      <c r="N702" s="2" t="s">
        <v>34</v>
      </c>
      <c r="O702" s="3">
        <v>0</v>
      </c>
      <c r="P702" s="3">
        <v>0</v>
      </c>
      <c r="Q702" s="3">
        <v>13</v>
      </c>
      <c r="R702" s="3">
        <v>142.99</v>
      </c>
      <c r="S702" s="2" t="s">
        <v>111</v>
      </c>
      <c r="T702" s="2" t="s">
        <v>183</v>
      </c>
      <c r="U702" s="2" t="s">
        <v>37</v>
      </c>
      <c r="V702" s="2" t="s">
        <v>1683</v>
      </c>
      <c r="W702" s="3">
        <v>142.99</v>
      </c>
    </row>
    <row r="703" spans="1:23" x14ac:dyDescent="0.3">
      <c r="A703" s="4" t="s">
        <v>4301</v>
      </c>
      <c r="B703" s="4" t="s">
        <v>303</v>
      </c>
      <c r="C703" s="4" t="s">
        <v>4302</v>
      </c>
      <c r="D703" s="4" t="s">
        <v>926</v>
      </c>
      <c r="E703" s="4" t="s">
        <v>4303</v>
      </c>
      <c r="F703" s="4" t="s">
        <v>4304</v>
      </c>
      <c r="G703" s="4" t="s">
        <v>107</v>
      </c>
      <c r="H703" s="4" t="s">
        <v>108</v>
      </c>
      <c r="I703" s="4" t="s">
        <v>31</v>
      </c>
      <c r="J703" s="4" t="s">
        <v>4305</v>
      </c>
      <c r="K703" s="4" t="s">
        <v>143</v>
      </c>
      <c r="L703" s="4">
        <v>2</v>
      </c>
      <c r="M703" s="5">
        <v>219.96</v>
      </c>
      <c r="N703" s="4" t="s">
        <v>34</v>
      </c>
      <c r="O703" s="5">
        <v>0</v>
      </c>
      <c r="P703" s="5">
        <v>0</v>
      </c>
      <c r="Q703" s="5">
        <v>18.7</v>
      </c>
      <c r="R703" s="5">
        <v>238.66</v>
      </c>
      <c r="S703" s="4" t="s">
        <v>64</v>
      </c>
      <c r="T703" s="4" t="s">
        <v>99</v>
      </c>
      <c r="U703" s="4" t="s">
        <v>66</v>
      </c>
      <c r="V703" s="4" t="s">
        <v>1471</v>
      </c>
      <c r="W703" s="5">
        <v>0</v>
      </c>
    </row>
    <row r="704" spans="1:23" x14ac:dyDescent="0.3">
      <c r="A704" s="2" t="s">
        <v>4306</v>
      </c>
      <c r="B704" s="2" t="s">
        <v>1471</v>
      </c>
      <c r="C704" s="2" t="s">
        <v>4307</v>
      </c>
      <c r="D704" s="2" t="s">
        <v>4308</v>
      </c>
      <c r="E704" s="2" t="s">
        <v>4309</v>
      </c>
      <c r="F704" s="2" t="s">
        <v>4310</v>
      </c>
      <c r="G704" s="2" t="s">
        <v>403</v>
      </c>
      <c r="H704" s="2" t="s">
        <v>404</v>
      </c>
      <c r="I704" s="2" t="s">
        <v>31</v>
      </c>
      <c r="J704" s="2" t="s">
        <v>741</v>
      </c>
      <c r="K704" s="2" t="s">
        <v>122</v>
      </c>
      <c r="L704" s="2">
        <v>1</v>
      </c>
      <c r="M704" s="3">
        <v>139.97999999999999</v>
      </c>
      <c r="N704" s="2" t="s">
        <v>34</v>
      </c>
      <c r="O704" s="3">
        <v>0</v>
      </c>
      <c r="P704" s="3">
        <v>0</v>
      </c>
      <c r="Q704" s="3">
        <v>9.8000000000000007</v>
      </c>
      <c r="R704" s="3">
        <v>149.78</v>
      </c>
      <c r="S704" s="2" t="s">
        <v>123</v>
      </c>
      <c r="T704" s="2" t="s">
        <v>99</v>
      </c>
      <c r="U704" s="2" t="s">
        <v>66</v>
      </c>
      <c r="V704" s="2" t="s">
        <v>2915</v>
      </c>
      <c r="W704" s="3">
        <v>0</v>
      </c>
    </row>
    <row r="705" spans="1:23" x14ac:dyDescent="0.3">
      <c r="A705" s="4" t="s">
        <v>4311</v>
      </c>
      <c r="B705" s="4" t="s">
        <v>3421</v>
      </c>
      <c r="C705" s="4" t="s">
        <v>4312</v>
      </c>
      <c r="D705" s="4" t="s">
        <v>1097</v>
      </c>
      <c r="E705" s="4" t="s">
        <v>4313</v>
      </c>
      <c r="F705" s="4" t="s">
        <v>4314</v>
      </c>
      <c r="G705" s="4" t="s">
        <v>428</v>
      </c>
      <c r="H705" s="4" t="s">
        <v>429</v>
      </c>
      <c r="I705" s="4" t="s">
        <v>31</v>
      </c>
      <c r="J705" s="4" t="s">
        <v>1997</v>
      </c>
      <c r="K705" s="4" t="s">
        <v>143</v>
      </c>
      <c r="L705" s="4">
        <v>1</v>
      </c>
      <c r="M705" s="5">
        <v>129.99</v>
      </c>
      <c r="N705" s="4" t="s">
        <v>34</v>
      </c>
      <c r="O705" s="5">
        <v>0</v>
      </c>
      <c r="P705" s="5">
        <v>0</v>
      </c>
      <c r="Q705" s="5">
        <v>11.05</v>
      </c>
      <c r="R705" s="5">
        <v>141.04</v>
      </c>
      <c r="S705" s="4" t="s">
        <v>35</v>
      </c>
      <c r="T705" s="4" t="s">
        <v>173</v>
      </c>
      <c r="U705" s="4" t="s">
        <v>66</v>
      </c>
      <c r="V705" s="4" t="s">
        <v>4141</v>
      </c>
      <c r="W705" s="5">
        <v>0</v>
      </c>
    </row>
    <row r="706" spans="1:23" x14ac:dyDescent="0.3">
      <c r="A706" s="2" t="s">
        <v>4315</v>
      </c>
      <c r="B706" s="2" t="s">
        <v>1527</v>
      </c>
      <c r="C706" s="2" t="s">
        <v>4316</v>
      </c>
      <c r="D706" s="2" t="s">
        <v>4317</v>
      </c>
      <c r="E706" s="2" t="s">
        <v>4318</v>
      </c>
      <c r="F706" s="2" t="s">
        <v>4319</v>
      </c>
      <c r="G706" s="2" t="s">
        <v>74</v>
      </c>
      <c r="H706" s="2" t="s">
        <v>75</v>
      </c>
      <c r="I706" s="2" t="s">
        <v>31</v>
      </c>
      <c r="J706" s="2" t="s">
        <v>47</v>
      </c>
      <c r="K706" s="2" t="s">
        <v>48</v>
      </c>
      <c r="L706" s="2">
        <v>1</v>
      </c>
      <c r="M706" s="3">
        <v>42.99</v>
      </c>
      <c r="N706" s="2" t="s">
        <v>163</v>
      </c>
      <c r="O706" s="3">
        <v>8.6</v>
      </c>
      <c r="P706" s="3">
        <v>4.99</v>
      </c>
      <c r="Q706" s="3">
        <v>2.75</v>
      </c>
      <c r="R706" s="3">
        <v>42.13</v>
      </c>
      <c r="S706" s="2" t="s">
        <v>332</v>
      </c>
      <c r="T706" s="2" t="s">
        <v>36</v>
      </c>
      <c r="U706" s="2" t="s">
        <v>100</v>
      </c>
      <c r="V706" s="2"/>
      <c r="W706" s="3">
        <v>0</v>
      </c>
    </row>
    <row r="707" spans="1:23" x14ac:dyDescent="0.3">
      <c r="A707" s="4" t="s">
        <v>4320</v>
      </c>
      <c r="B707" s="4" t="s">
        <v>1194</v>
      </c>
      <c r="C707" s="4" t="s">
        <v>4321</v>
      </c>
      <c r="D707" s="4" t="s">
        <v>4322</v>
      </c>
      <c r="E707" s="4" t="s">
        <v>4323</v>
      </c>
      <c r="F707" s="4" t="s">
        <v>4324</v>
      </c>
      <c r="G707" s="4" t="s">
        <v>640</v>
      </c>
      <c r="H707" s="4" t="s">
        <v>161</v>
      </c>
      <c r="I707" s="4" t="s">
        <v>31</v>
      </c>
      <c r="J707" s="4" t="s">
        <v>4325</v>
      </c>
      <c r="K707" s="4" t="s">
        <v>77</v>
      </c>
      <c r="L707" s="4">
        <v>2</v>
      </c>
      <c r="M707" s="5">
        <v>134.97999999999999</v>
      </c>
      <c r="N707" s="4" t="s">
        <v>163</v>
      </c>
      <c r="O707" s="5">
        <v>27</v>
      </c>
      <c r="P707" s="5">
        <v>0</v>
      </c>
      <c r="Q707" s="5">
        <v>6.48</v>
      </c>
      <c r="R707" s="5">
        <v>114.46</v>
      </c>
      <c r="S707" s="4" t="s">
        <v>437</v>
      </c>
      <c r="T707" s="4" t="s">
        <v>50</v>
      </c>
      <c r="U707" s="4" t="s">
        <v>100</v>
      </c>
      <c r="V707" s="4"/>
      <c r="W707" s="5">
        <v>0</v>
      </c>
    </row>
    <row r="708" spans="1:23" x14ac:dyDescent="0.3">
      <c r="A708" s="2" t="s">
        <v>4326</v>
      </c>
      <c r="B708" s="2" t="s">
        <v>431</v>
      </c>
      <c r="C708" s="2" t="s">
        <v>4327</v>
      </c>
      <c r="D708" s="2" t="s">
        <v>4328</v>
      </c>
      <c r="E708" s="2" t="s">
        <v>4329</v>
      </c>
      <c r="F708" s="2" t="s">
        <v>4330</v>
      </c>
      <c r="G708" s="2" t="s">
        <v>403</v>
      </c>
      <c r="H708" s="2" t="s">
        <v>404</v>
      </c>
      <c r="I708" s="2" t="s">
        <v>31</v>
      </c>
      <c r="J708" s="2" t="s">
        <v>4331</v>
      </c>
      <c r="K708" s="2" t="s">
        <v>209</v>
      </c>
      <c r="L708" s="2">
        <v>2</v>
      </c>
      <c r="M708" s="3">
        <v>104.97</v>
      </c>
      <c r="N708" s="2" t="s">
        <v>63</v>
      </c>
      <c r="O708" s="3">
        <v>26.24</v>
      </c>
      <c r="P708" s="3">
        <v>0</v>
      </c>
      <c r="Q708" s="3">
        <v>5.51</v>
      </c>
      <c r="R708" s="3">
        <v>84.24</v>
      </c>
      <c r="S708" s="2" t="s">
        <v>35</v>
      </c>
      <c r="T708" s="2" t="s">
        <v>99</v>
      </c>
      <c r="U708" s="2" t="s">
        <v>66</v>
      </c>
      <c r="V708" s="2" t="s">
        <v>1149</v>
      </c>
      <c r="W708" s="3">
        <v>0</v>
      </c>
    </row>
    <row r="709" spans="1:23" x14ac:dyDescent="0.3">
      <c r="A709" s="4" t="s">
        <v>4332</v>
      </c>
      <c r="B709" s="4" t="s">
        <v>284</v>
      </c>
      <c r="C709" s="4" t="s">
        <v>4333</v>
      </c>
      <c r="D709" s="4" t="s">
        <v>4334</v>
      </c>
      <c r="E709" s="4" t="s">
        <v>4335</v>
      </c>
      <c r="F709" s="4" t="s">
        <v>4336</v>
      </c>
      <c r="G709" s="4" t="s">
        <v>323</v>
      </c>
      <c r="H709" s="4" t="s">
        <v>324</v>
      </c>
      <c r="I709" s="4" t="s">
        <v>31</v>
      </c>
      <c r="J709" s="4" t="s">
        <v>4337</v>
      </c>
      <c r="K709" s="4" t="s">
        <v>209</v>
      </c>
      <c r="L709" s="4">
        <v>2</v>
      </c>
      <c r="M709" s="5">
        <v>169.97</v>
      </c>
      <c r="N709" s="4" t="s">
        <v>34</v>
      </c>
      <c r="O709" s="5">
        <v>0</v>
      </c>
      <c r="P709" s="5">
        <v>0</v>
      </c>
      <c r="Q709" s="5">
        <v>11.9</v>
      </c>
      <c r="R709" s="5">
        <v>181.87</v>
      </c>
      <c r="S709" s="4" t="s">
        <v>64</v>
      </c>
      <c r="T709" s="4" t="s">
        <v>99</v>
      </c>
      <c r="U709" s="4" t="s">
        <v>37</v>
      </c>
      <c r="V709" s="4" t="s">
        <v>635</v>
      </c>
      <c r="W709" s="5">
        <v>181.87</v>
      </c>
    </row>
    <row r="710" spans="1:23" x14ac:dyDescent="0.3">
      <c r="A710" s="2" t="s">
        <v>4338</v>
      </c>
      <c r="B710" s="2" t="s">
        <v>2532</v>
      </c>
      <c r="C710" s="2" t="s">
        <v>4339</v>
      </c>
      <c r="D710" s="2" t="s">
        <v>3705</v>
      </c>
      <c r="E710" s="2" t="s">
        <v>4340</v>
      </c>
      <c r="F710" s="2" t="s">
        <v>4341</v>
      </c>
      <c r="G710" s="2" t="s">
        <v>207</v>
      </c>
      <c r="H710" s="2" t="s">
        <v>141</v>
      </c>
      <c r="I710" s="2" t="s">
        <v>31</v>
      </c>
      <c r="J710" s="2" t="s">
        <v>4342</v>
      </c>
      <c r="K710" s="2" t="s">
        <v>77</v>
      </c>
      <c r="L710" s="2">
        <v>3</v>
      </c>
      <c r="M710" s="3">
        <v>217.96</v>
      </c>
      <c r="N710" s="2" t="s">
        <v>163</v>
      </c>
      <c r="O710" s="3">
        <v>43.59</v>
      </c>
      <c r="P710" s="3">
        <v>0</v>
      </c>
      <c r="Q710" s="3">
        <v>13.95</v>
      </c>
      <c r="R710" s="3">
        <v>188.32</v>
      </c>
      <c r="S710" s="2" t="s">
        <v>123</v>
      </c>
      <c r="T710" s="2" t="s">
        <v>99</v>
      </c>
      <c r="U710" s="2" t="s">
        <v>317</v>
      </c>
      <c r="V710" s="2"/>
      <c r="W710" s="3">
        <v>0</v>
      </c>
    </row>
    <row r="711" spans="1:23" x14ac:dyDescent="0.3">
      <c r="A711" s="4" t="s">
        <v>4343</v>
      </c>
      <c r="B711" s="4" t="s">
        <v>1417</v>
      </c>
      <c r="C711" s="4" t="s">
        <v>4344</v>
      </c>
      <c r="D711" s="4" t="s">
        <v>4345</v>
      </c>
      <c r="E711" s="4" t="s">
        <v>4346</v>
      </c>
      <c r="F711" s="4" t="s">
        <v>4347</v>
      </c>
      <c r="G711" s="4" t="s">
        <v>394</v>
      </c>
      <c r="H711" s="4" t="s">
        <v>395</v>
      </c>
      <c r="I711" s="4" t="s">
        <v>31</v>
      </c>
      <c r="J711" s="4" t="s">
        <v>132</v>
      </c>
      <c r="K711" s="4" t="s">
        <v>48</v>
      </c>
      <c r="L711" s="4">
        <v>1</v>
      </c>
      <c r="M711" s="5">
        <v>129.97999999999999</v>
      </c>
      <c r="N711" s="4" t="s">
        <v>34</v>
      </c>
      <c r="O711" s="5">
        <v>0</v>
      </c>
      <c r="P711" s="5">
        <v>0</v>
      </c>
      <c r="Q711" s="5">
        <v>13</v>
      </c>
      <c r="R711" s="5">
        <v>142.97999999999999</v>
      </c>
      <c r="S711" s="4" t="s">
        <v>64</v>
      </c>
      <c r="T711" s="4" t="s">
        <v>99</v>
      </c>
      <c r="U711" s="4" t="s">
        <v>51</v>
      </c>
      <c r="V711" s="4" t="s">
        <v>1055</v>
      </c>
      <c r="W711" s="5">
        <v>0</v>
      </c>
    </row>
    <row r="712" spans="1:23" x14ac:dyDescent="0.3">
      <c r="A712" s="2" t="s">
        <v>4348</v>
      </c>
      <c r="B712" s="2" t="s">
        <v>2616</v>
      </c>
      <c r="C712" s="2" t="s">
        <v>4349</v>
      </c>
      <c r="D712" s="2" t="s">
        <v>4350</v>
      </c>
      <c r="E712" s="2" t="s">
        <v>4351</v>
      </c>
      <c r="F712" s="2" t="s">
        <v>4352</v>
      </c>
      <c r="G712" s="2" t="s">
        <v>428</v>
      </c>
      <c r="H712" s="2" t="s">
        <v>429</v>
      </c>
      <c r="I712" s="2" t="s">
        <v>31</v>
      </c>
      <c r="J712" s="2" t="s">
        <v>4353</v>
      </c>
      <c r="K712" s="2" t="s">
        <v>679</v>
      </c>
      <c r="L712" s="2">
        <v>2</v>
      </c>
      <c r="M712" s="3">
        <v>69.98</v>
      </c>
      <c r="N712" s="2" t="s">
        <v>34</v>
      </c>
      <c r="O712" s="3">
        <v>0</v>
      </c>
      <c r="P712" s="3">
        <v>7.99</v>
      </c>
      <c r="Q712" s="3">
        <v>7</v>
      </c>
      <c r="R712" s="3">
        <v>84.97</v>
      </c>
      <c r="S712" s="2" t="s">
        <v>123</v>
      </c>
      <c r="T712" s="2" t="s">
        <v>144</v>
      </c>
      <c r="U712" s="2" t="s">
        <v>100</v>
      </c>
      <c r="V712" s="2"/>
      <c r="W712" s="3">
        <v>0</v>
      </c>
    </row>
    <row r="713" spans="1:23" x14ac:dyDescent="0.3">
      <c r="A713" s="4" t="s">
        <v>4354</v>
      </c>
      <c r="B713" s="4" t="s">
        <v>959</v>
      </c>
      <c r="C713" s="4" t="s">
        <v>4355</v>
      </c>
      <c r="D713" s="4" t="s">
        <v>4356</v>
      </c>
      <c r="E713" s="4" t="s">
        <v>4357</v>
      </c>
      <c r="F713" s="4" t="s">
        <v>4358</v>
      </c>
      <c r="G713" s="4" t="s">
        <v>87</v>
      </c>
      <c r="H713" s="4" t="s">
        <v>88</v>
      </c>
      <c r="I713" s="4" t="s">
        <v>31</v>
      </c>
      <c r="J713" s="4" t="s">
        <v>4359</v>
      </c>
      <c r="K713" s="4" t="s">
        <v>122</v>
      </c>
      <c r="L713" s="4">
        <v>2</v>
      </c>
      <c r="M713" s="5">
        <v>274.95999999999998</v>
      </c>
      <c r="N713" s="4" t="s">
        <v>34</v>
      </c>
      <c r="O713" s="5">
        <v>0</v>
      </c>
      <c r="P713" s="5">
        <v>0</v>
      </c>
      <c r="Q713" s="5">
        <v>23.37</v>
      </c>
      <c r="R713" s="5">
        <v>298.33</v>
      </c>
      <c r="S713" s="4" t="s">
        <v>35</v>
      </c>
      <c r="T713" s="4" t="s">
        <v>144</v>
      </c>
      <c r="U713" s="4" t="s">
        <v>51</v>
      </c>
      <c r="V713" s="4" t="s">
        <v>153</v>
      </c>
      <c r="W713" s="5">
        <v>0</v>
      </c>
    </row>
    <row r="714" spans="1:23" x14ac:dyDescent="0.3">
      <c r="A714" s="2" t="s">
        <v>4360</v>
      </c>
      <c r="B714" s="2" t="s">
        <v>90</v>
      </c>
      <c r="C714" s="2" t="s">
        <v>4361</v>
      </c>
      <c r="D714" s="2" t="s">
        <v>4065</v>
      </c>
      <c r="E714" s="2" t="s">
        <v>4362</v>
      </c>
      <c r="F714" s="2" t="s">
        <v>4363</v>
      </c>
      <c r="G714" s="2" t="s">
        <v>676</v>
      </c>
      <c r="H714" s="2" t="s">
        <v>677</v>
      </c>
      <c r="I714" s="2" t="s">
        <v>31</v>
      </c>
      <c r="J714" s="2" t="s">
        <v>4364</v>
      </c>
      <c r="K714" s="2" t="s">
        <v>48</v>
      </c>
      <c r="L714" s="2">
        <v>2</v>
      </c>
      <c r="M714" s="3">
        <v>84.98</v>
      </c>
      <c r="N714" s="2" t="s">
        <v>78</v>
      </c>
      <c r="O714" s="3">
        <v>8.5</v>
      </c>
      <c r="P714" s="3">
        <v>0</v>
      </c>
      <c r="Q714" s="3">
        <v>7.65</v>
      </c>
      <c r="R714" s="3">
        <v>84.13</v>
      </c>
      <c r="S714" s="2" t="s">
        <v>35</v>
      </c>
      <c r="T714" s="2" t="s">
        <v>183</v>
      </c>
      <c r="U714" s="2" t="s">
        <v>66</v>
      </c>
      <c r="V714" s="2" t="s">
        <v>254</v>
      </c>
      <c r="W714" s="3">
        <v>0</v>
      </c>
    </row>
    <row r="715" spans="1:23" x14ac:dyDescent="0.3">
      <c r="A715" s="4" t="s">
        <v>4365</v>
      </c>
      <c r="B715" s="4" t="s">
        <v>952</v>
      </c>
      <c r="C715" s="4" t="s">
        <v>4366</v>
      </c>
      <c r="D715" s="4" t="s">
        <v>3401</v>
      </c>
      <c r="E715" s="4" t="s">
        <v>4367</v>
      </c>
      <c r="F715" s="4" t="s">
        <v>4368</v>
      </c>
      <c r="G715" s="4" t="s">
        <v>131</v>
      </c>
      <c r="H715" s="4" t="s">
        <v>88</v>
      </c>
      <c r="I715" s="4" t="s">
        <v>31</v>
      </c>
      <c r="J715" s="4" t="s">
        <v>4369</v>
      </c>
      <c r="K715" s="4" t="s">
        <v>33</v>
      </c>
      <c r="L715" s="4">
        <v>1</v>
      </c>
      <c r="M715" s="5">
        <v>149.97</v>
      </c>
      <c r="N715" s="4" t="s">
        <v>78</v>
      </c>
      <c r="O715" s="5">
        <v>15</v>
      </c>
      <c r="P715" s="5">
        <v>0</v>
      </c>
      <c r="Q715" s="5">
        <v>10.8</v>
      </c>
      <c r="R715" s="5">
        <v>145.77000000000001</v>
      </c>
      <c r="S715" s="4" t="s">
        <v>64</v>
      </c>
      <c r="T715" s="4" t="s">
        <v>50</v>
      </c>
      <c r="U715" s="4" t="s">
        <v>66</v>
      </c>
      <c r="V715" s="4" t="s">
        <v>2406</v>
      </c>
      <c r="W715" s="5">
        <v>0</v>
      </c>
    </row>
    <row r="716" spans="1:23" x14ac:dyDescent="0.3">
      <c r="A716" s="2" t="s">
        <v>4370</v>
      </c>
      <c r="B716" s="2" t="s">
        <v>877</v>
      </c>
      <c r="C716" s="2" t="s">
        <v>4371</v>
      </c>
      <c r="D716" s="2" t="s">
        <v>4372</v>
      </c>
      <c r="E716" s="2" t="s">
        <v>4373</v>
      </c>
      <c r="F716" s="2" t="s">
        <v>4374</v>
      </c>
      <c r="G716" s="2" t="s">
        <v>242</v>
      </c>
      <c r="H716" s="2" t="s">
        <v>243</v>
      </c>
      <c r="I716" s="2" t="s">
        <v>31</v>
      </c>
      <c r="J716" s="2" t="s">
        <v>151</v>
      </c>
      <c r="K716" s="2" t="s">
        <v>110</v>
      </c>
      <c r="L716" s="2">
        <v>1</v>
      </c>
      <c r="M716" s="3">
        <v>39.99</v>
      </c>
      <c r="N716" s="2" t="s">
        <v>34</v>
      </c>
      <c r="O716" s="3">
        <v>0</v>
      </c>
      <c r="P716" s="3">
        <v>7.99</v>
      </c>
      <c r="Q716" s="3">
        <v>3.6</v>
      </c>
      <c r="R716" s="3">
        <v>51.58</v>
      </c>
      <c r="S716" s="2" t="s">
        <v>123</v>
      </c>
      <c r="T716" s="2" t="s">
        <v>36</v>
      </c>
      <c r="U716" s="2" t="s">
        <v>66</v>
      </c>
      <c r="V716" s="2" t="s">
        <v>2247</v>
      </c>
      <c r="W716" s="3">
        <v>0</v>
      </c>
    </row>
    <row r="717" spans="1:23" x14ac:dyDescent="0.3">
      <c r="A717" s="4" t="s">
        <v>4375</v>
      </c>
      <c r="B717" s="4" t="s">
        <v>609</v>
      </c>
      <c r="C717" s="4" t="s">
        <v>4376</v>
      </c>
      <c r="D717" s="4" t="s">
        <v>4377</v>
      </c>
      <c r="E717" s="4" t="s">
        <v>4378</v>
      </c>
      <c r="F717" s="4" t="s">
        <v>4379</v>
      </c>
      <c r="G717" s="4" t="s">
        <v>242</v>
      </c>
      <c r="H717" s="4" t="s">
        <v>243</v>
      </c>
      <c r="I717" s="4" t="s">
        <v>31</v>
      </c>
      <c r="J717" s="4" t="s">
        <v>4380</v>
      </c>
      <c r="K717" s="4" t="s">
        <v>110</v>
      </c>
      <c r="L717" s="4">
        <v>2</v>
      </c>
      <c r="M717" s="5">
        <v>205.96</v>
      </c>
      <c r="N717" s="4" t="s">
        <v>49</v>
      </c>
      <c r="O717" s="5">
        <v>30.89</v>
      </c>
      <c r="P717" s="5">
        <v>0</v>
      </c>
      <c r="Q717" s="5">
        <v>14.01</v>
      </c>
      <c r="R717" s="5">
        <v>189.08</v>
      </c>
      <c r="S717" s="4" t="s">
        <v>123</v>
      </c>
      <c r="T717" s="4" t="s">
        <v>65</v>
      </c>
      <c r="U717" s="4" t="s">
        <v>66</v>
      </c>
      <c r="V717" s="4" t="s">
        <v>133</v>
      </c>
      <c r="W717" s="5">
        <v>0</v>
      </c>
    </row>
    <row r="718" spans="1:23" x14ac:dyDescent="0.3">
      <c r="A718" s="2" t="s">
        <v>4381</v>
      </c>
      <c r="B718" s="2" t="s">
        <v>1246</v>
      </c>
      <c r="C718" s="2" t="s">
        <v>4382</v>
      </c>
      <c r="D718" s="2" t="s">
        <v>4383</v>
      </c>
      <c r="E718" s="2" t="s">
        <v>4384</v>
      </c>
      <c r="F718" s="2" t="s">
        <v>4385</v>
      </c>
      <c r="G718" s="2" t="s">
        <v>347</v>
      </c>
      <c r="H718" s="2" t="s">
        <v>60</v>
      </c>
      <c r="I718" s="2" t="s">
        <v>31</v>
      </c>
      <c r="J718" s="2" t="s">
        <v>151</v>
      </c>
      <c r="K718" s="2" t="s">
        <v>110</v>
      </c>
      <c r="L718" s="2">
        <v>1</v>
      </c>
      <c r="M718" s="3">
        <v>39.99</v>
      </c>
      <c r="N718" s="2" t="s">
        <v>152</v>
      </c>
      <c r="O718" s="3">
        <v>2</v>
      </c>
      <c r="P718" s="3">
        <v>9.99</v>
      </c>
      <c r="Q718" s="3">
        <v>2.2799999999999998</v>
      </c>
      <c r="R718" s="3">
        <v>50.26</v>
      </c>
      <c r="S718" s="2" t="s">
        <v>35</v>
      </c>
      <c r="T718" s="2" t="s">
        <v>99</v>
      </c>
      <c r="U718" s="2" t="s">
        <v>66</v>
      </c>
      <c r="V718" s="2" t="s">
        <v>1596</v>
      </c>
      <c r="W718" s="3">
        <v>0</v>
      </c>
    </row>
    <row r="719" spans="1:23" x14ac:dyDescent="0.3">
      <c r="A719" s="4" t="s">
        <v>4386</v>
      </c>
      <c r="B719" s="4" t="s">
        <v>1377</v>
      </c>
      <c r="C719" s="4" t="s">
        <v>4387</v>
      </c>
      <c r="D719" s="4" t="s">
        <v>313</v>
      </c>
      <c r="E719" s="4" t="s">
        <v>4388</v>
      </c>
      <c r="F719" s="4" t="s">
        <v>4389</v>
      </c>
      <c r="G719" s="4" t="s">
        <v>107</v>
      </c>
      <c r="H719" s="4" t="s">
        <v>108</v>
      </c>
      <c r="I719" s="4" t="s">
        <v>31</v>
      </c>
      <c r="J719" s="4" t="s">
        <v>4390</v>
      </c>
      <c r="K719" s="4" t="s">
        <v>77</v>
      </c>
      <c r="L719" s="4">
        <v>2</v>
      </c>
      <c r="M719" s="5">
        <v>115.96</v>
      </c>
      <c r="N719" s="4" t="s">
        <v>34</v>
      </c>
      <c r="O719" s="5">
        <v>0</v>
      </c>
      <c r="P719" s="5">
        <v>0</v>
      </c>
      <c r="Q719" s="5">
        <v>8.1199999999999992</v>
      </c>
      <c r="R719" s="5">
        <v>124.08</v>
      </c>
      <c r="S719" s="4" t="s">
        <v>332</v>
      </c>
      <c r="T719" s="4" t="s">
        <v>99</v>
      </c>
      <c r="U719" s="4" t="s">
        <v>66</v>
      </c>
      <c r="V719" s="4" t="s">
        <v>617</v>
      </c>
      <c r="W719" s="5">
        <v>0</v>
      </c>
    </row>
    <row r="720" spans="1:23" x14ac:dyDescent="0.3">
      <c r="A720" s="2" t="s">
        <v>4391</v>
      </c>
      <c r="B720" s="2" t="s">
        <v>447</v>
      </c>
      <c r="C720" s="2" t="s">
        <v>4392</v>
      </c>
      <c r="D720" s="2" t="s">
        <v>3054</v>
      </c>
      <c r="E720" s="2" t="s">
        <v>4393</v>
      </c>
      <c r="F720" s="2" t="s">
        <v>4394</v>
      </c>
      <c r="G720" s="2" t="s">
        <v>394</v>
      </c>
      <c r="H720" s="2" t="s">
        <v>395</v>
      </c>
      <c r="I720" s="2" t="s">
        <v>31</v>
      </c>
      <c r="J720" s="2" t="s">
        <v>4395</v>
      </c>
      <c r="K720" s="2" t="s">
        <v>33</v>
      </c>
      <c r="L720" s="2">
        <v>4</v>
      </c>
      <c r="M720" s="3">
        <v>299.94</v>
      </c>
      <c r="N720" s="2" t="s">
        <v>78</v>
      </c>
      <c r="O720" s="3">
        <v>29.99</v>
      </c>
      <c r="P720" s="3">
        <v>0</v>
      </c>
      <c r="Q720" s="3">
        <v>16.2</v>
      </c>
      <c r="R720" s="3">
        <v>286.14999999999998</v>
      </c>
      <c r="S720" s="2" t="s">
        <v>35</v>
      </c>
      <c r="T720" s="2" t="s">
        <v>65</v>
      </c>
      <c r="U720" s="2" t="s">
        <v>100</v>
      </c>
      <c r="V720" s="2"/>
      <c r="W720" s="3">
        <v>0</v>
      </c>
    </row>
    <row r="721" spans="1:23" x14ac:dyDescent="0.3">
      <c r="A721" s="4" t="s">
        <v>4396</v>
      </c>
      <c r="B721" s="4" t="s">
        <v>1122</v>
      </c>
      <c r="C721" s="4" t="s">
        <v>4397</v>
      </c>
      <c r="D721" s="4" t="s">
        <v>4398</v>
      </c>
      <c r="E721" s="4" t="s">
        <v>4399</v>
      </c>
      <c r="F721" s="4" t="s">
        <v>4400</v>
      </c>
      <c r="G721" s="4" t="s">
        <v>74</v>
      </c>
      <c r="H721" s="4" t="s">
        <v>75</v>
      </c>
      <c r="I721" s="4" t="s">
        <v>31</v>
      </c>
      <c r="J721" s="4" t="s">
        <v>1054</v>
      </c>
      <c r="K721" s="4" t="s">
        <v>364</v>
      </c>
      <c r="L721" s="4">
        <v>1</v>
      </c>
      <c r="M721" s="5">
        <v>44.99</v>
      </c>
      <c r="N721" s="4" t="s">
        <v>49</v>
      </c>
      <c r="O721" s="5">
        <v>6.75</v>
      </c>
      <c r="P721" s="5">
        <v>4.99</v>
      </c>
      <c r="Q721" s="5">
        <v>2.29</v>
      </c>
      <c r="R721" s="5">
        <v>45.52</v>
      </c>
      <c r="S721" s="4" t="s">
        <v>437</v>
      </c>
      <c r="T721" s="4" t="s">
        <v>173</v>
      </c>
      <c r="U721" s="4" t="s">
        <v>37</v>
      </c>
      <c r="V721" s="4" t="s">
        <v>572</v>
      </c>
      <c r="W721" s="5">
        <v>45.52</v>
      </c>
    </row>
    <row r="722" spans="1:23" x14ac:dyDescent="0.3">
      <c r="A722" s="2" t="s">
        <v>4401</v>
      </c>
      <c r="B722" s="2" t="s">
        <v>601</v>
      </c>
      <c r="C722" s="2" t="s">
        <v>4402</v>
      </c>
      <c r="D722" s="2" t="s">
        <v>4403</v>
      </c>
      <c r="E722" s="2" t="s">
        <v>4404</v>
      </c>
      <c r="F722" s="2" t="s">
        <v>4405</v>
      </c>
      <c r="G722" s="2" t="s">
        <v>29</v>
      </c>
      <c r="H722" s="2" t="s">
        <v>30</v>
      </c>
      <c r="I722" s="2" t="s">
        <v>31</v>
      </c>
      <c r="J722" s="2" t="s">
        <v>983</v>
      </c>
      <c r="K722" s="2" t="s">
        <v>122</v>
      </c>
      <c r="L722" s="2">
        <v>1</v>
      </c>
      <c r="M722" s="3">
        <v>209.97</v>
      </c>
      <c r="N722" s="2" t="s">
        <v>63</v>
      </c>
      <c r="O722" s="3">
        <v>52.49</v>
      </c>
      <c r="P722" s="3">
        <v>0</v>
      </c>
      <c r="Q722" s="3">
        <v>12.6</v>
      </c>
      <c r="R722" s="3">
        <v>170.08</v>
      </c>
      <c r="S722" s="2" t="s">
        <v>123</v>
      </c>
      <c r="T722" s="2" t="s">
        <v>173</v>
      </c>
      <c r="U722" s="2" t="s">
        <v>100</v>
      </c>
      <c r="V722" s="2"/>
      <c r="W722" s="3">
        <v>0</v>
      </c>
    </row>
    <row r="723" spans="1:23" x14ac:dyDescent="0.3">
      <c r="A723" s="4" t="s">
        <v>4406</v>
      </c>
      <c r="B723" s="4" t="s">
        <v>764</v>
      </c>
      <c r="C723" s="4" t="s">
        <v>4407</v>
      </c>
      <c r="D723" s="4" t="s">
        <v>4408</v>
      </c>
      <c r="E723" s="4" t="s">
        <v>4409</v>
      </c>
      <c r="F723" s="4" t="s">
        <v>4410</v>
      </c>
      <c r="G723" s="4" t="s">
        <v>74</v>
      </c>
      <c r="H723" s="4" t="s">
        <v>75</v>
      </c>
      <c r="I723" s="4" t="s">
        <v>31</v>
      </c>
      <c r="J723" s="4" t="s">
        <v>4411</v>
      </c>
      <c r="K723" s="4" t="s">
        <v>364</v>
      </c>
      <c r="L723" s="4">
        <v>3</v>
      </c>
      <c r="M723" s="5">
        <v>217.95</v>
      </c>
      <c r="N723" s="4" t="s">
        <v>49</v>
      </c>
      <c r="O723" s="5">
        <v>32.69</v>
      </c>
      <c r="P723" s="5">
        <v>0</v>
      </c>
      <c r="Q723" s="5">
        <v>15.75</v>
      </c>
      <c r="R723" s="5">
        <v>201.01</v>
      </c>
      <c r="S723" s="4" t="s">
        <v>35</v>
      </c>
      <c r="T723" s="4" t="s">
        <v>50</v>
      </c>
      <c r="U723" s="4" t="s">
        <v>51</v>
      </c>
      <c r="V723" s="4" t="s">
        <v>595</v>
      </c>
      <c r="W723" s="5">
        <v>0</v>
      </c>
    </row>
    <row r="724" spans="1:23" x14ac:dyDescent="0.3">
      <c r="A724" s="2" t="s">
        <v>4412</v>
      </c>
      <c r="B724" s="2" t="s">
        <v>851</v>
      </c>
      <c r="C724" s="2" t="s">
        <v>4413</v>
      </c>
      <c r="D724" s="2" t="s">
        <v>4414</v>
      </c>
      <c r="E724" s="2" t="s">
        <v>4415</v>
      </c>
      <c r="F724" s="2" t="s">
        <v>4416</v>
      </c>
      <c r="G724" s="2" t="s">
        <v>251</v>
      </c>
      <c r="H724" s="2" t="s">
        <v>252</v>
      </c>
      <c r="I724" s="2" t="s">
        <v>31</v>
      </c>
      <c r="J724" s="2" t="s">
        <v>4417</v>
      </c>
      <c r="K724" s="2" t="s">
        <v>209</v>
      </c>
      <c r="L724" s="2">
        <v>3</v>
      </c>
      <c r="M724" s="3">
        <v>138.96</v>
      </c>
      <c r="N724" s="2" t="s">
        <v>152</v>
      </c>
      <c r="O724" s="3">
        <v>6.95</v>
      </c>
      <c r="P724" s="3">
        <v>0</v>
      </c>
      <c r="Q724" s="3">
        <v>11.22</v>
      </c>
      <c r="R724" s="3">
        <v>143.22999999999999</v>
      </c>
      <c r="S724" s="2" t="s">
        <v>332</v>
      </c>
      <c r="T724" s="2" t="s">
        <v>173</v>
      </c>
      <c r="U724" s="2" t="s">
        <v>66</v>
      </c>
      <c r="V724" s="2" t="s">
        <v>2565</v>
      </c>
      <c r="W724" s="3">
        <v>0</v>
      </c>
    </row>
    <row r="725" spans="1:23" x14ac:dyDescent="0.3">
      <c r="A725" s="4" t="s">
        <v>4418</v>
      </c>
      <c r="B725" s="4" t="s">
        <v>1539</v>
      </c>
      <c r="C725" s="4" t="s">
        <v>4419</v>
      </c>
      <c r="D725" s="4" t="s">
        <v>4420</v>
      </c>
      <c r="E725" s="4" t="s">
        <v>4421</v>
      </c>
      <c r="F725" s="4" t="s">
        <v>4422</v>
      </c>
      <c r="G725" s="4" t="s">
        <v>242</v>
      </c>
      <c r="H725" s="4" t="s">
        <v>243</v>
      </c>
      <c r="I725" s="4" t="s">
        <v>31</v>
      </c>
      <c r="J725" s="4" t="s">
        <v>526</v>
      </c>
      <c r="K725" s="4" t="s">
        <v>110</v>
      </c>
      <c r="L725" s="4">
        <v>1</v>
      </c>
      <c r="M725" s="5">
        <v>32.99</v>
      </c>
      <c r="N725" s="4" t="s">
        <v>78</v>
      </c>
      <c r="O725" s="5">
        <v>3.3</v>
      </c>
      <c r="P725" s="5">
        <v>7.99</v>
      </c>
      <c r="Q725" s="5">
        <v>1.78</v>
      </c>
      <c r="R725" s="5">
        <v>39.46</v>
      </c>
      <c r="S725" s="4" t="s">
        <v>332</v>
      </c>
      <c r="T725" s="4" t="s">
        <v>99</v>
      </c>
      <c r="U725" s="4" t="s">
        <v>100</v>
      </c>
      <c r="V725" s="4"/>
      <c r="W725" s="5">
        <v>0</v>
      </c>
    </row>
    <row r="726" spans="1:23" x14ac:dyDescent="0.3">
      <c r="A726" s="2" t="s">
        <v>4423</v>
      </c>
      <c r="B726" s="2" t="s">
        <v>3092</v>
      </c>
      <c r="C726" s="2" t="s">
        <v>4424</v>
      </c>
      <c r="D726" s="2" t="s">
        <v>4425</v>
      </c>
      <c r="E726" s="2" t="s">
        <v>4426</v>
      </c>
      <c r="F726" s="2" t="s">
        <v>4427</v>
      </c>
      <c r="G726" s="2" t="s">
        <v>428</v>
      </c>
      <c r="H726" s="2" t="s">
        <v>429</v>
      </c>
      <c r="I726" s="2" t="s">
        <v>31</v>
      </c>
      <c r="J726" s="2" t="s">
        <v>379</v>
      </c>
      <c r="K726" s="2" t="s">
        <v>209</v>
      </c>
      <c r="L726" s="2">
        <v>1</v>
      </c>
      <c r="M726" s="3">
        <v>89.99</v>
      </c>
      <c r="N726" s="2" t="s">
        <v>34</v>
      </c>
      <c r="O726" s="3">
        <v>0</v>
      </c>
      <c r="P726" s="3">
        <v>0</v>
      </c>
      <c r="Q726" s="3">
        <v>5.4</v>
      </c>
      <c r="R726" s="3">
        <v>95.39</v>
      </c>
      <c r="S726" s="2" t="s">
        <v>123</v>
      </c>
      <c r="T726" s="2" t="s">
        <v>99</v>
      </c>
      <c r="U726" s="2" t="s">
        <v>100</v>
      </c>
      <c r="V726" s="2"/>
      <c r="W726" s="3">
        <v>0</v>
      </c>
    </row>
    <row r="727" spans="1:23" x14ac:dyDescent="0.3">
      <c r="A727" s="4" t="s">
        <v>4428</v>
      </c>
      <c r="B727" s="4" t="s">
        <v>2296</v>
      </c>
      <c r="C727" s="4" t="s">
        <v>4429</v>
      </c>
      <c r="D727" s="4" t="s">
        <v>1614</v>
      </c>
      <c r="E727" s="4" t="s">
        <v>4430</v>
      </c>
      <c r="F727" s="4" t="s">
        <v>4431</v>
      </c>
      <c r="G727" s="4" t="s">
        <v>74</v>
      </c>
      <c r="H727" s="4" t="s">
        <v>75</v>
      </c>
      <c r="I727" s="4" t="s">
        <v>31</v>
      </c>
      <c r="J727" s="4" t="s">
        <v>4432</v>
      </c>
      <c r="K727" s="4" t="s">
        <v>62</v>
      </c>
      <c r="L727" s="4">
        <v>2</v>
      </c>
      <c r="M727" s="5">
        <v>139.97999999999999</v>
      </c>
      <c r="N727" s="4" t="s">
        <v>78</v>
      </c>
      <c r="O727" s="5">
        <v>14</v>
      </c>
      <c r="P727" s="5">
        <v>0</v>
      </c>
      <c r="Q727" s="5">
        <v>11.34</v>
      </c>
      <c r="R727" s="5">
        <v>137.32</v>
      </c>
      <c r="S727" s="4" t="s">
        <v>64</v>
      </c>
      <c r="T727" s="4" t="s">
        <v>99</v>
      </c>
      <c r="U727" s="4" t="s">
        <v>100</v>
      </c>
      <c r="V727" s="4"/>
      <c r="W727" s="5">
        <v>0</v>
      </c>
    </row>
    <row r="728" spans="1:23" x14ac:dyDescent="0.3">
      <c r="A728" s="2" t="s">
        <v>4433</v>
      </c>
      <c r="B728" s="2" t="s">
        <v>1567</v>
      </c>
      <c r="C728" s="2" t="s">
        <v>4434</v>
      </c>
      <c r="D728" s="2" t="s">
        <v>4435</v>
      </c>
      <c r="E728" s="2" t="s">
        <v>4436</v>
      </c>
      <c r="F728" s="2" t="s">
        <v>4437</v>
      </c>
      <c r="G728" s="2" t="s">
        <v>640</v>
      </c>
      <c r="H728" s="2" t="s">
        <v>161</v>
      </c>
      <c r="I728" s="2" t="s">
        <v>31</v>
      </c>
      <c r="J728" s="2" t="s">
        <v>2792</v>
      </c>
      <c r="K728" s="2" t="s">
        <v>209</v>
      </c>
      <c r="L728" s="2">
        <v>1</v>
      </c>
      <c r="M728" s="3">
        <v>79.98</v>
      </c>
      <c r="N728" s="2" t="s">
        <v>78</v>
      </c>
      <c r="O728" s="3">
        <v>8</v>
      </c>
      <c r="P728" s="3">
        <v>0</v>
      </c>
      <c r="Q728" s="3">
        <v>6.48</v>
      </c>
      <c r="R728" s="3">
        <v>78.459999999999994</v>
      </c>
      <c r="S728" s="2" t="s">
        <v>35</v>
      </c>
      <c r="T728" s="2" t="s">
        <v>99</v>
      </c>
      <c r="U728" s="2" t="s">
        <v>66</v>
      </c>
      <c r="V728" s="2" t="s">
        <v>1805</v>
      </c>
      <c r="W728" s="3">
        <v>0</v>
      </c>
    </row>
    <row r="729" spans="1:23" x14ac:dyDescent="0.3">
      <c r="A729" s="4" t="s">
        <v>4438</v>
      </c>
      <c r="B729" s="4" t="s">
        <v>797</v>
      </c>
      <c r="C729" s="4" t="s">
        <v>4439</v>
      </c>
      <c r="D729" s="4" t="s">
        <v>1875</v>
      </c>
      <c r="E729" s="4" t="s">
        <v>4440</v>
      </c>
      <c r="F729" s="4" t="s">
        <v>4441</v>
      </c>
      <c r="G729" s="4" t="s">
        <v>640</v>
      </c>
      <c r="H729" s="4" t="s">
        <v>161</v>
      </c>
      <c r="I729" s="4" t="s">
        <v>31</v>
      </c>
      <c r="J729" s="4" t="s">
        <v>577</v>
      </c>
      <c r="K729" s="4" t="s">
        <v>364</v>
      </c>
      <c r="L729" s="4">
        <v>1</v>
      </c>
      <c r="M729" s="5">
        <v>19.989999999999998</v>
      </c>
      <c r="N729" s="4" t="s">
        <v>34</v>
      </c>
      <c r="O729" s="5">
        <v>0</v>
      </c>
      <c r="P729" s="5">
        <v>4.99</v>
      </c>
      <c r="Q729" s="5">
        <v>2</v>
      </c>
      <c r="R729" s="5">
        <v>26.98</v>
      </c>
      <c r="S729" s="4" t="s">
        <v>79</v>
      </c>
      <c r="T729" s="4" t="s">
        <v>99</v>
      </c>
      <c r="U729" s="4" t="s">
        <v>66</v>
      </c>
      <c r="V729" s="4" t="s">
        <v>1063</v>
      </c>
      <c r="W729" s="5">
        <v>0</v>
      </c>
    </row>
    <row r="730" spans="1:23" x14ac:dyDescent="0.3">
      <c r="A730" s="2" t="s">
        <v>4442</v>
      </c>
      <c r="B730" s="2" t="s">
        <v>2584</v>
      </c>
      <c r="C730" s="2" t="s">
        <v>4443</v>
      </c>
      <c r="D730" s="2" t="s">
        <v>689</v>
      </c>
      <c r="E730" s="2" t="s">
        <v>4444</v>
      </c>
      <c r="F730" s="2" t="s">
        <v>4445</v>
      </c>
      <c r="G730" s="2" t="s">
        <v>403</v>
      </c>
      <c r="H730" s="2" t="s">
        <v>404</v>
      </c>
      <c r="I730" s="2" t="s">
        <v>31</v>
      </c>
      <c r="J730" s="2" t="s">
        <v>4446</v>
      </c>
      <c r="K730" s="2" t="s">
        <v>62</v>
      </c>
      <c r="L730" s="2">
        <v>2</v>
      </c>
      <c r="M730" s="3">
        <v>110.97</v>
      </c>
      <c r="N730" s="2" t="s">
        <v>152</v>
      </c>
      <c r="O730" s="3">
        <v>5.55</v>
      </c>
      <c r="P730" s="3">
        <v>0</v>
      </c>
      <c r="Q730" s="3">
        <v>8.9600000000000009</v>
      </c>
      <c r="R730" s="3">
        <v>114.38</v>
      </c>
      <c r="S730" s="2" t="s">
        <v>123</v>
      </c>
      <c r="T730" s="2" t="s">
        <v>99</v>
      </c>
      <c r="U730" s="2" t="s">
        <v>66</v>
      </c>
      <c r="V730" s="2" t="s">
        <v>439</v>
      </c>
      <c r="W730" s="3">
        <v>0</v>
      </c>
    </row>
    <row r="731" spans="1:23" x14ac:dyDescent="0.3">
      <c r="A731" s="4" t="s">
        <v>4447</v>
      </c>
      <c r="B731" s="4" t="s">
        <v>3927</v>
      </c>
      <c r="C731" s="4" t="s">
        <v>4448</v>
      </c>
      <c r="D731" s="4" t="s">
        <v>4449</v>
      </c>
      <c r="E731" s="4" t="s">
        <v>4450</v>
      </c>
      <c r="F731" s="4" t="s">
        <v>4451</v>
      </c>
      <c r="G731" s="4" t="s">
        <v>131</v>
      </c>
      <c r="H731" s="4" t="s">
        <v>88</v>
      </c>
      <c r="I731" s="4" t="s">
        <v>31</v>
      </c>
      <c r="J731" s="4" t="s">
        <v>4452</v>
      </c>
      <c r="K731" s="4" t="s">
        <v>48</v>
      </c>
      <c r="L731" s="4">
        <v>3</v>
      </c>
      <c r="M731" s="5">
        <v>104.97</v>
      </c>
      <c r="N731" s="4" t="s">
        <v>63</v>
      </c>
      <c r="O731" s="5">
        <v>26.24</v>
      </c>
      <c r="P731" s="5">
        <v>0</v>
      </c>
      <c r="Q731" s="5">
        <v>6.3</v>
      </c>
      <c r="R731" s="5">
        <v>85.03</v>
      </c>
      <c r="S731" s="4" t="s">
        <v>35</v>
      </c>
      <c r="T731" s="4" t="s">
        <v>99</v>
      </c>
      <c r="U731" s="4" t="s">
        <v>66</v>
      </c>
      <c r="V731" s="4" t="s">
        <v>2205</v>
      </c>
      <c r="W731" s="5">
        <v>0</v>
      </c>
    </row>
    <row r="732" spans="1:23" x14ac:dyDescent="0.3">
      <c r="A732" s="2" t="s">
        <v>4453</v>
      </c>
      <c r="B732" s="2" t="s">
        <v>1653</v>
      </c>
      <c r="C732" s="2" t="s">
        <v>4454</v>
      </c>
      <c r="D732" s="2" t="s">
        <v>4455</v>
      </c>
      <c r="E732" s="2" t="s">
        <v>4456</v>
      </c>
      <c r="F732" s="2" t="s">
        <v>4457</v>
      </c>
      <c r="G732" s="2" t="s">
        <v>802</v>
      </c>
      <c r="H732" s="2" t="s">
        <v>88</v>
      </c>
      <c r="I732" s="2" t="s">
        <v>31</v>
      </c>
      <c r="J732" s="2" t="s">
        <v>577</v>
      </c>
      <c r="K732" s="2" t="s">
        <v>364</v>
      </c>
      <c r="L732" s="2">
        <v>1</v>
      </c>
      <c r="M732" s="3">
        <v>19.989999999999998</v>
      </c>
      <c r="N732" s="2" t="s">
        <v>34</v>
      </c>
      <c r="O732" s="3">
        <v>0</v>
      </c>
      <c r="P732" s="3">
        <v>5.99</v>
      </c>
      <c r="Q732" s="3">
        <v>1.7</v>
      </c>
      <c r="R732" s="3">
        <v>27.68</v>
      </c>
      <c r="S732" s="2" t="s">
        <v>332</v>
      </c>
      <c r="T732" s="2" t="s">
        <v>65</v>
      </c>
      <c r="U732" s="2" t="s">
        <v>37</v>
      </c>
      <c r="V732" s="2" t="s">
        <v>891</v>
      </c>
      <c r="W732" s="3">
        <v>27.68</v>
      </c>
    </row>
    <row r="733" spans="1:23" x14ac:dyDescent="0.3">
      <c r="A733" s="4" t="s">
        <v>4458</v>
      </c>
      <c r="B733" s="4" t="s">
        <v>865</v>
      </c>
      <c r="C733" s="4" t="s">
        <v>4459</v>
      </c>
      <c r="D733" s="4" t="s">
        <v>4460</v>
      </c>
      <c r="E733" s="4" t="s">
        <v>4461</v>
      </c>
      <c r="F733" s="4" t="s">
        <v>4462</v>
      </c>
      <c r="G733" s="4" t="s">
        <v>29</v>
      </c>
      <c r="H733" s="4" t="s">
        <v>30</v>
      </c>
      <c r="I733" s="4" t="s">
        <v>31</v>
      </c>
      <c r="J733" s="4" t="s">
        <v>4463</v>
      </c>
      <c r="K733" s="4" t="s">
        <v>110</v>
      </c>
      <c r="L733" s="4">
        <v>3</v>
      </c>
      <c r="M733" s="5">
        <v>229.96</v>
      </c>
      <c r="N733" s="4" t="s">
        <v>34</v>
      </c>
      <c r="O733" s="5">
        <v>0</v>
      </c>
      <c r="P733" s="5">
        <v>0</v>
      </c>
      <c r="Q733" s="5">
        <v>23</v>
      </c>
      <c r="R733" s="5">
        <v>252.96</v>
      </c>
      <c r="S733" s="4" t="s">
        <v>79</v>
      </c>
      <c r="T733" s="4" t="s">
        <v>173</v>
      </c>
      <c r="U733" s="4" t="s">
        <v>51</v>
      </c>
      <c r="V733" s="4" t="s">
        <v>342</v>
      </c>
      <c r="W733" s="5">
        <v>0</v>
      </c>
    </row>
    <row r="734" spans="1:23" x14ac:dyDescent="0.3">
      <c r="A734" s="2" t="s">
        <v>4464</v>
      </c>
      <c r="B734" s="2" t="s">
        <v>349</v>
      </c>
      <c r="C734" s="2" t="s">
        <v>4465</v>
      </c>
      <c r="D734" s="2" t="s">
        <v>2132</v>
      </c>
      <c r="E734" s="2" t="s">
        <v>4466</v>
      </c>
      <c r="F734" s="2" t="s">
        <v>4467</v>
      </c>
      <c r="G734" s="2" t="s">
        <v>224</v>
      </c>
      <c r="H734" s="2" t="s">
        <v>225</v>
      </c>
      <c r="I734" s="2" t="s">
        <v>31</v>
      </c>
      <c r="J734" s="2" t="s">
        <v>172</v>
      </c>
      <c r="K734" s="2" t="s">
        <v>122</v>
      </c>
      <c r="L734" s="2">
        <v>1</v>
      </c>
      <c r="M734" s="3">
        <v>69.989999999999995</v>
      </c>
      <c r="N734" s="2" t="s">
        <v>49</v>
      </c>
      <c r="O734" s="3">
        <v>10.5</v>
      </c>
      <c r="P734" s="3">
        <v>7.99</v>
      </c>
      <c r="Q734" s="3">
        <v>5.0599999999999996</v>
      </c>
      <c r="R734" s="3">
        <v>72.540000000000006</v>
      </c>
      <c r="S734" s="2" t="s">
        <v>79</v>
      </c>
      <c r="T734" s="2" t="s">
        <v>325</v>
      </c>
      <c r="U734" s="2" t="s">
        <v>100</v>
      </c>
      <c r="V734" s="2"/>
      <c r="W734" s="3">
        <v>0</v>
      </c>
    </row>
    <row r="735" spans="1:23" x14ac:dyDescent="0.3">
      <c r="A735" s="4" t="s">
        <v>4468</v>
      </c>
      <c r="B735" s="4" t="s">
        <v>284</v>
      </c>
      <c r="C735" s="4" t="s">
        <v>4469</v>
      </c>
      <c r="D735" s="4" t="s">
        <v>3038</v>
      </c>
      <c r="E735" s="4" t="s">
        <v>4470</v>
      </c>
      <c r="F735" s="4" t="s">
        <v>4471</v>
      </c>
      <c r="G735" s="4" t="s">
        <v>180</v>
      </c>
      <c r="H735" s="4" t="s">
        <v>181</v>
      </c>
      <c r="I735" s="4" t="s">
        <v>31</v>
      </c>
      <c r="J735" s="4" t="s">
        <v>4472</v>
      </c>
      <c r="K735" s="4" t="s">
        <v>110</v>
      </c>
      <c r="L735" s="4">
        <v>4</v>
      </c>
      <c r="M735" s="5">
        <v>222.94</v>
      </c>
      <c r="N735" s="4" t="s">
        <v>34</v>
      </c>
      <c r="O735" s="5">
        <v>0</v>
      </c>
      <c r="P735" s="5">
        <v>0</v>
      </c>
      <c r="Q735" s="5">
        <v>18.95</v>
      </c>
      <c r="R735" s="5">
        <v>241.89</v>
      </c>
      <c r="S735" s="4" t="s">
        <v>332</v>
      </c>
      <c r="T735" s="4" t="s">
        <v>36</v>
      </c>
      <c r="U735" s="4" t="s">
        <v>317</v>
      </c>
      <c r="V735" s="4"/>
      <c r="W735" s="5">
        <v>0</v>
      </c>
    </row>
    <row r="736" spans="1:23" x14ac:dyDescent="0.3">
      <c r="A736" s="2" t="s">
        <v>4473</v>
      </c>
      <c r="B736" s="2" t="s">
        <v>562</v>
      </c>
      <c r="C736" s="2" t="s">
        <v>4474</v>
      </c>
      <c r="D736" s="2" t="s">
        <v>3840</v>
      </c>
      <c r="E736" s="2" t="s">
        <v>4475</v>
      </c>
      <c r="F736" s="2" t="s">
        <v>4476</v>
      </c>
      <c r="G736" s="2" t="s">
        <v>160</v>
      </c>
      <c r="H736" s="2" t="s">
        <v>161</v>
      </c>
      <c r="I736" s="2" t="s">
        <v>31</v>
      </c>
      <c r="J736" s="2" t="s">
        <v>387</v>
      </c>
      <c r="K736" s="2" t="s">
        <v>33</v>
      </c>
      <c r="L736" s="2">
        <v>1</v>
      </c>
      <c r="M736" s="3">
        <v>35.99</v>
      </c>
      <c r="N736" s="2" t="s">
        <v>34</v>
      </c>
      <c r="O736" s="3">
        <v>0</v>
      </c>
      <c r="P736" s="3">
        <v>5.99</v>
      </c>
      <c r="Q736" s="3">
        <v>3.06</v>
      </c>
      <c r="R736" s="3">
        <v>45.04</v>
      </c>
      <c r="S736" s="2" t="s">
        <v>35</v>
      </c>
      <c r="T736" s="2" t="s">
        <v>99</v>
      </c>
      <c r="U736" s="2" t="s">
        <v>51</v>
      </c>
      <c r="V736" s="2" t="s">
        <v>1100</v>
      </c>
      <c r="W736" s="3">
        <v>0</v>
      </c>
    </row>
    <row r="737" spans="1:23" x14ac:dyDescent="0.3">
      <c r="A737" s="4" t="s">
        <v>4477</v>
      </c>
      <c r="B737" s="4" t="s">
        <v>1567</v>
      </c>
      <c r="C737" s="4" t="s">
        <v>4478</v>
      </c>
      <c r="D737" s="4" t="s">
        <v>4082</v>
      </c>
      <c r="E737" s="4" t="s">
        <v>4479</v>
      </c>
      <c r="F737" s="4" t="s">
        <v>4480</v>
      </c>
      <c r="G737" s="4" t="s">
        <v>802</v>
      </c>
      <c r="H737" s="4" t="s">
        <v>88</v>
      </c>
      <c r="I737" s="4" t="s">
        <v>31</v>
      </c>
      <c r="J737" s="4" t="s">
        <v>444</v>
      </c>
      <c r="K737" s="4" t="s">
        <v>48</v>
      </c>
      <c r="L737" s="4">
        <v>1</v>
      </c>
      <c r="M737" s="5">
        <v>64.989999999999995</v>
      </c>
      <c r="N737" s="4" t="s">
        <v>152</v>
      </c>
      <c r="O737" s="5">
        <v>3.25</v>
      </c>
      <c r="P737" s="5">
        <v>9.99</v>
      </c>
      <c r="Q737" s="5">
        <v>4.32</v>
      </c>
      <c r="R737" s="5">
        <v>76.05</v>
      </c>
      <c r="S737" s="4" t="s">
        <v>35</v>
      </c>
      <c r="T737" s="4" t="s">
        <v>325</v>
      </c>
      <c r="U737" s="4" t="s">
        <v>51</v>
      </c>
      <c r="V737" s="4" t="s">
        <v>1805</v>
      </c>
      <c r="W737" s="5">
        <v>0</v>
      </c>
    </row>
    <row r="738" spans="1:23" x14ac:dyDescent="0.3">
      <c r="A738" s="2" t="s">
        <v>4481</v>
      </c>
      <c r="B738" s="2" t="s">
        <v>2671</v>
      </c>
      <c r="C738" s="2" t="s">
        <v>4482</v>
      </c>
      <c r="D738" s="2" t="s">
        <v>2528</v>
      </c>
      <c r="E738" s="2" t="s">
        <v>4483</v>
      </c>
      <c r="F738" s="2" t="s">
        <v>4484</v>
      </c>
      <c r="G738" s="2" t="s">
        <v>119</v>
      </c>
      <c r="H738" s="2" t="s">
        <v>120</v>
      </c>
      <c r="I738" s="2" t="s">
        <v>31</v>
      </c>
      <c r="J738" s="2" t="s">
        <v>4485</v>
      </c>
      <c r="K738" s="2" t="s">
        <v>48</v>
      </c>
      <c r="L738" s="2">
        <v>2</v>
      </c>
      <c r="M738" s="3">
        <v>215.97</v>
      </c>
      <c r="N738" s="2" t="s">
        <v>34</v>
      </c>
      <c r="O738" s="3">
        <v>0</v>
      </c>
      <c r="P738" s="3">
        <v>0</v>
      </c>
      <c r="Q738" s="3">
        <v>12.96</v>
      </c>
      <c r="R738" s="3">
        <v>228.93</v>
      </c>
      <c r="S738" s="2" t="s">
        <v>98</v>
      </c>
      <c r="T738" s="2" t="s">
        <v>36</v>
      </c>
      <c r="U738" s="2" t="s">
        <v>51</v>
      </c>
      <c r="V738" s="2" t="s">
        <v>3233</v>
      </c>
      <c r="W738" s="3">
        <v>0</v>
      </c>
    </row>
    <row r="739" spans="1:23" x14ac:dyDescent="0.3">
      <c r="A739" s="4" t="s">
        <v>4486</v>
      </c>
      <c r="B739" s="4" t="s">
        <v>1640</v>
      </c>
      <c r="C739" s="4" t="s">
        <v>4487</v>
      </c>
      <c r="D739" s="4" t="s">
        <v>4488</v>
      </c>
      <c r="E739" s="4" t="s">
        <v>4489</v>
      </c>
      <c r="F739" s="4" t="s">
        <v>4490</v>
      </c>
      <c r="G739" s="4" t="s">
        <v>107</v>
      </c>
      <c r="H739" s="4" t="s">
        <v>108</v>
      </c>
      <c r="I739" s="4" t="s">
        <v>31</v>
      </c>
      <c r="J739" s="4" t="s">
        <v>4491</v>
      </c>
      <c r="K739" s="4" t="s">
        <v>62</v>
      </c>
      <c r="L739" s="4">
        <v>3</v>
      </c>
      <c r="M739" s="5">
        <v>205.96</v>
      </c>
      <c r="N739" s="4" t="s">
        <v>78</v>
      </c>
      <c r="O739" s="5">
        <v>20.6</v>
      </c>
      <c r="P739" s="5">
        <v>0</v>
      </c>
      <c r="Q739" s="5">
        <v>11.12</v>
      </c>
      <c r="R739" s="5">
        <v>196.48</v>
      </c>
      <c r="S739" s="4" t="s">
        <v>35</v>
      </c>
      <c r="T739" s="4" t="s">
        <v>144</v>
      </c>
      <c r="U739" s="4" t="s">
        <v>100</v>
      </c>
      <c r="V739" s="4"/>
      <c r="W739" s="5">
        <v>0</v>
      </c>
    </row>
    <row r="740" spans="1:23" x14ac:dyDescent="0.3">
      <c r="A740" s="2" t="s">
        <v>4492</v>
      </c>
      <c r="B740" s="2" t="s">
        <v>1294</v>
      </c>
      <c r="C740" s="2" t="s">
        <v>4493</v>
      </c>
      <c r="D740" s="2" t="s">
        <v>3016</v>
      </c>
      <c r="E740" s="2" t="s">
        <v>4494</v>
      </c>
      <c r="F740" s="2" t="s">
        <v>4495</v>
      </c>
      <c r="G740" s="2" t="s">
        <v>119</v>
      </c>
      <c r="H740" s="2" t="s">
        <v>120</v>
      </c>
      <c r="I740" s="2" t="s">
        <v>31</v>
      </c>
      <c r="J740" s="2" t="s">
        <v>4496</v>
      </c>
      <c r="K740" s="2" t="s">
        <v>143</v>
      </c>
      <c r="L740" s="2">
        <v>3</v>
      </c>
      <c r="M740" s="3">
        <v>337.96</v>
      </c>
      <c r="N740" s="2" t="s">
        <v>49</v>
      </c>
      <c r="O740" s="3">
        <v>50.69</v>
      </c>
      <c r="P740" s="3">
        <v>0</v>
      </c>
      <c r="Q740" s="3">
        <v>17.239999999999998</v>
      </c>
      <c r="R740" s="3">
        <v>304.51</v>
      </c>
      <c r="S740" s="2" t="s">
        <v>64</v>
      </c>
      <c r="T740" s="2" t="s">
        <v>36</v>
      </c>
      <c r="U740" s="2" t="s">
        <v>66</v>
      </c>
      <c r="V740" s="2" t="s">
        <v>2831</v>
      </c>
      <c r="W740" s="3">
        <v>0</v>
      </c>
    </row>
    <row r="741" spans="1:23" x14ac:dyDescent="0.3">
      <c r="A741" s="4" t="s">
        <v>4497</v>
      </c>
      <c r="B741" s="4" t="s">
        <v>482</v>
      </c>
      <c r="C741" s="4" t="s">
        <v>4498</v>
      </c>
      <c r="D741" s="4" t="s">
        <v>4499</v>
      </c>
      <c r="E741" s="4" t="s">
        <v>4500</v>
      </c>
      <c r="F741" s="4" t="s">
        <v>4501</v>
      </c>
      <c r="G741" s="4" t="s">
        <v>282</v>
      </c>
      <c r="H741" s="4" t="s">
        <v>88</v>
      </c>
      <c r="I741" s="4" t="s">
        <v>31</v>
      </c>
      <c r="J741" s="4" t="s">
        <v>2411</v>
      </c>
      <c r="K741" s="4" t="s">
        <v>209</v>
      </c>
      <c r="L741" s="4">
        <v>2</v>
      </c>
      <c r="M741" s="5">
        <v>77.98</v>
      </c>
      <c r="N741" s="4" t="s">
        <v>163</v>
      </c>
      <c r="O741" s="5">
        <v>15.6</v>
      </c>
      <c r="P741" s="5">
        <v>0</v>
      </c>
      <c r="Q741" s="5">
        <v>5.61</v>
      </c>
      <c r="R741" s="5">
        <v>67.989999999999995</v>
      </c>
      <c r="S741" s="4" t="s">
        <v>111</v>
      </c>
      <c r="T741" s="4" t="s">
        <v>99</v>
      </c>
      <c r="U741" s="4" t="s">
        <v>317</v>
      </c>
      <c r="V741" s="4"/>
      <c r="W741" s="5">
        <v>0</v>
      </c>
    </row>
    <row r="742" spans="1:23" x14ac:dyDescent="0.3">
      <c r="A742" s="2" t="s">
        <v>4502</v>
      </c>
      <c r="B742" s="2" t="s">
        <v>90</v>
      </c>
      <c r="C742" s="2" t="s">
        <v>4503</v>
      </c>
      <c r="D742" s="2" t="s">
        <v>4504</v>
      </c>
      <c r="E742" s="2" t="s">
        <v>4505</v>
      </c>
      <c r="F742" s="2" t="s">
        <v>4506</v>
      </c>
      <c r="G742" s="2" t="s">
        <v>676</v>
      </c>
      <c r="H742" s="2" t="s">
        <v>677</v>
      </c>
      <c r="I742" s="2" t="s">
        <v>31</v>
      </c>
      <c r="J742" s="2" t="s">
        <v>61</v>
      </c>
      <c r="K742" s="2" t="s">
        <v>62</v>
      </c>
      <c r="L742" s="2">
        <v>1</v>
      </c>
      <c r="M742" s="3">
        <v>24.99</v>
      </c>
      <c r="N742" s="2" t="s">
        <v>34</v>
      </c>
      <c r="O742" s="3">
        <v>0</v>
      </c>
      <c r="P742" s="3">
        <v>9.99</v>
      </c>
      <c r="Q742" s="3">
        <v>2</v>
      </c>
      <c r="R742" s="3">
        <v>36.979999999999997</v>
      </c>
      <c r="S742" s="2" t="s">
        <v>123</v>
      </c>
      <c r="T742" s="2" t="s">
        <v>144</v>
      </c>
      <c r="U742" s="2" t="s">
        <v>51</v>
      </c>
      <c r="V742" s="2" t="s">
        <v>219</v>
      </c>
      <c r="W742" s="3">
        <v>0</v>
      </c>
    </row>
    <row r="743" spans="1:23" x14ac:dyDescent="0.3">
      <c r="A743" s="4" t="s">
        <v>4507</v>
      </c>
      <c r="B743" s="4" t="s">
        <v>2831</v>
      </c>
      <c r="C743" s="4" t="s">
        <v>4508</v>
      </c>
      <c r="D743" s="4" t="s">
        <v>2641</v>
      </c>
      <c r="E743" s="4" t="s">
        <v>4509</v>
      </c>
      <c r="F743" s="4" t="s">
        <v>4510</v>
      </c>
      <c r="G743" s="4" t="s">
        <v>692</v>
      </c>
      <c r="H743" s="4" t="s">
        <v>693</v>
      </c>
      <c r="I743" s="4" t="s">
        <v>31</v>
      </c>
      <c r="J743" s="4" t="s">
        <v>4511</v>
      </c>
      <c r="K743" s="4" t="s">
        <v>143</v>
      </c>
      <c r="L743" s="4">
        <v>1</v>
      </c>
      <c r="M743" s="5">
        <v>109.98</v>
      </c>
      <c r="N743" s="4" t="s">
        <v>63</v>
      </c>
      <c r="O743" s="5">
        <v>27.5</v>
      </c>
      <c r="P743" s="5">
        <v>0</v>
      </c>
      <c r="Q743" s="5">
        <v>8.25</v>
      </c>
      <c r="R743" s="5">
        <v>90.73</v>
      </c>
      <c r="S743" s="4" t="s">
        <v>35</v>
      </c>
      <c r="T743" s="4" t="s">
        <v>173</v>
      </c>
      <c r="U743" s="4" t="s">
        <v>51</v>
      </c>
      <c r="V743" s="4" t="s">
        <v>2083</v>
      </c>
      <c r="W743" s="5">
        <v>0</v>
      </c>
    </row>
    <row r="744" spans="1:23" x14ac:dyDescent="0.3">
      <c r="A744" s="2" t="s">
        <v>4512</v>
      </c>
      <c r="B744" s="2" t="s">
        <v>641</v>
      </c>
      <c r="C744" s="2" t="s">
        <v>4513</v>
      </c>
      <c r="D744" s="2" t="s">
        <v>2000</v>
      </c>
      <c r="E744" s="2" t="s">
        <v>4514</v>
      </c>
      <c r="F744" s="2" t="s">
        <v>4515</v>
      </c>
      <c r="G744" s="2" t="s">
        <v>59</v>
      </c>
      <c r="H744" s="2" t="s">
        <v>60</v>
      </c>
      <c r="I744" s="2" t="s">
        <v>31</v>
      </c>
      <c r="J744" s="2" t="s">
        <v>1232</v>
      </c>
      <c r="K744" s="2" t="s">
        <v>77</v>
      </c>
      <c r="L744" s="2">
        <v>1</v>
      </c>
      <c r="M744" s="3">
        <v>34.99</v>
      </c>
      <c r="N744" s="2" t="s">
        <v>34</v>
      </c>
      <c r="O744" s="3">
        <v>0</v>
      </c>
      <c r="P744" s="3">
        <v>9.99</v>
      </c>
      <c r="Q744" s="3">
        <v>2.8</v>
      </c>
      <c r="R744" s="3">
        <v>47.78</v>
      </c>
      <c r="S744" s="2" t="s">
        <v>64</v>
      </c>
      <c r="T744" s="2" t="s">
        <v>36</v>
      </c>
      <c r="U744" s="2" t="s">
        <v>317</v>
      </c>
      <c r="V744" s="2"/>
      <c r="W744" s="3">
        <v>0</v>
      </c>
    </row>
    <row r="745" spans="1:23" x14ac:dyDescent="0.3">
      <c r="A745" s="4" t="s">
        <v>4516</v>
      </c>
      <c r="B745" s="4" t="s">
        <v>3092</v>
      </c>
      <c r="C745" s="4" t="s">
        <v>4517</v>
      </c>
      <c r="D745" s="4" t="s">
        <v>4518</v>
      </c>
      <c r="E745" s="4" t="s">
        <v>4519</v>
      </c>
      <c r="F745" s="4" t="s">
        <v>4520</v>
      </c>
      <c r="G745" s="4" t="s">
        <v>242</v>
      </c>
      <c r="H745" s="4" t="s">
        <v>243</v>
      </c>
      <c r="I745" s="4" t="s">
        <v>31</v>
      </c>
      <c r="J745" s="4" t="s">
        <v>1238</v>
      </c>
      <c r="K745" s="4" t="s">
        <v>209</v>
      </c>
      <c r="L745" s="4">
        <v>1</v>
      </c>
      <c r="M745" s="5">
        <v>39.99</v>
      </c>
      <c r="N745" s="4" t="s">
        <v>78</v>
      </c>
      <c r="O745" s="5">
        <v>4</v>
      </c>
      <c r="P745" s="5">
        <v>7.99</v>
      </c>
      <c r="Q745" s="5">
        <v>3.24</v>
      </c>
      <c r="R745" s="5">
        <v>47.22</v>
      </c>
      <c r="S745" s="4" t="s">
        <v>123</v>
      </c>
      <c r="T745" s="4" t="s">
        <v>99</v>
      </c>
      <c r="U745" s="4" t="s">
        <v>66</v>
      </c>
      <c r="V745" s="4" t="s">
        <v>1315</v>
      </c>
      <c r="W745" s="5">
        <v>0</v>
      </c>
    </row>
    <row r="746" spans="1:23" x14ac:dyDescent="0.3">
      <c r="A746" s="2" t="s">
        <v>4521</v>
      </c>
      <c r="B746" s="2" t="s">
        <v>4522</v>
      </c>
      <c r="C746" s="2" t="s">
        <v>4523</v>
      </c>
      <c r="D746" s="2" t="s">
        <v>4524</v>
      </c>
      <c r="E746" s="2" t="s">
        <v>4525</v>
      </c>
      <c r="F746" s="2" t="s">
        <v>4526</v>
      </c>
      <c r="G746" s="2" t="s">
        <v>692</v>
      </c>
      <c r="H746" s="2" t="s">
        <v>693</v>
      </c>
      <c r="I746" s="2" t="s">
        <v>31</v>
      </c>
      <c r="J746" s="2" t="s">
        <v>4527</v>
      </c>
      <c r="K746" s="2" t="s">
        <v>62</v>
      </c>
      <c r="L746" s="2">
        <v>1</v>
      </c>
      <c r="M746" s="3">
        <v>164.97</v>
      </c>
      <c r="N746" s="2" t="s">
        <v>78</v>
      </c>
      <c r="O746" s="3">
        <v>16.5</v>
      </c>
      <c r="P746" s="3">
        <v>0</v>
      </c>
      <c r="Q746" s="3">
        <v>13.36</v>
      </c>
      <c r="R746" s="3">
        <v>161.83000000000001</v>
      </c>
      <c r="S746" s="2" t="s">
        <v>64</v>
      </c>
      <c r="T746" s="2" t="s">
        <v>99</v>
      </c>
      <c r="U746" s="2" t="s">
        <v>66</v>
      </c>
      <c r="V746" s="2" t="s">
        <v>133</v>
      </c>
      <c r="W746" s="3">
        <v>0</v>
      </c>
    </row>
    <row r="747" spans="1:23" x14ac:dyDescent="0.3">
      <c r="A747" s="4" t="s">
        <v>4528</v>
      </c>
      <c r="B747" s="4" t="s">
        <v>1102</v>
      </c>
      <c r="C747" s="4" t="s">
        <v>4529</v>
      </c>
      <c r="D747" s="4" t="s">
        <v>2354</v>
      </c>
      <c r="E747" s="4" t="s">
        <v>4530</v>
      </c>
      <c r="F747" s="4" t="s">
        <v>4531</v>
      </c>
      <c r="G747" s="4" t="s">
        <v>251</v>
      </c>
      <c r="H747" s="4" t="s">
        <v>252</v>
      </c>
      <c r="I747" s="4" t="s">
        <v>31</v>
      </c>
      <c r="J747" s="4" t="s">
        <v>4532</v>
      </c>
      <c r="K747" s="4" t="s">
        <v>122</v>
      </c>
      <c r="L747" s="4">
        <v>5</v>
      </c>
      <c r="M747" s="5">
        <v>180.95</v>
      </c>
      <c r="N747" s="4" t="s">
        <v>163</v>
      </c>
      <c r="O747" s="5">
        <v>36.19</v>
      </c>
      <c r="P747" s="5">
        <v>0</v>
      </c>
      <c r="Q747" s="5">
        <v>12.3</v>
      </c>
      <c r="R747" s="5">
        <v>157.06</v>
      </c>
      <c r="S747" s="4" t="s">
        <v>64</v>
      </c>
      <c r="T747" s="4" t="s">
        <v>325</v>
      </c>
      <c r="U747" s="4" t="s">
        <v>66</v>
      </c>
      <c r="V747" s="4" t="s">
        <v>3228</v>
      </c>
      <c r="W747" s="5">
        <v>0</v>
      </c>
    </row>
    <row r="748" spans="1:23" x14ac:dyDescent="0.3">
      <c r="A748" s="2" t="s">
        <v>4533</v>
      </c>
      <c r="B748" s="2" t="s">
        <v>924</v>
      </c>
      <c r="C748" s="2" t="s">
        <v>4534</v>
      </c>
      <c r="D748" s="2" t="s">
        <v>4535</v>
      </c>
      <c r="E748" s="2" t="s">
        <v>4536</v>
      </c>
      <c r="F748" s="2" t="s">
        <v>4537</v>
      </c>
      <c r="G748" s="2" t="s">
        <v>107</v>
      </c>
      <c r="H748" s="2" t="s">
        <v>108</v>
      </c>
      <c r="I748" s="2" t="s">
        <v>31</v>
      </c>
      <c r="J748" s="2" t="s">
        <v>4538</v>
      </c>
      <c r="K748" s="2" t="s">
        <v>48</v>
      </c>
      <c r="L748" s="2">
        <v>1</v>
      </c>
      <c r="M748" s="3">
        <v>128.97</v>
      </c>
      <c r="N748" s="2" t="s">
        <v>78</v>
      </c>
      <c r="O748" s="3">
        <v>12.9</v>
      </c>
      <c r="P748" s="3">
        <v>0</v>
      </c>
      <c r="Q748" s="3">
        <v>9.8699999999999992</v>
      </c>
      <c r="R748" s="3">
        <v>125.94</v>
      </c>
      <c r="S748" s="2" t="s">
        <v>123</v>
      </c>
      <c r="T748" s="2" t="s">
        <v>65</v>
      </c>
      <c r="U748" s="2" t="s">
        <v>66</v>
      </c>
      <c r="V748" s="2" t="s">
        <v>943</v>
      </c>
      <c r="W748" s="3">
        <v>0</v>
      </c>
    </row>
    <row r="749" spans="1:23" x14ac:dyDescent="0.3">
      <c r="A749" s="4" t="s">
        <v>4539</v>
      </c>
      <c r="B749" s="4" t="s">
        <v>67</v>
      </c>
      <c r="C749" s="4" t="s">
        <v>4540</v>
      </c>
      <c r="D749" s="4" t="s">
        <v>2673</v>
      </c>
      <c r="E749" s="4" t="s">
        <v>4541</v>
      </c>
      <c r="F749" s="4" t="s">
        <v>4542</v>
      </c>
      <c r="G749" s="4" t="s">
        <v>74</v>
      </c>
      <c r="H749" s="4" t="s">
        <v>75</v>
      </c>
      <c r="I749" s="4" t="s">
        <v>31</v>
      </c>
      <c r="J749" s="4" t="s">
        <v>4331</v>
      </c>
      <c r="K749" s="4" t="s">
        <v>209</v>
      </c>
      <c r="L749" s="4">
        <v>2</v>
      </c>
      <c r="M749" s="5">
        <v>104.97</v>
      </c>
      <c r="N749" s="4" t="s">
        <v>163</v>
      </c>
      <c r="O749" s="5">
        <v>20.99</v>
      </c>
      <c r="P749" s="5">
        <v>0</v>
      </c>
      <c r="Q749" s="5">
        <v>7.56</v>
      </c>
      <c r="R749" s="5">
        <v>91.54</v>
      </c>
      <c r="S749" s="4" t="s">
        <v>35</v>
      </c>
      <c r="T749" s="4" t="s">
        <v>183</v>
      </c>
      <c r="U749" s="4" t="s">
        <v>66</v>
      </c>
      <c r="V749" s="4" t="s">
        <v>270</v>
      </c>
      <c r="W749" s="5">
        <v>0</v>
      </c>
    </row>
    <row r="750" spans="1:23" x14ac:dyDescent="0.3">
      <c r="A750" s="2" t="s">
        <v>4543</v>
      </c>
      <c r="B750" s="2" t="s">
        <v>2015</v>
      </c>
      <c r="C750" s="2" t="s">
        <v>4544</v>
      </c>
      <c r="D750" s="2" t="s">
        <v>1555</v>
      </c>
      <c r="E750" s="2" t="s">
        <v>4545</v>
      </c>
      <c r="F750" s="2" t="s">
        <v>4546</v>
      </c>
      <c r="G750" s="2" t="s">
        <v>676</v>
      </c>
      <c r="H750" s="2" t="s">
        <v>677</v>
      </c>
      <c r="I750" s="2" t="s">
        <v>31</v>
      </c>
      <c r="J750" s="2" t="s">
        <v>4547</v>
      </c>
      <c r="K750" s="2" t="s">
        <v>364</v>
      </c>
      <c r="L750" s="2">
        <v>2</v>
      </c>
      <c r="M750" s="3">
        <v>89.96</v>
      </c>
      <c r="N750" s="2" t="s">
        <v>63</v>
      </c>
      <c r="O750" s="3">
        <v>22.49</v>
      </c>
      <c r="P750" s="3">
        <v>0</v>
      </c>
      <c r="Q750" s="3">
        <v>5.73</v>
      </c>
      <c r="R750" s="3">
        <v>73.2</v>
      </c>
      <c r="S750" s="2" t="s">
        <v>64</v>
      </c>
      <c r="T750" s="2" t="s">
        <v>99</v>
      </c>
      <c r="U750" s="2" t="s">
        <v>51</v>
      </c>
      <c r="V750" s="2" t="s">
        <v>2435</v>
      </c>
      <c r="W750" s="3">
        <v>0</v>
      </c>
    </row>
    <row r="751" spans="1:23" x14ac:dyDescent="0.3">
      <c r="A751" s="4" t="s">
        <v>4548</v>
      </c>
      <c r="B751" s="4" t="s">
        <v>124</v>
      </c>
      <c r="C751" s="4" t="s">
        <v>4549</v>
      </c>
      <c r="D751" s="4" t="s">
        <v>3840</v>
      </c>
      <c r="E751" s="4" t="s">
        <v>4550</v>
      </c>
      <c r="F751" s="4" t="s">
        <v>4551</v>
      </c>
      <c r="G751" s="4" t="s">
        <v>29</v>
      </c>
      <c r="H751" s="4" t="s">
        <v>30</v>
      </c>
      <c r="I751" s="4" t="s">
        <v>31</v>
      </c>
      <c r="J751" s="4" t="s">
        <v>217</v>
      </c>
      <c r="K751" s="4" t="s">
        <v>110</v>
      </c>
      <c r="L751" s="4">
        <v>1</v>
      </c>
      <c r="M751" s="5">
        <v>22.99</v>
      </c>
      <c r="N751" s="4" t="s">
        <v>34</v>
      </c>
      <c r="O751" s="5">
        <v>0</v>
      </c>
      <c r="P751" s="5">
        <v>9.99</v>
      </c>
      <c r="Q751" s="5">
        <v>1.61</v>
      </c>
      <c r="R751" s="5">
        <v>34.590000000000003</v>
      </c>
      <c r="S751" s="4" t="s">
        <v>64</v>
      </c>
      <c r="T751" s="4" t="s">
        <v>99</v>
      </c>
      <c r="U751" s="4" t="s">
        <v>66</v>
      </c>
      <c r="V751" s="4" t="s">
        <v>2278</v>
      </c>
      <c r="W751" s="5">
        <v>0</v>
      </c>
    </row>
    <row r="752" spans="1:23" x14ac:dyDescent="0.3">
      <c r="A752" s="2" t="s">
        <v>4552</v>
      </c>
      <c r="B752" s="2" t="s">
        <v>406</v>
      </c>
      <c r="C752" s="2" t="s">
        <v>4553</v>
      </c>
      <c r="D752" s="2" t="s">
        <v>886</v>
      </c>
      <c r="E752" s="2" t="s">
        <v>4554</v>
      </c>
      <c r="F752" s="2" t="s">
        <v>4555</v>
      </c>
      <c r="G752" s="2" t="s">
        <v>347</v>
      </c>
      <c r="H752" s="2" t="s">
        <v>60</v>
      </c>
      <c r="I752" s="2" t="s">
        <v>31</v>
      </c>
      <c r="J752" s="2" t="s">
        <v>217</v>
      </c>
      <c r="K752" s="2" t="s">
        <v>110</v>
      </c>
      <c r="L752" s="2">
        <v>1</v>
      </c>
      <c r="M752" s="3">
        <v>22.99</v>
      </c>
      <c r="N752" s="2" t="s">
        <v>78</v>
      </c>
      <c r="O752" s="3">
        <v>2.2999999999999998</v>
      </c>
      <c r="P752" s="3">
        <v>4.99</v>
      </c>
      <c r="Q752" s="3">
        <v>1.24</v>
      </c>
      <c r="R752" s="3">
        <v>26.92</v>
      </c>
      <c r="S752" s="2" t="s">
        <v>64</v>
      </c>
      <c r="T752" s="2" t="s">
        <v>173</v>
      </c>
      <c r="U752" s="2" t="s">
        <v>66</v>
      </c>
      <c r="V752" s="2" t="s">
        <v>40</v>
      </c>
      <c r="W752" s="3">
        <v>0</v>
      </c>
    </row>
    <row r="753" spans="1:23" x14ac:dyDescent="0.3">
      <c r="A753" s="4" t="s">
        <v>4556</v>
      </c>
      <c r="B753" s="4" t="s">
        <v>2171</v>
      </c>
      <c r="C753" s="4" t="s">
        <v>4557</v>
      </c>
      <c r="D753" s="4" t="s">
        <v>4088</v>
      </c>
      <c r="E753" s="4" t="s">
        <v>4558</v>
      </c>
      <c r="F753" s="4" t="s">
        <v>4559</v>
      </c>
      <c r="G753" s="4" t="s">
        <v>107</v>
      </c>
      <c r="H753" s="4" t="s">
        <v>108</v>
      </c>
      <c r="I753" s="4" t="s">
        <v>31</v>
      </c>
      <c r="J753" s="4" t="s">
        <v>4560</v>
      </c>
      <c r="K753" s="4" t="s">
        <v>110</v>
      </c>
      <c r="L753" s="4">
        <v>4</v>
      </c>
      <c r="M753" s="5">
        <v>238.94</v>
      </c>
      <c r="N753" s="4" t="s">
        <v>34</v>
      </c>
      <c r="O753" s="5">
        <v>0</v>
      </c>
      <c r="P753" s="5">
        <v>0</v>
      </c>
      <c r="Q753" s="5">
        <v>14.34</v>
      </c>
      <c r="R753" s="5">
        <v>253.28</v>
      </c>
      <c r="S753" s="4" t="s">
        <v>35</v>
      </c>
      <c r="T753" s="4" t="s">
        <v>99</v>
      </c>
      <c r="U753" s="4" t="s">
        <v>317</v>
      </c>
      <c r="V753" s="4"/>
      <c r="W753" s="5">
        <v>0</v>
      </c>
    </row>
    <row r="754" spans="1:23" x14ac:dyDescent="0.3">
      <c r="A754" s="2" t="s">
        <v>4561</v>
      </c>
      <c r="B754" s="2" t="s">
        <v>4141</v>
      </c>
      <c r="C754" s="2" t="s">
        <v>4562</v>
      </c>
      <c r="D754" s="2" t="s">
        <v>4563</v>
      </c>
      <c r="E754" s="2" t="s">
        <v>4564</v>
      </c>
      <c r="F754" s="2" t="s">
        <v>4565</v>
      </c>
      <c r="G754" s="2" t="s">
        <v>171</v>
      </c>
      <c r="H754" s="2" t="s">
        <v>88</v>
      </c>
      <c r="I754" s="2" t="s">
        <v>31</v>
      </c>
      <c r="J754" s="2" t="s">
        <v>4566</v>
      </c>
      <c r="K754" s="2" t="s">
        <v>77</v>
      </c>
      <c r="L754" s="2">
        <v>2</v>
      </c>
      <c r="M754" s="3">
        <v>64.97</v>
      </c>
      <c r="N754" s="2" t="s">
        <v>34</v>
      </c>
      <c r="O754" s="3">
        <v>0</v>
      </c>
      <c r="P754" s="3">
        <v>4.99</v>
      </c>
      <c r="Q754" s="3">
        <v>5.85</v>
      </c>
      <c r="R754" s="3">
        <v>75.81</v>
      </c>
      <c r="S754" s="2" t="s">
        <v>35</v>
      </c>
      <c r="T754" s="2" t="s">
        <v>99</v>
      </c>
      <c r="U754" s="2" t="s">
        <v>66</v>
      </c>
      <c r="V754" s="2" t="s">
        <v>922</v>
      </c>
      <c r="W754" s="3">
        <v>0</v>
      </c>
    </row>
    <row r="755" spans="1:23" x14ac:dyDescent="0.3">
      <c r="A755" s="4" t="s">
        <v>4567</v>
      </c>
      <c r="B755" s="4" t="s">
        <v>498</v>
      </c>
      <c r="C755" s="4" t="s">
        <v>4568</v>
      </c>
      <c r="D755" s="4" t="s">
        <v>589</v>
      </c>
      <c r="E755" s="4" t="s">
        <v>4569</v>
      </c>
      <c r="F755" s="4" t="s">
        <v>4570</v>
      </c>
      <c r="G755" s="4" t="s">
        <v>190</v>
      </c>
      <c r="H755" s="4" t="s">
        <v>161</v>
      </c>
      <c r="I755" s="4" t="s">
        <v>31</v>
      </c>
      <c r="J755" s="4" t="s">
        <v>4571</v>
      </c>
      <c r="K755" s="4" t="s">
        <v>122</v>
      </c>
      <c r="L755" s="4">
        <v>3</v>
      </c>
      <c r="M755" s="5">
        <v>177.97</v>
      </c>
      <c r="N755" s="4" t="s">
        <v>78</v>
      </c>
      <c r="O755" s="5">
        <v>17.8</v>
      </c>
      <c r="P755" s="5">
        <v>0</v>
      </c>
      <c r="Q755" s="5">
        <v>9.61</v>
      </c>
      <c r="R755" s="5">
        <v>169.78</v>
      </c>
      <c r="S755" s="4" t="s">
        <v>111</v>
      </c>
      <c r="T755" s="4" t="s">
        <v>65</v>
      </c>
      <c r="U755" s="4" t="s">
        <v>51</v>
      </c>
      <c r="V755" s="4" t="s">
        <v>519</v>
      </c>
      <c r="W755" s="5">
        <v>0</v>
      </c>
    </row>
    <row r="756" spans="1:23" x14ac:dyDescent="0.3">
      <c r="A756" s="2" t="s">
        <v>4572</v>
      </c>
      <c r="B756" s="2" t="s">
        <v>2963</v>
      </c>
      <c r="C756" s="2" t="s">
        <v>4573</v>
      </c>
      <c r="D756" s="2" t="s">
        <v>3340</v>
      </c>
      <c r="E756" s="2" t="s">
        <v>4574</v>
      </c>
      <c r="F756" s="2" t="s">
        <v>4575</v>
      </c>
      <c r="G756" s="2" t="s">
        <v>224</v>
      </c>
      <c r="H756" s="2" t="s">
        <v>225</v>
      </c>
      <c r="I756" s="2" t="s">
        <v>31</v>
      </c>
      <c r="J756" s="2" t="s">
        <v>4576</v>
      </c>
      <c r="K756" s="2" t="s">
        <v>62</v>
      </c>
      <c r="L756" s="2">
        <v>4</v>
      </c>
      <c r="M756" s="3">
        <v>137.96</v>
      </c>
      <c r="N756" s="2" t="s">
        <v>63</v>
      </c>
      <c r="O756" s="3">
        <v>34.49</v>
      </c>
      <c r="P756" s="3">
        <v>0</v>
      </c>
      <c r="Q756" s="3">
        <v>7.24</v>
      </c>
      <c r="R756" s="3">
        <v>110.71</v>
      </c>
      <c r="S756" s="2" t="s">
        <v>79</v>
      </c>
      <c r="T756" s="2" t="s">
        <v>173</v>
      </c>
      <c r="U756" s="2" t="s">
        <v>66</v>
      </c>
      <c r="V756" s="2" t="s">
        <v>572</v>
      </c>
      <c r="W756" s="3">
        <v>0</v>
      </c>
    </row>
    <row r="757" spans="1:23" x14ac:dyDescent="0.3">
      <c r="A757" s="4" t="s">
        <v>4577</v>
      </c>
      <c r="B757" s="4" t="s">
        <v>897</v>
      </c>
      <c r="C757" s="4" t="s">
        <v>4578</v>
      </c>
      <c r="D757" s="4" t="s">
        <v>1385</v>
      </c>
      <c r="E757" s="4" t="s">
        <v>4579</v>
      </c>
      <c r="F757" s="4" t="s">
        <v>4580</v>
      </c>
      <c r="G757" s="4" t="s">
        <v>802</v>
      </c>
      <c r="H757" s="4" t="s">
        <v>88</v>
      </c>
      <c r="I757" s="4" t="s">
        <v>31</v>
      </c>
      <c r="J757" s="4" t="s">
        <v>444</v>
      </c>
      <c r="K757" s="4" t="s">
        <v>48</v>
      </c>
      <c r="L757" s="4">
        <v>1</v>
      </c>
      <c r="M757" s="5">
        <v>64.989999999999995</v>
      </c>
      <c r="N757" s="4" t="s">
        <v>49</v>
      </c>
      <c r="O757" s="5">
        <v>9.75</v>
      </c>
      <c r="P757" s="5">
        <v>4.99</v>
      </c>
      <c r="Q757" s="5">
        <v>4.42</v>
      </c>
      <c r="R757" s="5">
        <v>64.650000000000006</v>
      </c>
      <c r="S757" s="4" t="s">
        <v>35</v>
      </c>
      <c r="T757" s="4" t="s">
        <v>325</v>
      </c>
      <c r="U757" s="4" t="s">
        <v>100</v>
      </c>
      <c r="V757" s="4"/>
      <c r="W757" s="5">
        <v>0</v>
      </c>
    </row>
    <row r="758" spans="1:23" x14ac:dyDescent="0.3">
      <c r="A758" s="2" t="s">
        <v>4581</v>
      </c>
      <c r="B758" s="2" t="s">
        <v>413</v>
      </c>
      <c r="C758" s="2" t="s">
        <v>4582</v>
      </c>
      <c r="D758" s="2" t="s">
        <v>4583</v>
      </c>
      <c r="E758" s="2" t="s">
        <v>4584</v>
      </c>
      <c r="F758" s="2" t="s">
        <v>4585</v>
      </c>
      <c r="G758" s="2" t="s">
        <v>282</v>
      </c>
      <c r="H758" s="2" t="s">
        <v>88</v>
      </c>
      <c r="I758" s="2" t="s">
        <v>31</v>
      </c>
      <c r="J758" s="2" t="s">
        <v>4586</v>
      </c>
      <c r="K758" s="2" t="s">
        <v>33</v>
      </c>
      <c r="L758" s="2">
        <v>2</v>
      </c>
      <c r="M758" s="3">
        <v>128.97</v>
      </c>
      <c r="N758" s="2" t="s">
        <v>34</v>
      </c>
      <c r="O758" s="3">
        <v>0</v>
      </c>
      <c r="P758" s="3">
        <v>0</v>
      </c>
      <c r="Q758" s="3">
        <v>10.32</v>
      </c>
      <c r="R758" s="3">
        <v>139.29</v>
      </c>
      <c r="S758" s="2" t="s">
        <v>35</v>
      </c>
      <c r="T758" s="2" t="s">
        <v>173</v>
      </c>
      <c r="U758" s="2" t="s">
        <v>66</v>
      </c>
      <c r="V758" s="2" t="s">
        <v>489</v>
      </c>
      <c r="W758" s="3">
        <v>0</v>
      </c>
    </row>
    <row r="759" spans="1:23" x14ac:dyDescent="0.3">
      <c r="A759" s="4" t="s">
        <v>4587</v>
      </c>
      <c r="B759" s="4" t="s">
        <v>1488</v>
      </c>
      <c r="C759" s="4" t="s">
        <v>4588</v>
      </c>
      <c r="D759" s="4" t="s">
        <v>4589</v>
      </c>
      <c r="E759" s="4" t="s">
        <v>4590</v>
      </c>
      <c r="F759" s="4" t="s">
        <v>4591</v>
      </c>
      <c r="G759" s="4" t="s">
        <v>180</v>
      </c>
      <c r="H759" s="4" t="s">
        <v>181</v>
      </c>
      <c r="I759" s="4" t="s">
        <v>31</v>
      </c>
      <c r="J759" s="4" t="s">
        <v>1997</v>
      </c>
      <c r="K759" s="4" t="s">
        <v>143</v>
      </c>
      <c r="L759" s="4">
        <v>1</v>
      </c>
      <c r="M759" s="5">
        <v>129.99</v>
      </c>
      <c r="N759" s="4" t="s">
        <v>78</v>
      </c>
      <c r="O759" s="5">
        <v>13</v>
      </c>
      <c r="P759" s="5">
        <v>0</v>
      </c>
      <c r="Q759" s="5">
        <v>9.94</v>
      </c>
      <c r="R759" s="5">
        <v>126.93</v>
      </c>
      <c r="S759" s="4" t="s">
        <v>98</v>
      </c>
      <c r="T759" s="4" t="s">
        <v>183</v>
      </c>
      <c r="U759" s="4" t="s">
        <v>66</v>
      </c>
      <c r="V759" s="4" t="s">
        <v>1490</v>
      </c>
      <c r="W759" s="5">
        <v>0</v>
      </c>
    </row>
    <row r="760" spans="1:23" x14ac:dyDescent="0.3">
      <c r="A760" s="2" t="s">
        <v>4592</v>
      </c>
      <c r="B760" s="2" t="s">
        <v>619</v>
      </c>
      <c r="C760" s="2" t="s">
        <v>4593</v>
      </c>
      <c r="D760" s="2" t="s">
        <v>4594</v>
      </c>
      <c r="E760" s="2" t="s">
        <v>4595</v>
      </c>
      <c r="F760" s="2" t="s">
        <v>4596</v>
      </c>
      <c r="G760" s="2" t="s">
        <v>29</v>
      </c>
      <c r="H760" s="2" t="s">
        <v>30</v>
      </c>
      <c r="I760" s="2" t="s">
        <v>31</v>
      </c>
      <c r="J760" s="2" t="s">
        <v>379</v>
      </c>
      <c r="K760" s="2" t="s">
        <v>209</v>
      </c>
      <c r="L760" s="2">
        <v>1</v>
      </c>
      <c r="M760" s="3">
        <v>89.99</v>
      </c>
      <c r="N760" s="2" t="s">
        <v>78</v>
      </c>
      <c r="O760" s="3">
        <v>9</v>
      </c>
      <c r="P760" s="3">
        <v>0</v>
      </c>
      <c r="Q760" s="3">
        <v>6.88</v>
      </c>
      <c r="R760" s="3">
        <v>87.87</v>
      </c>
      <c r="S760" s="2" t="s">
        <v>35</v>
      </c>
      <c r="T760" s="2" t="s">
        <v>50</v>
      </c>
      <c r="U760" s="2" t="s">
        <v>66</v>
      </c>
      <c r="V760" s="2" t="s">
        <v>1625</v>
      </c>
      <c r="W760" s="3">
        <v>0</v>
      </c>
    </row>
    <row r="761" spans="1:23" x14ac:dyDescent="0.3">
      <c r="A761" s="4" t="s">
        <v>4597</v>
      </c>
      <c r="B761" s="4" t="s">
        <v>1341</v>
      </c>
      <c r="C761" s="4" t="s">
        <v>4598</v>
      </c>
      <c r="D761" s="4" t="s">
        <v>3952</v>
      </c>
      <c r="E761" s="4" t="s">
        <v>4599</v>
      </c>
      <c r="F761" s="4" t="s">
        <v>4600</v>
      </c>
      <c r="G761" s="4" t="s">
        <v>394</v>
      </c>
      <c r="H761" s="4" t="s">
        <v>395</v>
      </c>
      <c r="I761" s="4" t="s">
        <v>31</v>
      </c>
      <c r="J761" s="4" t="s">
        <v>4601</v>
      </c>
      <c r="K761" s="4" t="s">
        <v>122</v>
      </c>
      <c r="L761" s="4">
        <v>2</v>
      </c>
      <c r="M761" s="5">
        <v>104.98</v>
      </c>
      <c r="N761" s="4" t="s">
        <v>34</v>
      </c>
      <c r="O761" s="5">
        <v>0</v>
      </c>
      <c r="P761" s="5">
        <v>0</v>
      </c>
      <c r="Q761" s="5">
        <v>8.92</v>
      </c>
      <c r="R761" s="5">
        <v>113.9</v>
      </c>
      <c r="S761" s="4" t="s">
        <v>35</v>
      </c>
      <c r="T761" s="4" t="s">
        <v>36</v>
      </c>
      <c r="U761" s="4" t="s">
        <v>66</v>
      </c>
      <c r="V761" s="4" t="s">
        <v>2950</v>
      </c>
      <c r="W761" s="5">
        <v>0</v>
      </c>
    </row>
    <row r="762" spans="1:23" x14ac:dyDescent="0.3">
      <c r="A762" s="2" t="s">
        <v>4602</v>
      </c>
      <c r="B762" s="2" t="s">
        <v>1589</v>
      </c>
      <c r="C762" s="2" t="s">
        <v>4603</v>
      </c>
      <c r="D762" s="2" t="s">
        <v>4604</v>
      </c>
      <c r="E762" s="2" t="s">
        <v>4605</v>
      </c>
      <c r="F762" s="2" t="s">
        <v>4606</v>
      </c>
      <c r="G762" s="2" t="s">
        <v>291</v>
      </c>
      <c r="H762" s="2" t="s">
        <v>292</v>
      </c>
      <c r="I762" s="2" t="s">
        <v>31</v>
      </c>
      <c r="J762" s="2" t="s">
        <v>4607</v>
      </c>
      <c r="K762" s="2" t="s">
        <v>364</v>
      </c>
      <c r="L762" s="2">
        <v>5</v>
      </c>
      <c r="M762" s="3">
        <v>267.94</v>
      </c>
      <c r="N762" s="2" t="s">
        <v>49</v>
      </c>
      <c r="O762" s="3">
        <v>40.19</v>
      </c>
      <c r="P762" s="3">
        <v>0</v>
      </c>
      <c r="Q762" s="3">
        <v>22.78</v>
      </c>
      <c r="R762" s="3">
        <v>250.53</v>
      </c>
      <c r="S762" s="2" t="s">
        <v>64</v>
      </c>
      <c r="T762" s="2" t="s">
        <v>65</v>
      </c>
      <c r="U762" s="2" t="s">
        <v>66</v>
      </c>
      <c r="V762" s="2" t="s">
        <v>254</v>
      </c>
      <c r="W762" s="3">
        <v>0</v>
      </c>
    </row>
    <row r="763" spans="1:23" x14ac:dyDescent="0.3">
      <c r="A763" s="4" t="s">
        <v>4608</v>
      </c>
      <c r="B763" s="4" t="s">
        <v>4025</v>
      </c>
      <c r="C763" s="4" t="s">
        <v>4609</v>
      </c>
      <c r="D763" s="4" t="s">
        <v>2074</v>
      </c>
      <c r="E763" s="4" t="s">
        <v>4610</v>
      </c>
      <c r="F763" s="4" t="s">
        <v>4611</v>
      </c>
      <c r="G763" s="4" t="s">
        <v>119</v>
      </c>
      <c r="H763" s="4" t="s">
        <v>120</v>
      </c>
      <c r="I763" s="4" t="s">
        <v>31</v>
      </c>
      <c r="J763" s="4" t="s">
        <v>4612</v>
      </c>
      <c r="K763" s="4" t="s">
        <v>48</v>
      </c>
      <c r="L763" s="4">
        <v>4</v>
      </c>
      <c r="M763" s="5">
        <v>339.96</v>
      </c>
      <c r="N763" s="4" t="s">
        <v>163</v>
      </c>
      <c r="O763" s="5">
        <v>67.989999999999995</v>
      </c>
      <c r="P763" s="5">
        <v>0</v>
      </c>
      <c r="Q763" s="5">
        <v>19.04</v>
      </c>
      <c r="R763" s="5">
        <v>291.01</v>
      </c>
      <c r="S763" s="4" t="s">
        <v>64</v>
      </c>
      <c r="T763" s="4" t="s">
        <v>99</v>
      </c>
      <c r="U763" s="4" t="s">
        <v>66</v>
      </c>
      <c r="V763" s="4" t="s">
        <v>1259</v>
      </c>
      <c r="W763" s="5">
        <v>0</v>
      </c>
    </row>
    <row r="764" spans="1:23" x14ac:dyDescent="0.3">
      <c r="A764" s="2" t="s">
        <v>4613</v>
      </c>
      <c r="B764" s="2" t="s">
        <v>619</v>
      </c>
      <c r="C764" s="2" t="s">
        <v>4614</v>
      </c>
      <c r="D764" s="2" t="s">
        <v>4615</v>
      </c>
      <c r="E764" s="2" t="s">
        <v>4616</v>
      </c>
      <c r="F764" s="2" t="s">
        <v>4617</v>
      </c>
      <c r="G764" s="2" t="s">
        <v>428</v>
      </c>
      <c r="H764" s="2" t="s">
        <v>429</v>
      </c>
      <c r="I764" s="2" t="s">
        <v>31</v>
      </c>
      <c r="J764" s="2" t="s">
        <v>2576</v>
      </c>
      <c r="K764" s="2" t="s">
        <v>33</v>
      </c>
      <c r="L764" s="2">
        <v>1</v>
      </c>
      <c r="M764" s="3">
        <v>99.98</v>
      </c>
      <c r="N764" s="2" t="s">
        <v>49</v>
      </c>
      <c r="O764" s="3">
        <v>15</v>
      </c>
      <c r="P764" s="3">
        <v>0</v>
      </c>
      <c r="Q764" s="3">
        <v>6.8</v>
      </c>
      <c r="R764" s="3">
        <v>91.78</v>
      </c>
      <c r="S764" s="2" t="s">
        <v>123</v>
      </c>
      <c r="T764" s="2" t="s">
        <v>99</v>
      </c>
      <c r="U764" s="2" t="s">
        <v>66</v>
      </c>
      <c r="V764" s="2" t="s">
        <v>245</v>
      </c>
      <c r="W764" s="3">
        <v>0</v>
      </c>
    </row>
    <row r="765" spans="1:23" x14ac:dyDescent="0.3">
      <c r="A765" s="4" t="s">
        <v>4618</v>
      </c>
      <c r="B765" s="4" t="s">
        <v>3311</v>
      </c>
      <c r="C765" s="4" t="s">
        <v>4619</v>
      </c>
      <c r="D765" s="4" t="s">
        <v>2754</v>
      </c>
      <c r="E765" s="4" t="s">
        <v>4620</v>
      </c>
      <c r="F765" s="4" t="s">
        <v>4621</v>
      </c>
      <c r="G765" s="4" t="s">
        <v>428</v>
      </c>
      <c r="H765" s="4" t="s">
        <v>429</v>
      </c>
      <c r="I765" s="4" t="s">
        <v>31</v>
      </c>
      <c r="J765" s="4" t="s">
        <v>4622</v>
      </c>
      <c r="K765" s="4" t="s">
        <v>143</v>
      </c>
      <c r="L765" s="4">
        <v>5</v>
      </c>
      <c r="M765" s="5">
        <v>344.95</v>
      </c>
      <c r="N765" s="4" t="s">
        <v>78</v>
      </c>
      <c r="O765" s="5">
        <v>34.5</v>
      </c>
      <c r="P765" s="5">
        <v>0</v>
      </c>
      <c r="Q765" s="5">
        <v>26.39</v>
      </c>
      <c r="R765" s="5">
        <v>336.84</v>
      </c>
      <c r="S765" s="4" t="s">
        <v>332</v>
      </c>
      <c r="T765" s="4" t="s">
        <v>173</v>
      </c>
      <c r="U765" s="4" t="s">
        <v>66</v>
      </c>
      <c r="V765" s="4" t="s">
        <v>4156</v>
      </c>
      <c r="W765" s="5">
        <v>0</v>
      </c>
    </row>
    <row r="766" spans="1:23" x14ac:dyDescent="0.3">
      <c r="A766" s="2" t="s">
        <v>4623</v>
      </c>
      <c r="B766" s="2" t="s">
        <v>382</v>
      </c>
      <c r="C766" s="2" t="s">
        <v>4624</v>
      </c>
      <c r="D766" s="2" t="s">
        <v>4625</v>
      </c>
      <c r="E766" s="2" t="s">
        <v>4626</v>
      </c>
      <c r="F766" s="2" t="s">
        <v>4627</v>
      </c>
      <c r="G766" s="2" t="s">
        <v>676</v>
      </c>
      <c r="H766" s="2" t="s">
        <v>677</v>
      </c>
      <c r="I766" s="2" t="s">
        <v>31</v>
      </c>
      <c r="J766" s="2" t="s">
        <v>4628</v>
      </c>
      <c r="K766" s="2" t="s">
        <v>77</v>
      </c>
      <c r="L766" s="2">
        <v>4</v>
      </c>
      <c r="M766" s="3">
        <v>142.96</v>
      </c>
      <c r="N766" s="2" t="s">
        <v>34</v>
      </c>
      <c r="O766" s="3">
        <v>0</v>
      </c>
      <c r="P766" s="3">
        <v>0</v>
      </c>
      <c r="Q766" s="3">
        <v>10.01</v>
      </c>
      <c r="R766" s="3">
        <v>152.97</v>
      </c>
      <c r="S766" s="2" t="s">
        <v>35</v>
      </c>
      <c r="T766" s="2" t="s">
        <v>99</v>
      </c>
      <c r="U766" s="2" t="s">
        <v>100</v>
      </c>
      <c r="V766" s="2"/>
      <c r="W766" s="3">
        <v>0</v>
      </c>
    </row>
    <row r="767" spans="1:23" x14ac:dyDescent="0.3">
      <c r="A767" s="4" t="s">
        <v>4629</v>
      </c>
      <c r="B767" s="4" t="s">
        <v>1867</v>
      </c>
      <c r="C767" s="4" t="s">
        <v>4630</v>
      </c>
      <c r="D767" s="4" t="s">
        <v>4631</v>
      </c>
      <c r="E767" s="4" t="s">
        <v>4632</v>
      </c>
      <c r="F767" s="4" t="s">
        <v>4633</v>
      </c>
      <c r="G767" s="4" t="s">
        <v>59</v>
      </c>
      <c r="H767" s="4" t="s">
        <v>60</v>
      </c>
      <c r="I767" s="4" t="s">
        <v>31</v>
      </c>
      <c r="J767" s="4" t="s">
        <v>191</v>
      </c>
      <c r="K767" s="4" t="s">
        <v>77</v>
      </c>
      <c r="L767" s="4">
        <v>1</v>
      </c>
      <c r="M767" s="5">
        <v>24.99</v>
      </c>
      <c r="N767" s="4" t="s">
        <v>34</v>
      </c>
      <c r="O767" s="5">
        <v>0</v>
      </c>
      <c r="P767" s="5">
        <v>9.99</v>
      </c>
      <c r="Q767" s="5">
        <v>2.25</v>
      </c>
      <c r="R767" s="5">
        <v>37.229999999999997</v>
      </c>
      <c r="S767" s="4" t="s">
        <v>123</v>
      </c>
      <c r="T767" s="4" t="s">
        <v>36</v>
      </c>
      <c r="U767" s="4" t="s">
        <v>66</v>
      </c>
      <c r="V767" s="4" t="s">
        <v>3092</v>
      </c>
      <c r="W767" s="5">
        <v>0</v>
      </c>
    </row>
    <row r="768" spans="1:23" x14ac:dyDescent="0.3">
      <c r="A768" s="2" t="s">
        <v>4634</v>
      </c>
      <c r="B768" s="2" t="s">
        <v>1446</v>
      </c>
      <c r="C768" s="2" t="s">
        <v>4635</v>
      </c>
      <c r="D768" s="2" t="s">
        <v>545</v>
      </c>
      <c r="E768" s="2" t="s">
        <v>4636</v>
      </c>
      <c r="F768" s="2" t="s">
        <v>4637</v>
      </c>
      <c r="G768" s="2" t="s">
        <v>251</v>
      </c>
      <c r="H768" s="2" t="s">
        <v>252</v>
      </c>
      <c r="I768" s="2" t="s">
        <v>31</v>
      </c>
      <c r="J768" s="2" t="s">
        <v>4638</v>
      </c>
      <c r="K768" s="2" t="s">
        <v>48</v>
      </c>
      <c r="L768" s="2">
        <v>3</v>
      </c>
      <c r="M768" s="3">
        <v>189.95</v>
      </c>
      <c r="N768" s="2" t="s">
        <v>63</v>
      </c>
      <c r="O768" s="3">
        <v>47.49</v>
      </c>
      <c r="P768" s="3">
        <v>0</v>
      </c>
      <c r="Q768" s="3">
        <v>8.5500000000000007</v>
      </c>
      <c r="R768" s="3">
        <v>151.01</v>
      </c>
      <c r="S768" s="2" t="s">
        <v>35</v>
      </c>
      <c r="T768" s="2" t="s">
        <v>183</v>
      </c>
      <c r="U768" s="2" t="s">
        <v>100</v>
      </c>
      <c r="V768" s="2"/>
      <c r="W768" s="3">
        <v>0</v>
      </c>
    </row>
    <row r="769" spans="1:23" x14ac:dyDescent="0.3">
      <c r="A769" s="4" t="s">
        <v>4639</v>
      </c>
      <c r="B769" s="4" t="s">
        <v>374</v>
      </c>
      <c r="C769" s="4" t="s">
        <v>4640</v>
      </c>
      <c r="D769" s="4" t="s">
        <v>4641</v>
      </c>
      <c r="E769" s="4" t="s">
        <v>4642</v>
      </c>
      <c r="F769" s="4" t="s">
        <v>4643</v>
      </c>
      <c r="G769" s="4" t="s">
        <v>171</v>
      </c>
      <c r="H769" s="4" t="s">
        <v>88</v>
      </c>
      <c r="I769" s="4" t="s">
        <v>31</v>
      </c>
      <c r="J769" s="4" t="s">
        <v>4644</v>
      </c>
      <c r="K769" s="4" t="s">
        <v>77</v>
      </c>
      <c r="L769" s="4">
        <v>2</v>
      </c>
      <c r="M769" s="5">
        <v>93.97</v>
      </c>
      <c r="N769" s="4" t="s">
        <v>34</v>
      </c>
      <c r="O769" s="5">
        <v>0</v>
      </c>
      <c r="P769" s="5">
        <v>0</v>
      </c>
      <c r="Q769" s="5">
        <v>7.99</v>
      </c>
      <c r="R769" s="5">
        <v>101.96</v>
      </c>
      <c r="S769" s="4" t="s">
        <v>123</v>
      </c>
      <c r="T769" s="4" t="s">
        <v>99</v>
      </c>
      <c r="U769" s="4" t="s">
        <v>66</v>
      </c>
      <c r="V769" s="4" t="s">
        <v>1582</v>
      </c>
      <c r="W769" s="5">
        <v>0</v>
      </c>
    </row>
    <row r="770" spans="1:23" x14ac:dyDescent="0.3">
      <c r="A770" s="2" t="s">
        <v>4645</v>
      </c>
      <c r="B770" s="2" t="s">
        <v>709</v>
      </c>
      <c r="C770" s="2" t="s">
        <v>4646</v>
      </c>
      <c r="D770" s="2" t="s">
        <v>4647</v>
      </c>
      <c r="E770" s="2" t="s">
        <v>4648</v>
      </c>
      <c r="F770" s="2" t="s">
        <v>4649</v>
      </c>
      <c r="G770" s="2" t="s">
        <v>291</v>
      </c>
      <c r="H770" s="2" t="s">
        <v>292</v>
      </c>
      <c r="I770" s="2" t="s">
        <v>31</v>
      </c>
      <c r="J770" s="2" t="s">
        <v>1232</v>
      </c>
      <c r="K770" s="2" t="s">
        <v>77</v>
      </c>
      <c r="L770" s="2">
        <v>1</v>
      </c>
      <c r="M770" s="3">
        <v>34.99</v>
      </c>
      <c r="N770" s="2" t="s">
        <v>163</v>
      </c>
      <c r="O770" s="3">
        <v>7</v>
      </c>
      <c r="P770" s="3">
        <v>9.99</v>
      </c>
      <c r="Q770" s="3">
        <v>2.8</v>
      </c>
      <c r="R770" s="3">
        <v>40.78</v>
      </c>
      <c r="S770" s="2" t="s">
        <v>111</v>
      </c>
      <c r="T770" s="2" t="s">
        <v>65</v>
      </c>
      <c r="U770" s="2" t="s">
        <v>317</v>
      </c>
      <c r="V770" s="2"/>
      <c r="W770" s="3">
        <v>0</v>
      </c>
    </row>
    <row r="771" spans="1:23" x14ac:dyDescent="0.3">
      <c r="A771" s="4" t="s">
        <v>4650</v>
      </c>
      <c r="B771" s="4" t="s">
        <v>1703</v>
      </c>
      <c r="C771" s="4" t="s">
        <v>4651</v>
      </c>
      <c r="D771" s="4" t="s">
        <v>4652</v>
      </c>
      <c r="E771" s="4" t="s">
        <v>4653</v>
      </c>
      <c r="F771" s="4" t="s">
        <v>4654</v>
      </c>
      <c r="G771" s="4" t="s">
        <v>119</v>
      </c>
      <c r="H771" s="4" t="s">
        <v>120</v>
      </c>
      <c r="I771" s="4" t="s">
        <v>31</v>
      </c>
      <c r="J771" s="4" t="s">
        <v>1054</v>
      </c>
      <c r="K771" s="4" t="s">
        <v>364</v>
      </c>
      <c r="L771" s="4">
        <v>1</v>
      </c>
      <c r="M771" s="5">
        <v>44.99</v>
      </c>
      <c r="N771" s="4" t="s">
        <v>78</v>
      </c>
      <c r="O771" s="5">
        <v>4.5</v>
      </c>
      <c r="P771" s="5">
        <v>7.99</v>
      </c>
      <c r="Q771" s="5">
        <v>4.05</v>
      </c>
      <c r="R771" s="5">
        <v>52.53</v>
      </c>
      <c r="S771" s="4" t="s">
        <v>123</v>
      </c>
      <c r="T771" s="4" t="s">
        <v>144</v>
      </c>
      <c r="U771" s="4" t="s">
        <v>66</v>
      </c>
      <c r="V771" s="4" t="s">
        <v>2839</v>
      </c>
      <c r="W771" s="5">
        <v>0</v>
      </c>
    </row>
    <row r="772" spans="1:23" x14ac:dyDescent="0.3">
      <c r="A772" s="2" t="s">
        <v>4655</v>
      </c>
      <c r="B772" s="2" t="s">
        <v>797</v>
      </c>
      <c r="C772" s="2" t="s">
        <v>4656</v>
      </c>
      <c r="D772" s="2" t="s">
        <v>4657</v>
      </c>
      <c r="E772" s="2" t="s">
        <v>4658</v>
      </c>
      <c r="F772" s="2" t="s">
        <v>4659</v>
      </c>
      <c r="G772" s="2" t="s">
        <v>74</v>
      </c>
      <c r="H772" s="2" t="s">
        <v>75</v>
      </c>
      <c r="I772" s="2" t="s">
        <v>31</v>
      </c>
      <c r="J772" s="2" t="s">
        <v>4660</v>
      </c>
      <c r="K772" s="2" t="s">
        <v>62</v>
      </c>
      <c r="L772" s="2">
        <v>2</v>
      </c>
      <c r="M772" s="3">
        <v>144.97</v>
      </c>
      <c r="N772" s="2" t="s">
        <v>78</v>
      </c>
      <c r="O772" s="3">
        <v>14.5</v>
      </c>
      <c r="P772" s="3">
        <v>0</v>
      </c>
      <c r="Q772" s="3">
        <v>9.1300000000000008</v>
      </c>
      <c r="R772" s="3">
        <v>139.6</v>
      </c>
      <c r="S772" s="2" t="s">
        <v>123</v>
      </c>
      <c r="T772" s="2" t="s">
        <v>173</v>
      </c>
      <c r="U772" s="2" t="s">
        <v>37</v>
      </c>
      <c r="V772" s="2" t="s">
        <v>2222</v>
      </c>
      <c r="W772" s="3">
        <v>139.6</v>
      </c>
    </row>
    <row r="773" spans="1:23" x14ac:dyDescent="0.3">
      <c r="A773" s="4" t="s">
        <v>4661</v>
      </c>
      <c r="B773" s="4" t="s">
        <v>513</v>
      </c>
      <c r="C773" s="4" t="s">
        <v>4662</v>
      </c>
      <c r="D773" s="4" t="s">
        <v>2690</v>
      </c>
      <c r="E773" s="4" t="s">
        <v>4663</v>
      </c>
      <c r="F773" s="4" t="s">
        <v>4664</v>
      </c>
      <c r="G773" s="4" t="s">
        <v>1183</v>
      </c>
      <c r="H773" s="4" t="s">
        <v>88</v>
      </c>
      <c r="I773" s="4" t="s">
        <v>31</v>
      </c>
      <c r="J773" s="4" t="s">
        <v>4665</v>
      </c>
      <c r="K773" s="4" t="s">
        <v>364</v>
      </c>
      <c r="L773" s="4">
        <v>4</v>
      </c>
      <c r="M773" s="5">
        <v>199.96</v>
      </c>
      <c r="N773" s="4" t="s">
        <v>152</v>
      </c>
      <c r="O773" s="5">
        <v>10</v>
      </c>
      <c r="P773" s="5">
        <v>0</v>
      </c>
      <c r="Q773" s="5">
        <v>13.3</v>
      </c>
      <c r="R773" s="5">
        <v>203.26</v>
      </c>
      <c r="S773" s="4" t="s">
        <v>64</v>
      </c>
      <c r="T773" s="4" t="s">
        <v>36</v>
      </c>
      <c r="U773" s="4" t="s">
        <v>66</v>
      </c>
      <c r="V773" s="4" t="s">
        <v>4666</v>
      </c>
      <c r="W773" s="5">
        <v>0</v>
      </c>
    </row>
    <row r="774" spans="1:23" x14ac:dyDescent="0.3">
      <c r="A774" s="2" t="s">
        <v>4667</v>
      </c>
      <c r="B774" s="2" t="s">
        <v>470</v>
      </c>
      <c r="C774" s="2" t="s">
        <v>4668</v>
      </c>
      <c r="D774" s="2" t="s">
        <v>3885</v>
      </c>
      <c r="E774" s="2" t="s">
        <v>4669</v>
      </c>
      <c r="F774" s="2" t="s">
        <v>4670</v>
      </c>
      <c r="G774" s="2" t="s">
        <v>347</v>
      </c>
      <c r="H774" s="2" t="s">
        <v>60</v>
      </c>
      <c r="I774" s="2" t="s">
        <v>31</v>
      </c>
      <c r="J774" s="2" t="s">
        <v>4671</v>
      </c>
      <c r="K774" s="2" t="s">
        <v>143</v>
      </c>
      <c r="L774" s="2">
        <v>3</v>
      </c>
      <c r="M774" s="3">
        <v>261.95</v>
      </c>
      <c r="N774" s="2" t="s">
        <v>34</v>
      </c>
      <c r="O774" s="3">
        <v>0</v>
      </c>
      <c r="P774" s="3">
        <v>0</v>
      </c>
      <c r="Q774" s="3">
        <v>15.72</v>
      </c>
      <c r="R774" s="3">
        <v>277.67</v>
      </c>
      <c r="S774" s="2" t="s">
        <v>35</v>
      </c>
      <c r="T774" s="2" t="s">
        <v>65</v>
      </c>
      <c r="U774" s="2" t="s">
        <v>66</v>
      </c>
      <c r="V774" s="2" t="s">
        <v>194</v>
      </c>
      <c r="W774" s="3">
        <v>0</v>
      </c>
    </row>
    <row r="775" spans="1:23" x14ac:dyDescent="0.3">
      <c r="A775" s="4" t="s">
        <v>4672</v>
      </c>
      <c r="B775" s="4" t="s">
        <v>2222</v>
      </c>
      <c r="C775" s="4" t="s">
        <v>4673</v>
      </c>
      <c r="D775" s="4" t="s">
        <v>4674</v>
      </c>
      <c r="E775" s="4" t="s">
        <v>4675</v>
      </c>
      <c r="F775" s="4" t="s">
        <v>4676</v>
      </c>
      <c r="G775" s="4" t="s">
        <v>1183</v>
      </c>
      <c r="H775" s="4" t="s">
        <v>88</v>
      </c>
      <c r="I775" s="4" t="s">
        <v>31</v>
      </c>
      <c r="J775" s="4" t="s">
        <v>4677</v>
      </c>
      <c r="K775" s="4" t="s">
        <v>62</v>
      </c>
      <c r="L775" s="4">
        <v>1</v>
      </c>
      <c r="M775" s="5">
        <v>59.98</v>
      </c>
      <c r="N775" s="4" t="s">
        <v>163</v>
      </c>
      <c r="O775" s="5">
        <v>12</v>
      </c>
      <c r="P775" s="5">
        <v>7.99</v>
      </c>
      <c r="Q775" s="5">
        <v>4.8</v>
      </c>
      <c r="R775" s="5">
        <v>60.77</v>
      </c>
      <c r="S775" s="4" t="s">
        <v>35</v>
      </c>
      <c r="T775" s="4" t="s">
        <v>99</v>
      </c>
      <c r="U775" s="4" t="s">
        <v>37</v>
      </c>
      <c r="V775" s="4" t="s">
        <v>603</v>
      </c>
      <c r="W775" s="5">
        <v>60.77</v>
      </c>
    </row>
    <row r="776" spans="1:23" x14ac:dyDescent="0.3">
      <c r="A776" s="2" t="s">
        <v>4678</v>
      </c>
      <c r="B776" s="2" t="s">
        <v>92</v>
      </c>
      <c r="C776" s="2" t="s">
        <v>4679</v>
      </c>
      <c r="D776" s="2" t="s">
        <v>1310</v>
      </c>
      <c r="E776" s="2" t="s">
        <v>4680</v>
      </c>
      <c r="F776" s="2" t="s">
        <v>4681</v>
      </c>
      <c r="G776" s="2" t="s">
        <v>207</v>
      </c>
      <c r="H776" s="2" t="s">
        <v>141</v>
      </c>
      <c r="I776" s="2" t="s">
        <v>31</v>
      </c>
      <c r="J776" s="2" t="s">
        <v>4682</v>
      </c>
      <c r="K776" s="2" t="s">
        <v>143</v>
      </c>
      <c r="L776" s="2">
        <v>2</v>
      </c>
      <c r="M776" s="3">
        <v>408.96</v>
      </c>
      <c r="N776" s="2" t="s">
        <v>34</v>
      </c>
      <c r="O776" s="3">
        <v>0</v>
      </c>
      <c r="P776" s="3">
        <v>0</v>
      </c>
      <c r="Q776" s="3">
        <v>24.54</v>
      </c>
      <c r="R776" s="3">
        <v>433.5</v>
      </c>
      <c r="S776" s="2" t="s">
        <v>64</v>
      </c>
      <c r="T776" s="2" t="s">
        <v>99</v>
      </c>
      <c r="U776" s="2" t="s">
        <v>100</v>
      </c>
      <c r="V776" s="2"/>
      <c r="W776" s="3">
        <v>0</v>
      </c>
    </row>
    <row r="777" spans="1:23" x14ac:dyDescent="0.3">
      <c r="A777" s="4" t="s">
        <v>4683</v>
      </c>
      <c r="B777" s="4" t="s">
        <v>1417</v>
      </c>
      <c r="C777" s="4" t="s">
        <v>4684</v>
      </c>
      <c r="D777" s="4" t="s">
        <v>3593</v>
      </c>
      <c r="E777" s="4" t="s">
        <v>4685</v>
      </c>
      <c r="F777" s="4" t="s">
        <v>4686</v>
      </c>
      <c r="G777" s="4" t="s">
        <v>323</v>
      </c>
      <c r="H777" s="4" t="s">
        <v>324</v>
      </c>
      <c r="I777" s="4" t="s">
        <v>31</v>
      </c>
      <c r="J777" s="4" t="s">
        <v>2314</v>
      </c>
      <c r="K777" s="4" t="s">
        <v>33</v>
      </c>
      <c r="L777" s="4">
        <v>1</v>
      </c>
      <c r="M777" s="5">
        <v>56.97</v>
      </c>
      <c r="N777" s="4" t="s">
        <v>78</v>
      </c>
      <c r="O777" s="5">
        <v>5.7</v>
      </c>
      <c r="P777" s="5">
        <v>9.99</v>
      </c>
      <c r="Q777" s="5">
        <v>4.6100000000000003</v>
      </c>
      <c r="R777" s="5">
        <v>65.87</v>
      </c>
      <c r="S777" s="4" t="s">
        <v>64</v>
      </c>
      <c r="T777" s="4" t="s">
        <v>173</v>
      </c>
      <c r="U777" s="4" t="s">
        <v>66</v>
      </c>
      <c r="V777" s="4" t="s">
        <v>1948</v>
      </c>
      <c r="W777" s="5">
        <v>0</v>
      </c>
    </row>
    <row r="778" spans="1:23" x14ac:dyDescent="0.3">
      <c r="A778" s="2" t="s">
        <v>4687</v>
      </c>
      <c r="B778" s="2" t="s">
        <v>2503</v>
      </c>
      <c r="C778" s="2" t="s">
        <v>4688</v>
      </c>
      <c r="D778" s="2" t="s">
        <v>2115</v>
      </c>
      <c r="E778" s="2" t="s">
        <v>4689</v>
      </c>
      <c r="F778" s="2" t="s">
        <v>4690</v>
      </c>
      <c r="G778" s="2" t="s">
        <v>291</v>
      </c>
      <c r="H778" s="2" t="s">
        <v>292</v>
      </c>
      <c r="I778" s="2" t="s">
        <v>31</v>
      </c>
      <c r="J778" s="2" t="s">
        <v>4691</v>
      </c>
      <c r="K778" s="2" t="s">
        <v>33</v>
      </c>
      <c r="L778" s="2">
        <v>2</v>
      </c>
      <c r="M778" s="3">
        <v>144.97</v>
      </c>
      <c r="N778" s="2" t="s">
        <v>34</v>
      </c>
      <c r="O778" s="3">
        <v>0</v>
      </c>
      <c r="P778" s="3">
        <v>0</v>
      </c>
      <c r="Q778" s="3">
        <v>14.5</v>
      </c>
      <c r="R778" s="3">
        <v>159.47</v>
      </c>
      <c r="S778" s="2" t="s">
        <v>35</v>
      </c>
      <c r="T778" s="2" t="s">
        <v>144</v>
      </c>
      <c r="U778" s="2" t="s">
        <v>66</v>
      </c>
      <c r="V778" s="2" t="s">
        <v>164</v>
      </c>
      <c r="W778" s="3">
        <v>0</v>
      </c>
    </row>
    <row r="779" spans="1:23" x14ac:dyDescent="0.3">
      <c r="A779" s="4" t="s">
        <v>4692</v>
      </c>
      <c r="B779" s="4" t="s">
        <v>3092</v>
      </c>
      <c r="C779" s="4" t="s">
        <v>4693</v>
      </c>
      <c r="D779" s="4" t="s">
        <v>4694</v>
      </c>
      <c r="E779" s="4" t="s">
        <v>4695</v>
      </c>
      <c r="F779" s="4" t="s">
        <v>4696</v>
      </c>
      <c r="G779" s="4" t="s">
        <v>291</v>
      </c>
      <c r="H779" s="4" t="s">
        <v>292</v>
      </c>
      <c r="I779" s="4" t="s">
        <v>31</v>
      </c>
      <c r="J779" s="4" t="s">
        <v>371</v>
      </c>
      <c r="K779" s="4" t="s">
        <v>122</v>
      </c>
      <c r="L779" s="4">
        <v>1</v>
      </c>
      <c r="M779" s="5">
        <v>109.99</v>
      </c>
      <c r="N779" s="4" t="s">
        <v>78</v>
      </c>
      <c r="O779" s="5">
        <v>11</v>
      </c>
      <c r="P779" s="5">
        <v>0</v>
      </c>
      <c r="Q779" s="5">
        <v>8.91</v>
      </c>
      <c r="R779" s="5">
        <v>107.9</v>
      </c>
      <c r="S779" s="4" t="s">
        <v>79</v>
      </c>
      <c r="T779" s="4" t="s">
        <v>99</v>
      </c>
      <c r="U779" s="4" t="s">
        <v>51</v>
      </c>
      <c r="V779" s="4" t="s">
        <v>1315</v>
      </c>
      <c r="W779" s="5">
        <v>0</v>
      </c>
    </row>
    <row r="780" spans="1:23" x14ac:dyDescent="0.3">
      <c r="A780" s="2" t="s">
        <v>4697</v>
      </c>
      <c r="B780" s="2" t="s">
        <v>303</v>
      </c>
      <c r="C780" s="2" t="s">
        <v>4698</v>
      </c>
      <c r="D780" s="2" t="s">
        <v>4699</v>
      </c>
      <c r="E780" s="2" t="s">
        <v>4700</v>
      </c>
      <c r="F780" s="2" t="s">
        <v>4701</v>
      </c>
      <c r="G780" s="2" t="s">
        <v>45</v>
      </c>
      <c r="H780" s="2" t="s">
        <v>46</v>
      </c>
      <c r="I780" s="2" t="s">
        <v>31</v>
      </c>
      <c r="J780" s="2" t="s">
        <v>4702</v>
      </c>
      <c r="K780" s="2" t="s">
        <v>48</v>
      </c>
      <c r="L780" s="2">
        <v>3</v>
      </c>
      <c r="M780" s="3">
        <v>99.97</v>
      </c>
      <c r="N780" s="2" t="s">
        <v>152</v>
      </c>
      <c r="O780" s="3">
        <v>5</v>
      </c>
      <c r="P780" s="3">
        <v>0</v>
      </c>
      <c r="Q780" s="3">
        <v>5.7</v>
      </c>
      <c r="R780" s="3">
        <v>100.67</v>
      </c>
      <c r="S780" s="2" t="s">
        <v>332</v>
      </c>
      <c r="T780" s="2" t="s">
        <v>99</v>
      </c>
      <c r="U780" s="2" t="s">
        <v>317</v>
      </c>
      <c r="V780" s="2"/>
      <c r="W780" s="3">
        <v>0</v>
      </c>
    </row>
    <row r="781" spans="1:23" x14ac:dyDescent="0.3">
      <c r="A781" s="4" t="s">
        <v>4703</v>
      </c>
      <c r="B781" s="4" t="s">
        <v>498</v>
      </c>
      <c r="C781" s="4" t="s">
        <v>4704</v>
      </c>
      <c r="D781" s="4" t="s">
        <v>4705</v>
      </c>
      <c r="E781" s="4" t="s">
        <v>4706</v>
      </c>
      <c r="F781" s="4" t="s">
        <v>4707</v>
      </c>
      <c r="G781" s="4" t="s">
        <v>692</v>
      </c>
      <c r="H781" s="4" t="s">
        <v>693</v>
      </c>
      <c r="I781" s="4" t="s">
        <v>31</v>
      </c>
      <c r="J781" s="4" t="s">
        <v>47</v>
      </c>
      <c r="K781" s="4" t="s">
        <v>48</v>
      </c>
      <c r="L781" s="4">
        <v>1</v>
      </c>
      <c r="M781" s="5">
        <v>42.99</v>
      </c>
      <c r="N781" s="4" t="s">
        <v>49</v>
      </c>
      <c r="O781" s="5">
        <v>6.45</v>
      </c>
      <c r="P781" s="5">
        <v>9.99</v>
      </c>
      <c r="Q781" s="5">
        <v>3.65</v>
      </c>
      <c r="R781" s="5">
        <v>50.18</v>
      </c>
      <c r="S781" s="4" t="s">
        <v>35</v>
      </c>
      <c r="T781" s="4" t="s">
        <v>50</v>
      </c>
      <c r="U781" s="4" t="s">
        <v>66</v>
      </c>
      <c r="V781" s="4" t="s">
        <v>519</v>
      </c>
      <c r="W781" s="5">
        <v>0</v>
      </c>
    </row>
    <row r="782" spans="1:23" x14ac:dyDescent="0.3">
      <c r="A782" s="2" t="s">
        <v>4708</v>
      </c>
      <c r="B782" s="2" t="s">
        <v>1573</v>
      </c>
      <c r="C782" s="2" t="s">
        <v>4709</v>
      </c>
      <c r="D782" s="2" t="s">
        <v>4710</v>
      </c>
      <c r="E782" s="2" t="s">
        <v>4711</v>
      </c>
      <c r="F782" s="2" t="s">
        <v>4712</v>
      </c>
      <c r="G782" s="2" t="s">
        <v>207</v>
      </c>
      <c r="H782" s="2" t="s">
        <v>141</v>
      </c>
      <c r="I782" s="2" t="s">
        <v>31</v>
      </c>
      <c r="J782" s="2" t="s">
        <v>4713</v>
      </c>
      <c r="K782" s="2" t="s">
        <v>62</v>
      </c>
      <c r="L782" s="2">
        <v>4</v>
      </c>
      <c r="M782" s="3">
        <v>234.95</v>
      </c>
      <c r="N782" s="2" t="s">
        <v>34</v>
      </c>
      <c r="O782" s="3">
        <v>0</v>
      </c>
      <c r="P782" s="3">
        <v>0</v>
      </c>
      <c r="Q782" s="3">
        <v>18.8</v>
      </c>
      <c r="R782" s="3">
        <v>253.75</v>
      </c>
      <c r="S782" s="2" t="s">
        <v>35</v>
      </c>
      <c r="T782" s="2" t="s">
        <v>36</v>
      </c>
      <c r="U782" s="2" t="s">
        <v>66</v>
      </c>
      <c r="V782" s="2" t="s">
        <v>1805</v>
      </c>
      <c r="W782" s="3">
        <v>0</v>
      </c>
    </row>
    <row r="783" spans="1:23" x14ac:dyDescent="0.3">
      <c r="A783" s="4" t="s">
        <v>4714</v>
      </c>
      <c r="B783" s="4" t="s">
        <v>1671</v>
      </c>
      <c r="C783" s="4" t="s">
        <v>4715</v>
      </c>
      <c r="D783" s="4" t="s">
        <v>4716</v>
      </c>
      <c r="E783" s="4" t="s">
        <v>4717</v>
      </c>
      <c r="F783" s="4" t="s">
        <v>4718</v>
      </c>
      <c r="G783" s="4" t="s">
        <v>180</v>
      </c>
      <c r="H783" s="4" t="s">
        <v>181</v>
      </c>
      <c r="I783" s="4" t="s">
        <v>31</v>
      </c>
      <c r="J783" s="4" t="s">
        <v>4719</v>
      </c>
      <c r="K783" s="4" t="s">
        <v>77</v>
      </c>
      <c r="L783" s="4">
        <v>2</v>
      </c>
      <c r="M783" s="5">
        <v>67.98</v>
      </c>
      <c r="N783" s="4" t="s">
        <v>34</v>
      </c>
      <c r="O783" s="5">
        <v>0</v>
      </c>
      <c r="P783" s="5">
        <v>5.99</v>
      </c>
      <c r="Q783" s="5">
        <v>4.76</v>
      </c>
      <c r="R783" s="5">
        <v>78.73</v>
      </c>
      <c r="S783" s="4" t="s">
        <v>79</v>
      </c>
      <c r="T783" s="4" t="s">
        <v>50</v>
      </c>
      <c r="U783" s="4" t="s">
        <v>66</v>
      </c>
      <c r="V783" s="4" t="s">
        <v>463</v>
      </c>
      <c r="W783" s="5">
        <v>0</v>
      </c>
    </row>
    <row r="784" spans="1:23" x14ac:dyDescent="0.3">
      <c r="A784" s="2" t="s">
        <v>4720</v>
      </c>
      <c r="B784" s="2" t="s">
        <v>210</v>
      </c>
      <c r="C784" s="2" t="s">
        <v>4721</v>
      </c>
      <c r="D784" s="2" t="s">
        <v>4722</v>
      </c>
      <c r="E784" s="2" t="s">
        <v>4723</v>
      </c>
      <c r="F784" s="2" t="s">
        <v>4724</v>
      </c>
      <c r="G784" s="2" t="s">
        <v>1183</v>
      </c>
      <c r="H784" s="2" t="s">
        <v>88</v>
      </c>
      <c r="I784" s="2" t="s">
        <v>31</v>
      </c>
      <c r="J784" s="2" t="s">
        <v>4725</v>
      </c>
      <c r="K784" s="2" t="s">
        <v>143</v>
      </c>
      <c r="L784" s="2">
        <v>2</v>
      </c>
      <c r="M784" s="3">
        <v>324.95999999999998</v>
      </c>
      <c r="N784" s="2" t="s">
        <v>152</v>
      </c>
      <c r="O784" s="3">
        <v>16.25</v>
      </c>
      <c r="P784" s="3">
        <v>0</v>
      </c>
      <c r="Q784" s="3">
        <v>30.87</v>
      </c>
      <c r="R784" s="3">
        <v>339.58</v>
      </c>
      <c r="S784" s="2" t="s">
        <v>35</v>
      </c>
      <c r="T784" s="2" t="s">
        <v>99</v>
      </c>
      <c r="U784" s="2" t="s">
        <v>66</v>
      </c>
      <c r="V784" s="2" t="s">
        <v>3421</v>
      </c>
      <c r="W784" s="3">
        <v>0</v>
      </c>
    </row>
    <row r="785" spans="1:23" x14ac:dyDescent="0.3">
      <c r="A785" s="4" t="s">
        <v>4726</v>
      </c>
      <c r="B785" s="4" t="s">
        <v>185</v>
      </c>
      <c r="C785" s="4" t="s">
        <v>4727</v>
      </c>
      <c r="D785" s="4" t="s">
        <v>4728</v>
      </c>
      <c r="E785" s="4" t="s">
        <v>4729</v>
      </c>
      <c r="F785" s="4" t="s">
        <v>4730</v>
      </c>
      <c r="G785" s="4" t="s">
        <v>1183</v>
      </c>
      <c r="H785" s="4" t="s">
        <v>88</v>
      </c>
      <c r="I785" s="4" t="s">
        <v>31</v>
      </c>
      <c r="J785" s="4" t="s">
        <v>4731</v>
      </c>
      <c r="K785" s="4" t="s">
        <v>122</v>
      </c>
      <c r="L785" s="4">
        <v>2</v>
      </c>
      <c r="M785" s="5">
        <v>107.97</v>
      </c>
      <c r="N785" s="4" t="s">
        <v>34</v>
      </c>
      <c r="O785" s="5">
        <v>0</v>
      </c>
      <c r="P785" s="5">
        <v>0</v>
      </c>
      <c r="Q785" s="5">
        <v>7.56</v>
      </c>
      <c r="R785" s="5">
        <v>115.53</v>
      </c>
      <c r="S785" s="4" t="s">
        <v>111</v>
      </c>
      <c r="T785" s="4" t="s">
        <v>144</v>
      </c>
      <c r="U785" s="4" t="s">
        <v>66</v>
      </c>
      <c r="V785" s="4" t="s">
        <v>270</v>
      </c>
      <c r="W785" s="5">
        <v>0</v>
      </c>
    </row>
    <row r="786" spans="1:23" x14ac:dyDescent="0.3">
      <c r="A786" s="2" t="s">
        <v>4732</v>
      </c>
      <c r="B786" s="2" t="s">
        <v>3438</v>
      </c>
      <c r="C786" s="2" t="s">
        <v>4733</v>
      </c>
      <c r="D786" s="2" t="s">
        <v>2649</v>
      </c>
      <c r="E786" s="2" t="s">
        <v>4734</v>
      </c>
      <c r="F786" s="2" t="s">
        <v>4735</v>
      </c>
      <c r="G786" s="2" t="s">
        <v>640</v>
      </c>
      <c r="H786" s="2" t="s">
        <v>161</v>
      </c>
      <c r="I786" s="2" t="s">
        <v>31</v>
      </c>
      <c r="J786" s="2" t="s">
        <v>694</v>
      </c>
      <c r="K786" s="2" t="s">
        <v>77</v>
      </c>
      <c r="L786" s="2">
        <v>1</v>
      </c>
      <c r="M786" s="3">
        <v>55.98</v>
      </c>
      <c r="N786" s="2" t="s">
        <v>63</v>
      </c>
      <c r="O786" s="3">
        <v>13.99</v>
      </c>
      <c r="P786" s="3">
        <v>4.99</v>
      </c>
      <c r="Q786" s="3">
        <v>4.2</v>
      </c>
      <c r="R786" s="3">
        <v>51.18</v>
      </c>
      <c r="S786" s="2" t="s">
        <v>111</v>
      </c>
      <c r="T786" s="2" t="s">
        <v>144</v>
      </c>
      <c r="U786" s="2" t="s">
        <v>66</v>
      </c>
      <c r="V786" s="2" t="s">
        <v>431</v>
      </c>
      <c r="W786" s="3">
        <v>0</v>
      </c>
    </row>
    <row r="787" spans="1:23" x14ac:dyDescent="0.3">
      <c r="A787" s="4" t="s">
        <v>4736</v>
      </c>
      <c r="B787" s="4" t="s">
        <v>943</v>
      </c>
      <c r="C787" s="4" t="s">
        <v>4737</v>
      </c>
      <c r="D787" s="4" t="s">
        <v>4738</v>
      </c>
      <c r="E787" s="4" t="s">
        <v>4739</v>
      </c>
      <c r="F787" s="4" t="s">
        <v>4740</v>
      </c>
      <c r="G787" s="4" t="s">
        <v>291</v>
      </c>
      <c r="H787" s="4" t="s">
        <v>292</v>
      </c>
      <c r="I787" s="4" t="s">
        <v>31</v>
      </c>
      <c r="J787" s="4" t="s">
        <v>4741</v>
      </c>
      <c r="K787" s="4" t="s">
        <v>209</v>
      </c>
      <c r="L787" s="4">
        <v>3</v>
      </c>
      <c r="M787" s="5">
        <v>214.94</v>
      </c>
      <c r="N787" s="4" t="s">
        <v>34</v>
      </c>
      <c r="O787" s="5">
        <v>0</v>
      </c>
      <c r="P787" s="5">
        <v>0</v>
      </c>
      <c r="Q787" s="5">
        <v>17.2</v>
      </c>
      <c r="R787" s="5">
        <v>232.14</v>
      </c>
      <c r="S787" s="4" t="s">
        <v>64</v>
      </c>
      <c r="T787" s="4" t="s">
        <v>65</v>
      </c>
      <c r="U787" s="4" t="s">
        <v>51</v>
      </c>
      <c r="V787" s="4" t="s">
        <v>1055</v>
      </c>
      <c r="W787" s="5">
        <v>0</v>
      </c>
    </row>
    <row r="788" spans="1:23" x14ac:dyDescent="0.3">
      <c r="A788" s="2" t="s">
        <v>4742</v>
      </c>
      <c r="B788" s="2" t="s">
        <v>1000</v>
      </c>
      <c r="C788" s="2" t="s">
        <v>4743</v>
      </c>
      <c r="D788" s="2" t="s">
        <v>4744</v>
      </c>
      <c r="E788" s="2" t="s">
        <v>4745</v>
      </c>
      <c r="F788" s="2" t="s">
        <v>4746</v>
      </c>
      <c r="G788" s="2" t="s">
        <v>394</v>
      </c>
      <c r="H788" s="2" t="s">
        <v>395</v>
      </c>
      <c r="I788" s="2" t="s">
        <v>31</v>
      </c>
      <c r="J788" s="2" t="s">
        <v>4747</v>
      </c>
      <c r="K788" s="2" t="s">
        <v>77</v>
      </c>
      <c r="L788" s="2">
        <v>3</v>
      </c>
      <c r="M788" s="3">
        <v>115.97</v>
      </c>
      <c r="N788" s="2" t="s">
        <v>78</v>
      </c>
      <c r="O788" s="3">
        <v>11.6</v>
      </c>
      <c r="P788" s="3">
        <v>0</v>
      </c>
      <c r="Q788" s="3">
        <v>8.8699999999999992</v>
      </c>
      <c r="R788" s="3">
        <v>113.24</v>
      </c>
      <c r="S788" s="2" t="s">
        <v>123</v>
      </c>
      <c r="T788" s="2" t="s">
        <v>173</v>
      </c>
      <c r="U788" s="2" t="s">
        <v>317</v>
      </c>
      <c r="V788" s="2"/>
      <c r="W788" s="3">
        <v>0</v>
      </c>
    </row>
    <row r="789" spans="1:23" x14ac:dyDescent="0.3">
      <c r="A789" s="4" t="s">
        <v>4748</v>
      </c>
      <c r="B789" s="4" t="s">
        <v>2130</v>
      </c>
      <c r="C789" s="4" t="s">
        <v>4749</v>
      </c>
      <c r="D789" s="4" t="s">
        <v>4750</v>
      </c>
      <c r="E789" s="4" t="s">
        <v>4751</v>
      </c>
      <c r="F789" s="4" t="s">
        <v>4752</v>
      </c>
      <c r="G789" s="4" t="s">
        <v>140</v>
      </c>
      <c r="H789" s="4" t="s">
        <v>141</v>
      </c>
      <c r="I789" s="4" t="s">
        <v>31</v>
      </c>
      <c r="J789" s="4" t="s">
        <v>4753</v>
      </c>
      <c r="K789" s="4" t="s">
        <v>48</v>
      </c>
      <c r="L789" s="4">
        <v>3</v>
      </c>
      <c r="M789" s="5">
        <v>198.95</v>
      </c>
      <c r="N789" s="4" t="s">
        <v>34</v>
      </c>
      <c r="O789" s="5">
        <v>0</v>
      </c>
      <c r="P789" s="5">
        <v>0</v>
      </c>
      <c r="Q789" s="5">
        <v>16.91</v>
      </c>
      <c r="R789" s="5">
        <v>215.86</v>
      </c>
      <c r="S789" s="4" t="s">
        <v>332</v>
      </c>
      <c r="T789" s="4" t="s">
        <v>36</v>
      </c>
      <c r="U789" s="4" t="s">
        <v>66</v>
      </c>
      <c r="V789" s="4" t="s">
        <v>1329</v>
      </c>
      <c r="W789" s="5">
        <v>0</v>
      </c>
    </row>
    <row r="790" spans="1:23" x14ac:dyDescent="0.3">
      <c r="A790" s="2" t="s">
        <v>4754</v>
      </c>
      <c r="B790" s="2" t="s">
        <v>758</v>
      </c>
      <c r="C790" s="2" t="s">
        <v>4755</v>
      </c>
      <c r="D790" s="2" t="s">
        <v>4756</v>
      </c>
      <c r="E790" s="2" t="s">
        <v>4757</v>
      </c>
      <c r="F790" s="2" t="s">
        <v>4758</v>
      </c>
      <c r="G790" s="2" t="s">
        <v>171</v>
      </c>
      <c r="H790" s="2" t="s">
        <v>88</v>
      </c>
      <c r="I790" s="2" t="s">
        <v>31</v>
      </c>
      <c r="J790" s="2" t="s">
        <v>1997</v>
      </c>
      <c r="K790" s="2" t="s">
        <v>143</v>
      </c>
      <c r="L790" s="2">
        <v>1</v>
      </c>
      <c r="M790" s="3">
        <v>129.99</v>
      </c>
      <c r="N790" s="2" t="s">
        <v>78</v>
      </c>
      <c r="O790" s="3">
        <v>13</v>
      </c>
      <c r="P790" s="3">
        <v>0</v>
      </c>
      <c r="Q790" s="3">
        <v>10.53</v>
      </c>
      <c r="R790" s="3">
        <v>127.52</v>
      </c>
      <c r="S790" s="2" t="s">
        <v>35</v>
      </c>
      <c r="T790" s="2" t="s">
        <v>99</v>
      </c>
      <c r="U790" s="2" t="s">
        <v>100</v>
      </c>
      <c r="V790" s="2"/>
      <c r="W790" s="3">
        <v>0</v>
      </c>
    </row>
    <row r="791" spans="1:23" x14ac:dyDescent="0.3">
      <c r="A791" s="4" t="s">
        <v>4759</v>
      </c>
      <c r="B791" s="4" t="s">
        <v>82</v>
      </c>
      <c r="C791" s="4" t="s">
        <v>4760</v>
      </c>
      <c r="D791" s="4" t="s">
        <v>4761</v>
      </c>
      <c r="E791" s="4" t="s">
        <v>4762</v>
      </c>
      <c r="F791" s="4" t="s">
        <v>4763</v>
      </c>
      <c r="G791" s="4" t="s">
        <v>394</v>
      </c>
      <c r="H791" s="4" t="s">
        <v>395</v>
      </c>
      <c r="I791" s="4" t="s">
        <v>31</v>
      </c>
      <c r="J791" s="4" t="s">
        <v>4764</v>
      </c>
      <c r="K791" s="4" t="s">
        <v>110</v>
      </c>
      <c r="L791" s="4">
        <v>2</v>
      </c>
      <c r="M791" s="5">
        <v>57.98</v>
      </c>
      <c r="N791" s="4" t="s">
        <v>163</v>
      </c>
      <c r="O791" s="5">
        <v>11.6</v>
      </c>
      <c r="P791" s="5">
        <v>5.99</v>
      </c>
      <c r="Q791" s="5">
        <v>3.94</v>
      </c>
      <c r="R791" s="5">
        <v>56.31</v>
      </c>
      <c r="S791" s="4" t="s">
        <v>123</v>
      </c>
      <c r="T791" s="4" t="s">
        <v>50</v>
      </c>
      <c r="U791" s="4" t="s">
        <v>66</v>
      </c>
      <c r="V791" s="4" t="s">
        <v>1589</v>
      </c>
      <c r="W791" s="5">
        <v>0</v>
      </c>
    </row>
    <row r="792" spans="1:23" x14ac:dyDescent="0.3">
      <c r="A792" s="2" t="s">
        <v>4765</v>
      </c>
      <c r="B792" s="2" t="s">
        <v>957</v>
      </c>
      <c r="C792" s="2" t="s">
        <v>4766</v>
      </c>
      <c r="D792" s="2" t="s">
        <v>4767</v>
      </c>
      <c r="E792" s="2" t="s">
        <v>4768</v>
      </c>
      <c r="F792" s="2" t="s">
        <v>4769</v>
      </c>
      <c r="G792" s="2" t="s">
        <v>59</v>
      </c>
      <c r="H792" s="2" t="s">
        <v>60</v>
      </c>
      <c r="I792" s="2" t="s">
        <v>31</v>
      </c>
      <c r="J792" s="2" t="s">
        <v>4770</v>
      </c>
      <c r="K792" s="2" t="s">
        <v>62</v>
      </c>
      <c r="L792" s="2">
        <v>3</v>
      </c>
      <c r="M792" s="3">
        <v>202.97</v>
      </c>
      <c r="N792" s="2" t="s">
        <v>78</v>
      </c>
      <c r="O792" s="3">
        <v>20.3</v>
      </c>
      <c r="P792" s="3">
        <v>0</v>
      </c>
      <c r="Q792" s="3">
        <v>15.53</v>
      </c>
      <c r="R792" s="3">
        <v>198.2</v>
      </c>
      <c r="S792" s="2" t="s">
        <v>35</v>
      </c>
      <c r="T792" s="2" t="s">
        <v>50</v>
      </c>
      <c r="U792" s="2" t="s">
        <v>66</v>
      </c>
      <c r="V792" s="2" t="s">
        <v>734</v>
      </c>
      <c r="W792" s="3">
        <v>0</v>
      </c>
    </row>
    <row r="793" spans="1:23" x14ac:dyDescent="0.3">
      <c r="A793" s="4" t="s">
        <v>4771</v>
      </c>
      <c r="B793" s="4" t="s">
        <v>235</v>
      </c>
      <c r="C793" s="4" t="s">
        <v>4772</v>
      </c>
      <c r="D793" s="4" t="s">
        <v>4773</v>
      </c>
      <c r="E793" s="4" t="s">
        <v>4774</v>
      </c>
      <c r="F793" s="4" t="s">
        <v>4775</v>
      </c>
      <c r="G793" s="4" t="s">
        <v>676</v>
      </c>
      <c r="H793" s="4" t="s">
        <v>677</v>
      </c>
      <c r="I793" s="4" t="s">
        <v>31</v>
      </c>
      <c r="J793" s="4" t="s">
        <v>4776</v>
      </c>
      <c r="K793" s="4" t="s">
        <v>110</v>
      </c>
      <c r="L793" s="4">
        <v>3</v>
      </c>
      <c r="M793" s="5">
        <v>224.95</v>
      </c>
      <c r="N793" s="4" t="s">
        <v>34</v>
      </c>
      <c r="O793" s="5">
        <v>0</v>
      </c>
      <c r="P793" s="5">
        <v>0</v>
      </c>
      <c r="Q793" s="5">
        <v>19.12</v>
      </c>
      <c r="R793" s="5">
        <v>244.07</v>
      </c>
      <c r="S793" s="4" t="s">
        <v>64</v>
      </c>
      <c r="T793" s="4" t="s">
        <v>65</v>
      </c>
      <c r="U793" s="4" t="s">
        <v>51</v>
      </c>
      <c r="V793" s="4" t="s">
        <v>219</v>
      </c>
      <c r="W793" s="5">
        <v>0</v>
      </c>
    </row>
    <row r="794" spans="1:23" x14ac:dyDescent="0.3">
      <c r="A794" s="2" t="s">
        <v>4777</v>
      </c>
      <c r="B794" s="2" t="s">
        <v>777</v>
      </c>
      <c r="C794" s="2" t="s">
        <v>4778</v>
      </c>
      <c r="D794" s="2" t="s">
        <v>4779</v>
      </c>
      <c r="E794" s="2" t="s">
        <v>4780</v>
      </c>
      <c r="F794" s="2" t="s">
        <v>4781</v>
      </c>
      <c r="G794" s="2" t="s">
        <v>180</v>
      </c>
      <c r="H794" s="2" t="s">
        <v>181</v>
      </c>
      <c r="I794" s="2" t="s">
        <v>31</v>
      </c>
      <c r="J794" s="2" t="s">
        <v>4782</v>
      </c>
      <c r="K794" s="2" t="s">
        <v>33</v>
      </c>
      <c r="L794" s="2">
        <v>4</v>
      </c>
      <c r="M794" s="3">
        <v>235.94</v>
      </c>
      <c r="N794" s="2" t="s">
        <v>78</v>
      </c>
      <c r="O794" s="3">
        <v>23.59</v>
      </c>
      <c r="P794" s="3">
        <v>0</v>
      </c>
      <c r="Q794" s="3">
        <v>12.74</v>
      </c>
      <c r="R794" s="3">
        <v>225.09</v>
      </c>
      <c r="S794" s="2" t="s">
        <v>123</v>
      </c>
      <c r="T794" s="2" t="s">
        <v>99</v>
      </c>
      <c r="U794" s="2" t="s">
        <v>66</v>
      </c>
      <c r="V794" s="2" t="s">
        <v>296</v>
      </c>
      <c r="W794" s="3">
        <v>0</v>
      </c>
    </row>
    <row r="795" spans="1:23" x14ac:dyDescent="0.3">
      <c r="A795" s="4" t="s">
        <v>4783</v>
      </c>
      <c r="B795" s="4" t="s">
        <v>447</v>
      </c>
      <c r="C795" s="4" t="s">
        <v>4784</v>
      </c>
      <c r="D795" s="4" t="s">
        <v>1956</v>
      </c>
      <c r="E795" s="4" t="s">
        <v>4785</v>
      </c>
      <c r="F795" s="4" t="s">
        <v>4786</v>
      </c>
      <c r="G795" s="4" t="s">
        <v>242</v>
      </c>
      <c r="H795" s="4" t="s">
        <v>243</v>
      </c>
      <c r="I795" s="4" t="s">
        <v>31</v>
      </c>
      <c r="J795" s="4" t="s">
        <v>4787</v>
      </c>
      <c r="K795" s="4" t="s">
        <v>143</v>
      </c>
      <c r="L795" s="4">
        <v>2</v>
      </c>
      <c r="M795" s="5">
        <v>179.97</v>
      </c>
      <c r="N795" s="4" t="s">
        <v>152</v>
      </c>
      <c r="O795" s="5">
        <v>9</v>
      </c>
      <c r="P795" s="5">
        <v>0</v>
      </c>
      <c r="Q795" s="5">
        <v>15.39</v>
      </c>
      <c r="R795" s="5">
        <v>186.36</v>
      </c>
      <c r="S795" s="4" t="s">
        <v>35</v>
      </c>
      <c r="T795" s="4" t="s">
        <v>144</v>
      </c>
      <c r="U795" s="4" t="s">
        <v>66</v>
      </c>
      <c r="V795" s="4" t="s">
        <v>90</v>
      </c>
      <c r="W795" s="5">
        <v>0</v>
      </c>
    </row>
    <row r="796" spans="1:23" x14ac:dyDescent="0.3">
      <c r="A796" s="2" t="s">
        <v>4788</v>
      </c>
      <c r="B796" s="2" t="s">
        <v>1539</v>
      </c>
      <c r="C796" s="2" t="s">
        <v>4789</v>
      </c>
      <c r="D796" s="2" t="s">
        <v>4790</v>
      </c>
      <c r="E796" s="2" t="s">
        <v>4791</v>
      </c>
      <c r="F796" s="2" t="s">
        <v>4792</v>
      </c>
      <c r="G796" s="2" t="s">
        <v>692</v>
      </c>
      <c r="H796" s="2" t="s">
        <v>693</v>
      </c>
      <c r="I796" s="2" t="s">
        <v>31</v>
      </c>
      <c r="J796" s="2" t="s">
        <v>379</v>
      </c>
      <c r="K796" s="2" t="s">
        <v>209</v>
      </c>
      <c r="L796" s="2">
        <v>1</v>
      </c>
      <c r="M796" s="3">
        <v>89.99</v>
      </c>
      <c r="N796" s="2" t="s">
        <v>49</v>
      </c>
      <c r="O796" s="3">
        <v>13.5</v>
      </c>
      <c r="P796" s="3">
        <v>0</v>
      </c>
      <c r="Q796" s="3">
        <v>4.59</v>
      </c>
      <c r="R796" s="3">
        <v>81.08</v>
      </c>
      <c r="S796" s="2" t="s">
        <v>123</v>
      </c>
      <c r="T796" s="2" t="s">
        <v>183</v>
      </c>
      <c r="U796" s="2" t="s">
        <v>66</v>
      </c>
      <c r="V796" s="2" t="s">
        <v>2616</v>
      </c>
      <c r="W796" s="3">
        <v>0</v>
      </c>
    </row>
    <row r="797" spans="1:23" x14ac:dyDescent="0.3">
      <c r="A797" s="4" t="s">
        <v>4793</v>
      </c>
      <c r="B797" s="4" t="s">
        <v>309</v>
      </c>
      <c r="C797" s="4" t="s">
        <v>4794</v>
      </c>
      <c r="D797" s="4" t="s">
        <v>4795</v>
      </c>
      <c r="E797" s="4" t="s">
        <v>4796</v>
      </c>
      <c r="F797" s="4" t="s">
        <v>4797</v>
      </c>
      <c r="G797" s="4" t="s">
        <v>347</v>
      </c>
      <c r="H797" s="4" t="s">
        <v>60</v>
      </c>
      <c r="I797" s="4" t="s">
        <v>31</v>
      </c>
      <c r="J797" s="4" t="s">
        <v>4798</v>
      </c>
      <c r="K797" s="4" t="s">
        <v>122</v>
      </c>
      <c r="L797" s="4">
        <v>2</v>
      </c>
      <c r="M797" s="5">
        <v>88.98</v>
      </c>
      <c r="N797" s="4" t="s">
        <v>152</v>
      </c>
      <c r="O797" s="5">
        <v>4.45</v>
      </c>
      <c r="P797" s="5">
        <v>0</v>
      </c>
      <c r="Q797" s="5">
        <v>5.92</v>
      </c>
      <c r="R797" s="5">
        <v>90.45</v>
      </c>
      <c r="S797" s="4" t="s">
        <v>35</v>
      </c>
      <c r="T797" s="4" t="s">
        <v>99</v>
      </c>
      <c r="U797" s="4" t="s">
        <v>66</v>
      </c>
      <c r="V797" s="4" t="s">
        <v>2915</v>
      </c>
      <c r="W797" s="5">
        <v>0</v>
      </c>
    </row>
    <row r="798" spans="1:23" x14ac:dyDescent="0.3">
      <c r="A798" s="2" t="s">
        <v>4799</v>
      </c>
      <c r="B798" s="2" t="s">
        <v>2130</v>
      </c>
      <c r="C798" s="2" t="s">
        <v>4800</v>
      </c>
      <c r="D798" s="2" t="s">
        <v>4801</v>
      </c>
      <c r="E798" s="2" t="s">
        <v>4802</v>
      </c>
      <c r="F798" s="2" t="s">
        <v>4803</v>
      </c>
      <c r="G798" s="2" t="s">
        <v>224</v>
      </c>
      <c r="H798" s="2" t="s">
        <v>225</v>
      </c>
      <c r="I798" s="2" t="s">
        <v>31</v>
      </c>
      <c r="J798" s="2" t="s">
        <v>4804</v>
      </c>
      <c r="K798" s="2" t="s">
        <v>110</v>
      </c>
      <c r="L798" s="2">
        <v>2</v>
      </c>
      <c r="M798" s="3">
        <v>57.98</v>
      </c>
      <c r="N798" s="2" t="s">
        <v>34</v>
      </c>
      <c r="O798" s="3">
        <v>0</v>
      </c>
      <c r="P798" s="3">
        <v>7.99</v>
      </c>
      <c r="Q798" s="3">
        <v>4.6399999999999997</v>
      </c>
      <c r="R798" s="3">
        <v>70.61</v>
      </c>
      <c r="S798" s="2" t="s">
        <v>64</v>
      </c>
      <c r="T798" s="2" t="s">
        <v>36</v>
      </c>
      <c r="U798" s="2" t="s">
        <v>37</v>
      </c>
      <c r="V798" s="2" t="s">
        <v>2957</v>
      </c>
      <c r="W798" s="3">
        <v>70.61</v>
      </c>
    </row>
    <row r="799" spans="1:23" x14ac:dyDescent="0.3">
      <c r="A799" s="4" t="s">
        <v>4805</v>
      </c>
      <c r="B799" s="4" t="s">
        <v>2950</v>
      </c>
      <c r="C799" s="4" t="s">
        <v>4806</v>
      </c>
      <c r="D799" s="4" t="s">
        <v>4807</v>
      </c>
      <c r="E799" s="4" t="s">
        <v>4808</v>
      </c>
      <c r="F799" s="4" t="s">
        <v>4809</v>
      </c>
      <c r="G799" s="4" t="s">
        <v>207</v>
      </c>
      <c r="H799" s="4" t="s">
        <v>141</v>
      </c>
      <c r="I799" s="4" t="s">
        <v>31</v>
      </c>
      <c r="J799" s="4" t="s">
        <v>4810</v>
      </c>
      <c r="K799" s="4" t="s">
        <v>33</v>
      </c>
      <c r="L799" s="4">
        <v>2</v>
      </c>
      <c r="M799" s="5">
        <v>78.98</v>
      </c>
      <c r="N799" s="4" t="s">
        <v>78</v>
      </c>
      <c r="O799" s="5">
        <v>7.9</v>
      </c>
      <c r="P799" s="5">
        <v>0</v>
      </c>
      <c r="Q799" s="5">
        <v>5.69</v>
      </c>
      <c r="R799" s="5">
        <v>76.77</v>
      </c>
      <c r="S799" s="4" t="s">
        <v>35</v>
      </c>
      <c r="T799" s="4" t="s">
        <v>99</v>
      </c>
      <c r="U799" s="4" t="s">
        <v>66</v>
      </c>
      <c r="V799" s="4" t="s">
        <v>744</v>
      </c>
      <c r="W799" s="5">
        <v>0</v>
      </c>
    </row>
    <row r="800" spans="1:23" x14ac:dyDescent="0.3">
      <c r="A800" s="2" t="s">
        <v>4811</v>
      </c>
      <c r="B800" s="2" t="s">
        <v>633</v>
      </c>
      <c r="C800" s="2" t="s">
        <v>4812</v>
      </c>
      <c r="D800" s="2" t="s">
        <v>814</v>
      </c>
      <c r="E800" s="2" t="s">
        <v>4813</v>
      </c>
      <c r="F800" s="2" t="s">
        <v>4814</v>
      </c>
      <c r="G800" s="2" t="s">
        <v>107</v>
      </c>
      <c r="H800" s="2" t="s">
        <v>108</v>
      </c>
      <c r="I800" s="2" t="s">
        <v>31</v>
      </c>
      <c r="J800" s="2" t="s">
        <v>4815</v>
      </c>
      <c r="K800" s="2" t="s">
        <v>679</v>
      </c>
      <c r="L800" s="2">
        <v>3</v>
      </c>
      <c r="M800" s="3">
        <v>219.95</v>
      </c>
      <c r="N800" s="2" t="s">
        <v>34</v>
      </c>
      <c r="O800" s="3">
        <v>0</v>
      </c>
      <c r="P800" s="3">
        <v>0</v>
      </c>
      <c r="Q800" s="3">
        <v>22</v>
      </c>
      <c r="R800" s="3">
        <v>241.95</v>
      </c>
      <c r="S800" s="2" t="s">
        <v>64</v>
      </c>
      <c r="T800" s="2" t="s">
        <v>99</v>
      </c>
      <c r="U800" s="2" t="s">
        <v>66</v>
      </c>
      <c r="V800" s="2" t="s">
        <v>1341</v>
      </c>
      <c r="W800" s="3">
        <v>0</v>
      </c>
    </row>
    <row r="801" spans="1:23" x14ac:dyDescent="0.3">
      <c r="A801" s="4" t="s">
        <v>4816</v>
      </c>
      <c r="B801" s="4" t="s">
        <v>943</v>
      </c>
      <c r="C801" s="4" t="s">
        <v>4817</v>
      </c>
      <c r="D801" s="4" t="s">
        <v>4298</v>
      </c>
      <c r="E801" s="4" t="s">
        <v>4818</v>
      </c>
      <c r="F801" s="4" t="s">
        <v>4819</v>
      </c>
      <c r="G801" s="4" t="s">
        <v>74</v>
      </c>
      <c r="H801" s="4" t="s">
        <v>75</v>
      </c>
      <c r="I801" s="4" t="s">
        <v>31</v>
      </c>
      <c r="J801" s="4" t="s">
        <v>4820</v>
      </c>
      <c r="K801" s="4" t="s">
        <v>364</v>
      </c>
      <c r="L801" s="4">
        <v>2</v>
      </c>
      <c r="M801" s="5">
        <v>134.97999999999999</v>
      </c>
      <c r="N801" s="4" t="s">
        <v>34</v>
      </c>
      <c r="O801" s="5">
        <v>0</v>
      </c>
      <c r="P801" s="5">
        <v>0</v>
      </c>
      <c r="Q801" s="5">
        <v>13.5</v>
      </c>
      <c r="R801" s="5">
        <v>148.47999999999999</v>
      </c>
      <c r="S801" s="4" t="s">
        <v>64</v>
      </c>
      <c r="T801" s="4" t="s">
        <v>173</v>
      </c>
      <c r="U801" s="4" t="s">
        <v>66</v>
      </c>
      <c r="V801" s="4" t="s">
        <v>930</v>
      </c>
      <c r="W801" s="5">
        <v>0</v>
      </c>
    </row>
    <row r="802" spans="1:23" x14ac:dyDescent="0.3">
      <c r="A802" s="2" t="s">
        <v>4821</v>
      </c>
      <c r="B802" s="2" t="s">
        <v>965</v>
      </c>
      <c r="C802" s="2" t="s">
        <v>4822</v>
      </c>
      <c r="D802" s="2" t="s">
        <v>3011</v>
      </c>
      <c r="E802" s="2" t="s">
        <v>4823</v>
      </c>
      <c r="F802" s="2" t="s">
        <v>4824</v>
      </c>
      <c r="G802" s="2" t="s">
        <v>676</v>
      </c>
      <c r="H802" s="2" t="s">
        <v>677</v>
      </c>
      <c r="I802" s="2" t="s">
        <v>31</v>
      </c>
      <c r="J802" s="2" t="s">
        <v>308</v>
      </c>
      <c r="K802" s="2" t="s">
        <v>62</v>
      </c>
      <c r="L802" s="2">
        <v>1</v>
      </c>
      <c r="M802" s="3">
        <v>29.99</v>
      </c>
      <c r="N802" s="2" t="s">
        <v>34</v>
      </c>
      <c r="O802" s="3">
        <v>0</v>
      </c>
      <c r="P802" s="3">
        <v>9.99</v>
      </c>
      <c r="Q802" s="3">
        <v>2.1</v>
      </c>
      <c r="R802" s="3">
        <v>42.08</v>
      </c>
      <c r="S802" s="2" t="s">
        <v>35</v>
      </c>
      <c r="T802" s="2" t="s">
        <v>99</v>
      </c>
      <c r="U802" s="2" t="s">
        <v>66</v>
      </c>
      <c r="V802" s="2" t="s">
        <v>2671</v>
      </c>
      <c r="W802" s="3">
        <v>0</v>
      </c>
    </row>
    <row r="803" spans="1:23" x14ac:dyDescent="0.3">
      <c r="A803" s="4" t="s">
        <v>4825</v>
      </c>
      <c r="B803" s="4" t="s">
        <v>2645</v>
      </c>
      <c r="C803" s="4" t="s">
        <v>4826</v>
      </c>
      <c r="D803" s="4" t="s">
        <v>3138</v>
      </c>
      <c r="E803" s="4" t="s">
        <v>4827</v>
      </c>
      <c r="F803" s="4" t="s">
        <v>4828</v>
      </c>
      <c r="G803" s="4" t="s">
        <v>224</v>
      </c>
      <c r="H803" s="4" t="s">
        <v>225</v>
      </c>
      <c r="I803" s="4" t="s">
        <v>31</v>
      </c>
      <c r="J803" s="4" t="s">
        <v>371</v>
      </c>
      <c r="K803" s="4" t="s">
        <v>122</v>
      </c>
      <c r="L803" s="4">
        <v>1</v>
      </c>
      <c r="M803" s="5">
        <v>109.99</v>
      </c>
      <c r="N803" s="4" t="s">
        <v>78</v>
      </c>
      <c r="O803" s="5">
        <v>11</v>
      </c>
      <c r="P803" s="5">
        <v>0</v>
      </c>
      <c r="Q803" s="5">
        <v>8.41</v>
      </c>
      <c r="R803" s="5">
        <v>107.4</v>
      </c>
      <c r="S803" s="4" t="s">
        <v>35</v>
      </c>
      <c r="T803" s="4" t="s">
        <v>36</v>
      </c>
      <c r="U803" s="4" t="s">
        <v>37</v>
      </c>
      <c r="V803" s="4" t="s">
        <v>1187</v>
      </c>
      <c r="W803" s="5">
        <v>107.4</v>
      </c>
    </row>
    <row r="804" spans="1:23" x14ac:dyDescent="0.3">
      <c r="A804" s="2" t="s">
        <v>4829</v>
      </c>
      <c r="B804" s="2" t="s">
        <v>277</v>
      </c>
      <c r="C804" s="2" t="s">
        <v>4830</v>
      </c>
      <c r="D804" s="2" t="s">
        <v>2311</v>
      </c>
      <c r="E804" s="2" t="s">
        <v>4831</v>
      </c>
      <c r="F804" s="2" t="s">
        <v>4832</v>
      </c>
      <c r="G804" s="2" t="s">
        <v>242</v>
      </c>
      <c r="H804" s="2" t="s">
        <v>243</v>
      </c>
      <c r="I804" s="2" t="s">
        <v>31</v>
      </c>
      <c r="J804" s="2" t="s">
        <v>4833</v>
      </c>
      <c r="K804" s="2" t="s">
        <v>33</v>
      </c>
      <c r="L804" s="2">
        <v>3</v>
      </c>
      <c r="M804" s="3">
        <v>135.97</v>
      </c>
      <c r="N804" s="2" t="s">
        <v>78</v>
      </c>
      <c r="O804" s="3">
        <v>13.6</v>
      </c>
      <c r="P804" s="3">
        <v>0</v>
      </c>
      <c r="Q804" s="3">
        <v>9.7899999999999991</v>
      </c>
      <c r="R804" s="3">
        <v>132.16</v>
      </c>
      <c r="S804" s="2" t="s">
        <v>123</v>
      </c>
      <c r="T804" s="2" t="s">
        <v>36</v>
      </c>
      <c r="U804" s="2" t="s">
        <v>66</v>
      </c>
      <c r="V804" s="2" t="s">
        <v>366</v>
      </c>
      <c r="W804" s="3">
        <v>0</v>
      </c>
    </row>
    <row r="805" spans="1:23" x14ac:dyDescent="0.3">
      <c r="A805" s="4" t="s">
        <v>4834</v>
      </c>
      <c r="B805" s="4" t="s">
        <v>1187</v>
      </c>
      <c r="C805" s="4" t="s">
        <v>4835</v>
      </c>
      <c r="D805" s="4" t="s">
        <v>4836</v>
      </c>
      <c r="E805" s="4" t="s">
        <v>4837</v>
      </c>
      <c r="F805" s="4" t="s">
        <v>4838</v>
      </c>
      <c r="G805" s="4" t="s">
        <v>251</v>
      </c>
      <c r="H805" s="4" t="s">
        <v>252</v>
      </c>
      <c r="I805" s="4" t="s">
        <v>31</v>
      </c>
      <c r="J805" s="4" t="s">
        <v>4839</v>
      </c>
      <c r="K805" s="4" t="s">
        <v>33</v>
      </c>
      <c r="L805" s="4">
        <v>2</v>
      </c>
      <c r="M805" s="5">
        <v>116.97</v>
      </c>
      <c r="N805" s="4" t="s">
        <v>49</v>
      </c>
      <c r="O805" s="5">
        <v>17.55</v>
      </c>
      <c r="P805" s="5">
        <v>0</v>
      </c>
      <c r="Q805" s="5">
        <v>8.9499999999999993</v>
      </c>
      <c r="R805" s="5">
        <v>108.37</v>
      </c>
      <c r="S805" s="4" t="s">
        <v>332</v>
      </c>
      <c r="T805" s="4" t="s">
        <v>50</v>
      </c>
      <c r="U805" s="4" t="s">
        <v>100</v>
      </c>
      <c r="V805" s="4"/>
      <c r="W805" s="5">
        <v>0</v>
      </c>
    </row>
    <row r="806" spans="1:23" x14ac:dyDescent="0.3">
      <c r="A806" s="2" t="s">
        <v>4840</v>
      </c>
      <c r="B806" s="2" t="s">
        <v>649</v>
      </c>
      <c r="C806" s="2" t="s">
        <v>4841</v>
      </c>
      <c r="D806" s="2" t="s">
        <v>4842</v>
      </c>
      <c r="E806" s="2" t="s">
        <v>4843</v>
      </c>
      <c r="F806" s="2" t="s">
        <v>4844</v>
      </c>
      <c r="G806" s="2" t="s">
        <v>59</v>
      </c>
      <c r="H806" s="2" t="s">
        <v>60</v>
      </c>
      <c r="I806" s="2" t="s">
        <v>31</v>
      </c>
      <c r="J806" s="2" t="s">
        <v>340</v>
      </c>
      <c r="K806" s="2" t="s">
        <v>209</v>
      </c>
      <c r="L806" s="2">
        <v>1</v>
      </c>
      <c r="M806" s="3">
        <v>269.97000000000003</v>
      </c>
      <c r="N806" s="2" t="s">
        <v>34</v>
      </c>
      <c r="O806" s="3">
        <v>0</v>
      </c>
      <c r="P806" s="3">
        <v>0</v>
      </c>
      <c r="Q806" s="3">
        <v>21.6</v>
      </c>
      <c r="R806" s="3">
        <v>291.57</v>
      </c>
      <c r="S806" s="2" t="s">
        <v>123</v>
      </c>
      <c r="T806" s="2" t="s">
        <v>144</v>
      </c>
      <c r="U806" s="2" t="s">
        <v>66</v>
      </c>
      <c r="V806" s="2" t="s">
        <v>202</v>
      </c>
      <c r="W806" s="3">
        <v>0</v>
      </c>
    </row>
    <row r="807" spans="1:23" x14ac:dyDescent="0.3">
      <c r="A807" s="4" t="s">
        <v>4845</v>
      </c>
      <c r="B807" s="4" t="s">
        <v>1477</v>
      </c>
      <c r="C807" s="4" t="s">
        <v>4846</v>
      </c>
      <c r="D807" s="4" t="s">
        <v>4847</v>
      </c>
      <c r="E807" s="4" t="s">
        <v>4848</v>
      </c>
      <c r="F807" s="4" t="s">
        <v>4849</v>
      </c>
      <c r="G807" s="4" t="s">
        <v>29</v>
      </c>
      <c r="H807" s="4" t="s">
        <v>30</v>
      </c>
      <c r="I807" s="4" t="s">
        <v>31</v>
      </c>
      <c r="J807" s="4" t="s">
        <v>4850</v>
      </c>
      <c r="K807" s="4" t="s">
        <v>77</v>
      </c>
      <c r="L807" s="4">
        <v>2</v>
      </c>
      <c r="M807" s="5">
        <v>69.98</v>
      </c>
      <c r="N807" s="4" t="s">
        <v>34</v>
      </c>
      <c r="O807" s="5">
        <v>0</v>
      </c>
      <c r="P807" s="5">
        <v>7.99</v>
      </c>
      <c r="Q807" s="5">
        <v>5.95</v>
      </c>
      <c r="R807" s="5">
        <v>83.92</v>
      </c>
      <c r="S807" s="4" t="s">
        <v>79</v>
      </c>
      <c r="T807" s="4" t="s">
        <v>65</v>
      </c>
      <c r="U807" s="4" t="s">
        <v>66</v>
      </c>
      <c r="V807" s="4" t="s">
        <v>311</v>
      </c>
      <c r="W807" s="5">
        <v>0</v>
      </c>
    </row>
    <row r="808" spans="1:23" x14ac:dyDescent="0.3">
      <c r="A808" s="2" t="s">
        <v>4851</v>
      </c>
      <c r="B808" s="2" t="s">
        <v>3009</v>
      </c>
      <c r="C808" s="2" t="s">
        <v>4852</v>
      </c>
      <c r="D808" s="2" t="s">
        <v>4853</v>
      </c>
      <c r="E808" s="2" t="s">
        <v>4854</v>
      </c>
      <c r="F808" s="2" t="s">
        <v>4855</v>
      </c>
      <c r="G808" s="2" t="s">
        <v>251</v>
      </c>
      <c r="H808" s="2" t="s">
        <v>252</v>
      </c>
      <c r="I808" s="2" t="s">
        <v>31</v>
      </c>
      <c r="J808" s="2" t="s">
        <v>162</v>
      </c>
      <c r="K808" s="2" t="s">
        <v>62</v>
      </c>
      <c r="L808" s="2">
        <v>2</v>
      </c>
      <c r="M808" s="3">
        <v>69.98</v>
      </c>
      <c r="N808" s="2" t="s">
        <v>34</v>
      </c>
      <c r="O808" s="3">
        <v>0</v>
      </c>
      <c r="P808" s="3">
        <v>9.99</v>
      </c>
      <c r="Q808" s="3">
        <v>4.2</v>
      </c>
      <c r="R808" s="3">
        <v>84.17</v>
      </c>
      <c r="S808" s="2" t="s">
        <v>332</v>
      </c>
      <c r="T808" s="2" t="s">
        <v>99</v>
      </c>
      <c r="U808" s="2" t="s">
        <v>66</v>
      </c>
      <c r="V808" s="2" t="s">
        <v>986</v>
      </c>
      <c r="W808" s="3">
        <v>0</v>
      </c>
    </row>
    <row r="809" spans="1:23" x14ac:dyDescent="0.3">
      <c r="A809" s="4" t="s">
        <v>4856</v>
      </c>
      <c r="B809" s="4" t="s">
        <v>932</v>
      </c>
      <c r="C809" s="4" t="s">
        <v>4857</v>
      </c>
      <c r="D809" s="4" t="s">
        <v>4858</v>
      </c>
      <c r="E809" s="4" t="s">
        <v>4859</v>
      </c>
      <c r="F809" s="4" t="s">
        <v>4860</v>
      </c>
      <c r="G809" s="4" t="s">
        <v>119</v>
      </c>
      <c r="H809" s="4" t="s">
        <v>120</v>
      </c>
      <c r="I809" s="4" t="s">
        <v>31</v>
      </c>
      <c r="J809" s="4" t="s">
        <v>4861</v>
      </c>
      <c r="K809" s="4" t="s">
        <v>209</v>
      </c>
      <c r="L809" s="4">
        <v>2</v>
      </c>
      <c r="M809" s="5">
        <v>149.97</v>
      </c>
      <c r="N809" s="4" t="s">
        <v>78</v>
      </c>
      <c r="O809" s="5">
        <v>15</v>
      </c>
      <c r="P809" s="5">
        <v>0</v>
      </c>
      <c r="Q809" s="5">
        <v>13.5</v>
      </c>
      <c r="R809" s="5">
        <v>148.47</v>
      </c>
      <c r="S809" s="4" t="s">
        <v>35</v>
      </c>
      <c r="T809" s="4" t="s">
        <v>173</v>
      </c>
      <c r="U809" s="4" t="s">
        <v>66</v>
      </c>
      <c r="V809" s="4" t="s">
        <v>3746</v>
      </c>
      <c r="W809" s="5">
        <v>0</v>
      </c>
    </row>
    <row r="810" spans="1:23" x14ac:dyDescent="0.3">
      <c r="A810" s="2" t="s">
        <v>4862</v>
      </c>
      <c r="B810" s="2" t="s">
        <v>92</v>
      </c>
      <c r="C810" s="2" t="s">
        <v>4863</v>
      </c>
      <c r="D810" s="2" t="s">
        <v>2266</v>
      </c>
      <c r="E810" s="2" t="s">
        <v>4864</v>
      </c>
      <c r="F810" s="2" t="s">
        <v>4865</v>
      </c>
      <c r="G810" s="2" t="s">
        <v>242</v>
      </c>
      <c r="H810" s="2" t="s">
        <v>243</v>
      </c>
      <c r="I810" s="2" t="s">
        <v>31</v>
      </c>
      <c r="J810" s="2" t="s">
        <v>4866</v>
      </c>
      <c r="K810" s="2" t="s">
        <v>364</v>
      </c>
      <c r="L810" s="2">
        <v>3</v>
      </c>
      <c r="M810" s="3">
        <v>112.96</v>
      </c>
      <c r="N810" s="2" t="s">
        <v>34</v>
      </c>
      <c r="O810" s="3">
        <v>0</v>
      </c>
      <c r="P810" s="3">
        <v>0</v>
      </c>
      <c r="Q810" s="3">
        <v>9.0399999999999991</v>
      </c>
      <c r="R810" s="3">
        <v>122</v>
      </c>
      <c r="S810" s="2" t="s">
        <v>123</v>
      </c>
      <c r="T810" s="2" t="s">
        <v>36</v>
      </c>
      <c r="U810" s="2" t="s">
        <v>100</v>
      </c>
      <c r="V810" s="2"/>
      <c r="W810" s="3">
        <v>0</v>
      </c>
    </row>
    <row r="811" spans="1:23" x14ac:dyDescent="0.3">
      <c r="A811" s="4" t="s">
        <v>4867</v>
      </c>
      <c r="B811" s="4" t="s">
        <v>945</v>
      </c>
      <c r="C811" s="4" t="s">
        <v>4868</v>
      </c>
      <c r="D811" s="4" t="s">
        <v>4869</v>
      </c>
      <c r="E811" s="4" t="s">
        <v>4870</v>
      </c>
      <c r="F811" s="4" t="s">
        <v>4871</v>
      </c>
      <c r="G811" s="4" t="s">
        <v>29</v>
      </c>
      <c r="H811" s="4" t="s">
        <v>30</v>
      </c>
      <c r="I811" s="4" t="s">
        <v>31</v>
      </c>
      <c r="J811" s="4" t="s">
        <v>1141</v>
      </c>
      <c r="K811" s="4" t="s">
        <v>122</v>
      </c>
      <c r="L811" s="4">
        <v>1</v>
      </c>
      <c r="M811" s="5">
        <v>74.989999999999995</v>
      </c>
      <c r="N811" s="4" t="s">
        <v>78</v>
      </c>
      <c r="O811" s="5">
        <v>7.5</v>
      </c>
      <c r="P811" s="5">
        <v>9.99</v>
      </c>
      <c r="Q811" s="5">
        <v>5.4</v>
      </c>
      <c r="R811" s="5">
        <v>82.88</v>
      </c>
      <c r="S811" s="4" t="s">
        <v>332</v>
      </c>
      <c r="T811" s="4" t="s">
        <v>99</v>
      </c>
      <c r="U811" s="4" t="s">
        <v>100</v>
      </c>
      <c r="V811" s="4"/>
      <c r="W811" s="5">
        <v>0</v>
      </c>
    </row>
    <row r="812" spans="1:23" x14ac:dyDescent="0.3">
      <c r="A812" s="2" t="s">
        <v>4872</v>
      </c>
      <c r="B812" s="2" t="s">
        <v>1548</v>
      </c>
      <c r="C812" s="2" t="s">
        <v>4873</v>
      </c>
      <c r="D812" s="2" t="s">
        <v>4874</v>
      </c>
      <c r="E812" s="2" t="s">
        <v>4875</v>
      </c>
      <c r="F812" s="2" t="s">
        <v>4876</v>
      </c>
      <c r="G812" s="2" t="s">
        <v>180</v>
      </c>
      <c r="H812" s="2" t="s">
        <v>181</v>
      </c>
      <c r="I812" s="2" t="s">
        <v>31</v>
      </c>
      <c r="J812" s="2" t="s">
        <v>1269</v>
      </c>
      <c r="K812" s="2" t="s">
        <v>77</v>
      </c>
      <c r="L812" s="2">
        <v>1</v>
      </c>
      <c r="M812" s="3">
        <v>27.99</v>
      </c>
      <c r="N812" s="2" t="s">
        <v>163</v>
      </c>
      <c r="O812" s="3">
        <v>5.6</v>
      </c>
      <c r="P812" s="3">
        <v>5.99</v>
      </c>
      <c r="Q812" s="3">
        <v>1.34</v>
      </c>
      <c r="R812" s="3">
        <v>29.72</v>
      </c>
      <c r="S812" s="2" t="s">
        <v>35</v>
      </c>
      <c r="T812" s="2" t="s">
        <v>65</v>
      </c>
      <c r="U812" s="2" t="s">
        <v>66</v>
      </c>
      <c r="V812" s="2" t="s">
        <v>696</v>
      </c>
      <c r="W812" s="3">
        <v>0</v>
      </c>
    </row>
    <row r="813" spans="1:23" x14ac:dyDescent="0.3">
      <c r="A813" s="4" t="s">
        <v>4877</v>
      </c>
      <c r="B813" s="4" t="s">
        <v>1377</v>
      </c>
      <c r="C813" s="4" t="s">
        <v>4878</v>
      </c>
      <c r="D813" s="4" t="s">
        <v>2473</v>
      </c>
      <c r="E813" s="4" t="s">
        <v>4879</v>
      </c>
      <c r="F813" s="4" t="s">
        <v>4880</v>
      </c>
      <c r="G813" s="4" t="s">
        <v>224</v>
      </c>
      <c r="H813" s="4" t="s">
        <v>225</v>
      </c>
      <c r="I813" s="4" t="s">
        <v>31</v>
      </c>
      <c r="J813" s="4" t="s">
        <v>452</v>
      </c>
      <c r="K813" s="4" t="s">
        <v>209</v>
      </c>
      <c r="L813" s="4">
        <v>1</v>
      </c>
      <c r="M813" s="5">
        <v>119.97</v>
      </c>
      <c r="N813" s="4" t="s">
        <v>63</v>
      </c>
      <c r="O813" s="5">
        <v>29.99</v>
      </c>
      <c r="P813" s="5">
        <v>0</v>
      </c>
      <c r="Q813" s="5">
        <v>5.4</v>
      </c>
      <c r="R813" s="5">
        <v>95.38</v>
      </c>
      <c r="S813" s="4" t="s">
        <v>123</v>
      </c>
      <c r="T813" s="4" t="s">
        <v>36</v>
      </c>
      <c r="U813" s="4" t="s">
        <v>66</v>
      </c>
      <c r="V813" s="4" t="s">
        <v>1185</v>
      </c>
      <c r="W813" s="5">
        <v>0</v>
      </c>
    </row>
    <row r="814" spans="1:23" x14ac:dyDescent="0.3">
      <c r="A814" s="2" t="s">
        <v>4881</v>
      </c>
      <c r="B814" s="2" t="s">
        <v>270</v>
      </c>
      <c r="C814" s="2" t="s">
        <v>4882</v>
      </c>
      <c r="D814" s="2" t="s">
        <v>4883</v>
      </c>
      <c r="E814" s="2" t="s">
        <v>4884</v>
      </c>
      <c r="F814" s="2" t="s">
        <v>4885</v>
      </c>
      <c r="G814" s="2" t="s">
        <v>802</v>
      </c>
      <c r="H814" s="2" t="s">
        <v>88</v>
      </c>
      <c r="I814" s="2" t="s">
        <v>31</v>
      </c>
      <c r="J814" s="2" t="s">
        <v>4886</v>
      </c>
      <c r="K814" s="2" t="s">
        <v>143</v>
      </c>
      <c r="L814" s="2">
        <v>4</v>
      </c>
      <c r="M814" s="3">
        <v>284.95</v>
      </c>
      <c r="N814" s="2" t="s">
        <v>34</v>
      </c>
      <c r="O814" s="3">
        <v>0</v>
      </c>
      <c r="P814" s="3">
        <v>0</v>
      </c>
      <c r="Q814" s="3">
        <v>19.95</v>
      </c>
      <c r="R814" s="3">
        <v>304.89999999999998</v>
      </c>
      <c r="S814" s="2" t="s">
        <v>64</v>
      </c>
      <c r="T814" s="2" t="s">
        <v>173</v>
      </c>
      <c r="U814" s="2" t="s">
        <v>66</v>
      </c>
      <c r="V814" s="2" t="s">
        <v>135</v>
      </c>
      <c r="W814" s="3">
        <v>0</v>
      </c>
    </row>
    <row r="815" spans="1:23" x14ac:dyDescent="0.3">
      <c r="A815" s="4" t="s">
        <v>4887</v>
      </c>
      <c r="B815" s="4" t="s">
        <v>943</v>
      </c>
      <c r="C815" s="4" t="s">
        <v>4888</v>
      </c>
      <c r="D815" s="4" t="s">
        <v>4889</v>
      </c>
      <c r="E815" s="4" t="s">
        <v>4890</v>
      </c>
      <c r="F815" s="4" t="s">
        <v>4891</v>
      </c>
      <c r="G815" s="4" t="s">
        <v>207</v>
      </c>
      <c r="H815" s="4" t="s">
        <v>141</v>
      </c>
      <c r="I815" s="4" t="s">
        <v>31</v>
      </c>
      <c r="J815" s="4" t="s">
        <v>444</v>
      </c>
      <c r="K815" s="4" t="s">
        <v>48</v>
      </c>
      <c r="L815" s="4">
        <v>1</v>
      </c>
      <c r="M815" s="5">
        <v>64.989999999999995</v>
      </c>
      <c r="N815" s="4" t="s">
        <v>34</v>
      </c>
      <c r="O815" s="5">
        <v>0</v>
      </c>
      <c r="P815" s="5">
        <v>5.99</v>
      </c>
      <c r="Q815" s="5">
        <v>3.9</v>
      </c>
      <c r="R815" s="5">
        <v>74.88</v>
      </c>
      <c r="S815" s="4" t="s">
        <v>35</v>
      </c>
      <c r="T815" s="4" t="s">
        <v>99</v>
      </c>
      <c r="U815" s="4" t="s">
        <v>66</v>
      </c>
      <c r="V815" s="4" t="s">
        <v>3356</v>
      </c>
      <c r="W815" s="5">
        <v>0</v>
      </c>
    </row>
    <row r="816" spans="1:23" x14ac:dyDescent="0.3">
      <c r="A816" s="2" t="s">
        <v>4892</v>
      </c>
      <c r="B816" s="2" t="s">
        <v>3944</v>
      </c>
      <c r="C816" s="2" t="s">
        <v>4893</v>
      </c>
      <c r="D816" s="2" t="s">
        <v>4894</v>
      </c>
      <c r="E816" s="2" t="s">
        <v>4895</v>
      </c>
      <c r="F816" s="2" t="s">
        <v>4896</v>
      </c>
      <c r="G816" s="2" t="s">
        <v>45</v>
      </c>
      <c r="H816" s="2" t="s">
        <v>46</v>
      </c>
      <c r="I816" s="2" t="s">
        <v>31</v>
      </c>
      <c r="J816" s="2" t="s">
        <v>4897</v>
      </c>
      <c r="K816" s="2" t="s">
        <v>209</v>
      </c>
      <c r="L816" s="2">
        <v>2</v>
      </c>
      <c r="M816" s="3">
        <v>108.98</v>
      </c>
      <c r="N816" s="2" t="s">
        <v>78</v>
      </c>
      <c r="O816" s="3">
        <v>10.9</v>
      </c>
      <c r="P816" s="3">
        <v>0</v>
      </c>
      <c r="Q816" s="3">
        <v>6.87</v>
      </c>
      <c r="R816" s="3">
        <v>104.95</v>
      </c>
      <c r="S816" s="2" t="s">
        <v>35</v>
      </c>
      <c r="T816" s="2" t="s">
        <v>36</v>
      </c>
      <c r="U816" s="2" t="s">
        <v>100</v>
      </c>
      <c r="V816" s="2"/>
      <c r="W816" s="3">
        <v>0</v>
      </c>
    </row>
    <row r="817" spans="1:23" x14ac:dyDescent="0.3">
      <c r="A817" s="4" t="s">
        <v>4898</v>
      </c>
      <c r="B817" s="4" t="s">
        <v>1006</v>
      </c>
      <c r="C817" s="4" t="s">
        <v>4899</v>
      </c>
      <c r="D817" s="4" t="s">
        <v>3652</v>
      </c>
      <c r="E817" s="4" t="s">
        <v>4900</v>
      </c>
      <c r="F817" s="4" t="s">
        <v>4901</v>
      </c>
      <c r="G817" s="4" t="s">
        <v>323</v>
      </c>
      <c r="H817" s="4" t="s">
        <v>324</v>
      </c>
      <c r="I817" s="4" t="s">
        <v>31</v>
      </c>
      <c r="J817" s="4" t="s">
        <v>4902</v>
      </c>
      <c r="K817" s="4" t="s">
        <v>62</v>
      </c>
      <c r="L817" s="4">
        <v>2</v>
      </c>
      <c r="M817" s="5">
        <v>97.98</v>
      </c>
      <c r="N817" s="4" t="s">
        <v>34</v>
      </c>
      <c r="O817" s="5">
        <v>0</v>
      </c>
      <c r="P817" s="5">
        <v>0</v>
      </c>
      <c r="Q817" s="5">
        <v>8.33</v>
      </c>
      <c r="R817" s="5">
        <v>106.31</v>
      </c>
      <c r="S817" s="4" t="s">
        <v>64</v>
      </c>
      <c r="T817" s="4" t="s">
        <v>36</v>
      </c>
      <c r="U817" s="4" t="s">
        <v>51</v>
      </c>
      <c r="V817" s="4" t="s">
        <v>511</v>
      </c>
      <c r="W817" s="5">
        <v>0</v>
      </c>
    </row>
    <row r="818" spans="1:23" x14ac:dyDescent="0.3">
      <c r="A818" s="2" t="s">
        <v>4903</v>
      </c>
      <c r="B818" s="2" t="s">
        <v>1640</v>
      </c>
      <c r="C818" s="2" t="s">
        <v>4904</v>
      </c>
      <c r="D818" s="2" t="s">
        <v>4905</v>
      </c>
      <c r="E818" s="2" t="s">
        <v>4906</v>
      </c>
      <c r="F818" s="2" t="s">
        <v>4907</v>
      </c>
      <c r="G818" s="2" t="s">
        <v>323</v>
      </c>
      <c r="H818" s="2" t="s">
        <v>324</v>
      </c>
      <c r="I818" s="2" t="s">
        <v>31</v>
      </c>
      <c r="J818" s="2" t="s">
        <v>4908</v>
      </c>
      <c r="K818" s="2" t="s">
        <v>110</v>
      </c>
      <c r="L818" s="2">
        <v>3</v>
      </c>
      <c r="M818" s="3">
        <v>122.96</v>
      </c>
      <c r="N818" s="2" t="s">
        <v>163</v>
      </c>
      <c r="O818" s="3">
        <v>24.59</v>
      </c>
      <c r="P818" s="3">
        <v>0</v>
      </c>
      <c r="Q818" s="3">
        <v>5.9</v>
      </c>
      <c r="R818" s="3">
        <v>104.27</v>
      </c>
      <c r="S818" s="2" t="s">
        <v>35</v>
      </c>
      <c r="T818" s="2" t="s">
        <v>36</v>
      </c>
      <c r="U818" s="2" t="s">
        <v>100</v>
      </c>
      <c r="V818" s="2"/>
      <c r="W818" s="3">
        <v>0</v>
      </c>
    </row>
    <row r="819" spans="1:23" x14ac:dyDescent="0.3">
      <c r="A819" s="4" t="s">
        <v>4909</v>
      </c>
      <c r="B819" s="4" t="s">
        <v>2957</v>
      </c>
      <c r="C819" s="4" t="s">
        <v>4910</v>
      </c>
      <c r="D819" s="4" t="s">
        <v>3515</v>
      </c>
      <c r="E819" s="4" t="s">
        <v>4911</v>
      </c>
      <c r="F819" s="4" t="s">
        <v>4912</v>
      </c>
      <c r="G819" s="4" t="s">
        <v>282</v>
      </c>
      <c r="H819" s="4" t="s">
        <v>88</v>
      </c>
      <c r="I819" s="4" t="s">
        <v>31</v>
      </c>
      <c r="J819" s="4" t="s">
        <v>4913</v>
      </c>
      <c r="K819" s="4" t="s">
        <v>679</v>
      </c>
      <c r="L819" s="4">
        <v>4</v>
      </c>
      <c r="M819" s="5">
        <v>349.94</v>
      </c>
      <c r="N819" s="4" t="s">
        <v>34</v>
      </c>
      <c r="O819" s="5">
        <v>0</v>
      </c>
      <c r="P819" s="5">
        <v>0</v>
      </c>
      <c r="Q819" s="5">
        <v>28</v>
      </c>
      <c r="R819" s="5">
        <v>377.94</v>
      </c>
      <c r="S819" s="4" t="s">
        <v>64</v>
      </c>
      <c r="T819" s="4" t="s">
        <v>144</v>
      </c>
      <c r="U819" s="4" t="s">
        <v>100</v>
      </c>
      <c r="V819" s="4"/>
      <c r="W819" s="5">
        <v>0</v>
      </c>
    </row>
    <row r="820" spans="1:23" x14ac:dyDescent="0.3">
      <c r="A820" s="2" t="s">
        <v>4914</v>
      </c>
      <c r="B820" s="2" t="s">
        <v>3042</v>
      </c>
      <c r="C820" s="2" t="s">
        <v>4915</v>
      </c>
      <c r="D820" s="2" t="s">
        <v>4916</v>
      </c>
      <c r="E820" s="2" t="s">
        <v>4917</v>
      </c>
      <c r="F820" s="2" t="s">
        <v>4918</v>
      </c>
      <c r="G820" s="2" t="s">
        <v>190</v>
      </c>
      <c r="H820" s="2" t="s">
        <v>161</v>
      </c>
      <c r="I820" s="2" t="s">
        <v>31</v>
      </c>
      <c r="J820" s="2" t="s">
        <v>405</v>
      </c>
      <c r="K820" s="2" t="s">
        <v>48</v>
      </c>
      <c r="L820" s="2">
        <v>2</v>
      </c>
      <c r="M820" s="3">
        <v>94.98</v>
      </c>
      <c r="N820" s="2" t="s">
        <v>34</v>
      </c>
      <c r="O820" s="3">
        <v>0</v>
      </c>
      <c r="P820" s="3">
        <v>0</v>
      </c>
      <c r="Q820" s="3">
        <v>8.07</v>
      </c>
      <c r="R820" s="3">
        <v>103.05</v>
      </c>
      <c r="S820" s="2" t="s">
        <v>332</v>
      </c>
      <c r="T820" s="2" t="s">
        <v>183</v>
      </c>
      <c r="U820" s="2" t="s">
        <v>66</v>
      </c>
      <c r="V820" s="2" t="s">
        <v>2610</v>
      </c>
      <c r="W820" s="3">
        <v>0</v>
      </c>
    </row>
    <row r="821" spans="1:23" x14ac:dyDescent="0.3">
      <c r="A821" s="4" t="s">
        <v>4919</v>
      </c>
      <c r="B821" s="4" t="s">
        <v>3233</v>
      </c>
      <c r="C821" s="4" t="s">
        <v>4920</v>
      </c>
      <c r="D821" s="4" t="s">
        <v>658</v>
      </c>
      <c r="E821" s="4" t="s">
        <v>4921</v>
      </c>
      <c r="F821" s="4" t="s">
        <v>4922</v>
      </c>
      <c r="G821" s="4" t="s">
        <v>74</v>
      </c>
      <c r="H821" s="4" t="s">
        <v>75</v>
      </c>
      <c r="I821" s="4" t="s">
        <v>31</v>
      </c>
      <c r="J821" s="4" t="s">
        <v>2314</v>
      </c>
      <c r="K821" s="4" t="s">
        <v>33</v>
      </c>
      <c r="L821" s="4">
        <v>1</v>
      </c>
      <c r="M821" s="5">
        <v>56.97</v>
      </c>
      <c r="N821" s="4" t="s">
        <v>34</v>
      </c>
      <c r="O821" s="5">
        <v>0</v>
      </c>
      <c r="P821" s="5">
        <v>4.99</v>
      </c>
      <c r="Q821" s="5">
        <v>3.99</v>
      </c>
      <c r="R821" s="5">
        <v>65.95</v>
      </c>
      <c r="S821" s="4" t="s">
        <v>35</v>
      </c>
      <c r="T821" s="4" t="s">
        <v>144</v>
      </c>
      <c r="U821" s="4" t="s">
        <v>66</v>
      </c>
      <c r="V821" s="4" t="s">
        <v>1640</v>
      </c>
      <c r="W821" s="5">
        <v>0</v>
      </c>
    </row>
    <row r="822" spans="1:23" x14ac:dyDescent="0.3">
      <c r="A822" s="2" t="s">
        <v>4923</v>
      </c>
      <c r="B822" s="2" t="s">
        <v>1732</v>
      </c>
      <c r="C822" s="2" t="s">
        <v>4924</v>
      </c>
      <c r="D822" s="2" t="s">
        <v>4925</v>
      </c>
      <c r="E822" s="2" t="s">
        <v>4926</v>
      </c>
      <c r="F822" s="2" t="s">
        <v>4927</v>
      </c>
      <c r="G822" s="2" t="s">
        <v>291</v>
      </c>
      <c r="H822" s="2" t="s">
        <v>292</v>
      </c>
      <c r="I822" s="2" t="s">
        <v>31</v>
      </c>
      <c r="J822" s="2" t="s">
        <v>1997</v>
      </c>
      <c r="K822" s="2" t="s">
        <v>143</v>
      </c>
      <c r="L822" s="2">
        <v>1</v>
      </c>
      <c r="M822" s="3">
        <v>129.99</v>
      </c>
      <c r="N822" s="2" t="s">
        <v>49</v>
      </c>
      <c r="O822" s="3">
        <v>19.5</v>
      </c>
      <c r="P822" s="3">
        <v>0</v>
      </c>
      <c r="Q822" s="3">
        <v>9.94</v>
      </c>
      <c r="R822" s="3">
        <v>120.43</v>
      </c>
      <c r="S822" s="2" t="s">
        <v>64</v>
      </c>
      <c r="T822" s="2" t="s">
        <v>99</v>
      </c>
      <c r="U822" s="2" t="s">
        <v>66</v>
      </c>
      <c r="V822" s="2" t="s">
        <v>496</v>
      </c>
      <c r="W822" s="3">
        <v>0</v>
      </c>
    </row>
    <row r="823" spans="1:23" x14ac:dyDescent="0.3">
      <c r="A823" s="4" t="s">
        <v>4928</v>
      </c>
      <c r="B823" s="4" t="s">
        <v>2610</v>
      </c>
      <c r="C823" s="4" t="s">
        <v>4929</v>
      </c>
      <c r="D823" s="4" t="s">
        <v>947</v>
      </c>
      <c r="E823" s="4" t="s">
        <v>4930</v>
      </c>
      <c r="F823" s="4" t="s">
        <v>4931</v>
      </c>
      <c r="G823" s="4" t="s">
        <v>207</v>
      </c>
      <c r="H823" s="4" t="s">
        <v>141</v>
      </c>
      <c r="I823" s="4" t="s">
        <v>31</v>
      </c>
      <c r="J823" s="4" t="s">
        <v>495</v>
      </c>
      <c r="K823" s="4" t="s">
        <v>209</v>
      </c>
      <c r="L823" s="4">
        <v>1</v>
      </c>
      <c r="M823" s="5">
        <v>29.99</v>
      </c>
      <c r="N823" s="4" t="s">
        <v>34</v>
      </c>
      <c r="O823" s="5">
        <v>0</v>
      </c>
      <c r="P823" s="5">
        <v>9.99</v>
      </c>
      <c r="Q823" s="5">
        <v>3</v>
      </c>
      <c r="R823" s="5">
        <v>42.98</v>
      </c>
      <c r="S823" s="4" t="s">
        <v>98</v>
      </c>
      <c r="T823" s="4" t="s">
        <v>99</v>
      </c>
      <c r="U823" s="4" t="s">
        <v>66</v>
      </c>
      <c r="V823" s="4" t="s">
        <v>1848</v>
      </c>
      <c r="W823" s="5">
        <v>0</v>
      </c>
    </row>
    <row r="824" spans="1:23" x14ac:dyDescent="0.3">
      <c r="A824" s="2" t="s">
        <v>4932</v>
      </c>
      <c r="B824" s="2" t="s">
        <v>806</v>
      </c>
      <c r="C824" s="2" t="s">
        <v>4933</v>
      </c>
      <c r="D824" s="2" t="s">
        <v>4934</v>
      </c>
      <c r="E824" s="2" t="s">
        <v>4935</v>
      </c>
      <c r="F824" s="2" t="s">
        <v>4936</v>
      </c>
      <c r="G824" s="2" t="s">
        <v>802</v>
      </c>
      <c r="H824" s="2" t="s">
        <v>88</v>
      </c>
      <c r="I824" s="2" t="s">
        <v>31</v>
      </c>
      <c r="J824" s="2" t="s">
        <v>533</v>
      </c>
      <c r="K824" s="2" t="s">
        <v>209</v>
      </c>
      <c r="L824" s="2">
        <v>1</v>
      </c>
      <c r="M824" s="3">
        <v>239.98</v>
      </c>
      <c r="N824" s="2" t="s">
        <v>49</v>
      </c>
      <c r="O824" s="3">
        <v>36</v>
      </c>
      <c r="P824" s="3">
        <v>0</v>
      </c>
      <c r="Q824" s="3">
        <v>12.24</v>
      </c>
      <c r="R824" s="3">
        <v>216.22</v>
      </c>
      <c r="S824" s="2" t="s">
        <v>123</v>
      </c>
      <c r="T824" s="2" t="s">
        <v>173</v>
      </c>
      <c r="U824" s="2" t="s">
        <v>66</v>
      </c>
      <c r="V824" s="2" t="s">
        <v>1539</v>
      </c>
      <c r="W824" s="3">
        <v>0</v>
      </c>
    </row>
    <row r="825" spans="1:23" x14ac:dyDescent="0.3">
      <c r="A825" s="4" t="s">
        <v>4937</v>
      </c>
      <c r="B825" s="4" t="s">
        <v>4522</v>
      </c>
      <c r="C825" s="4" t="s">
        <v>4938</v>
      </c>
      <c r="D825" s="4" t="s">
        <v>1875</v>
      </c>
      <c r="E825" s="4" t="s">
        <v>4939</v>
      </c>
      <c r="F825" s="4" t="s">
        <v>4940</v>
      </c>
      <c r="G825" s="4" t="s">
        <v>251</v>
      </c>
      <c r="H825" s="4" t="s">
        <v>252</v>
      </c>
      <c r="I825" s="4" t="s">
        <v>31</v>
      </c>
      <c r="J825" s="4" t="s">
        <v>4941</v>
      </c>
      <c r="K825" s="4" t="s">
        <v>143</v>
      </c>
      <c r="L825" s="4">
        <v>1</v>
      </c>
      <c r="M825" s="5">
        <v>259.98</v>
      </c>
      <c r="N825" s="4" t="s">
        <v>34</v>
      </c>
      <c r="O825" s="5">
        <v>0</v>
      </c>
      <c r="P825" s="5">
        <v>0</v>
      </c>
      <c r="Q825" s="5">
        <v>26</v>
      </c>
      <c r="R825" s="5">
        <v>285.98</v>
      </c>
      <c r="S825" s="4" t="s">
        <v>123</v>
      </c>
      <c r="T825" s="4" t="s">
        <v>173</v>
      </c>
      <c r="U825" s="4" t="s">
        <v>66</v>
      </c>
      <c r="V825" s="4" t="s">
        <v>1430</v>
      </c>
      <c r="W825" s="5">
        <v>0</v>
      </c>
    </row>
    <row r="826" spans="1:23" x14ac:dyDescent="0.3">
      <c r="A826" s="2" t="s">
        <v>4942</v>
      </c>
      <c r="B826" s="2" t="s">
        <v>3356</v>
      </c>
      <c r="C826" s="2" t="s">
        <v>4943</v>
      </c>
      <c r="D826" s="2" t="s">
        <v>1038</v>
      </c>
      <c r="E826" s="2" t="s">
        <v>4944</v>
      </c>
      <c r="F826" s="2" t="s">
        <v>4945</v>
      </c>
      <c r="G826" s="2" t="s">
        <v>282</v>
      </c>
      <c r="H826" s="2" t="s">
        <v>88</v>
      </c>
      <c r="I826" s="2" t="s">
        <v>31</v>
      </c>
      <c r="J826" s="2" t="s">
        <v>4946</v>
      </c>
      <c r="K826" s="2" t="s">
        <v>143</v>
      </c>
      <c r="L826" s="2">
        <v>1</v>
      </c>
      <c r="M826" s="3">
        <v>239.97</v>
      </c>
      <c r="N826" s="2" t="s">
        <v>34</v>
      </c>
      <c r="O826" s="3">
        <v>0</v>
      </c>
      <c r="P826" s="3">
        <v>0</v>
      </c>
      <c r="Q826" s="3">
        <v>21.6</v>
      </c>
      <c r="R826" s="3">
        <v>261.57</v>
      </c>
      <c r="S826" s="2" t="s">
        <v>35</v>
      </c>
      <c r="T826" s="2" t="s">
        <v>36</v>
      </c>
      <c r="U826" s="2" t="s">
        <v>317</v>
      </c>
      <c r="V826" s="2"/>
      <c r="W826" s="3">
        <v>0</v>
      </c>
    </row>
    <row r="827" spans="1:23" x14ac:dyDescent="0.3">
      <c r="A827" s="4" t="s">
        <v>4947</v>
      </c>
      <c r="B827" s="4" t="s">
        <v>52</v>
      </c>
      <c r="C827" s="4" t="s">
        <v>4948</v>
      </c>
      <c r="D827" s="4" t="s">
        <v>4949</v>
      </c>
      <c r="E827" s="4" t="s">
        <v>4950</v>
      </c>
      <c r="F827" s="4" t="s">
        <v>4951</v>
      </c>
      <c r="G827" s="4" t="s">
        <v>1730</v>
      </c>
      <c r="H827" s="4" t="s">
        <v>161</v>
      </c>
      <c r="I827" s="4" t="s">
        <v>31</v>
      </c>
      <c r="J827" s="4" t="s">
        <v>1054</v>
      </c>
      <c r="K827" s="4" t="s">
        <v>364</v>
      </c>
      <c r="L827" s="4">
        <v>1</v>
      </c>
      <c r="M827" s="5">
        <v>44.99</v>
      </c>
      <c r="N827" s="4" t="s">
        <v>78</v>
      </c>
      <c r="O827" s="5">
        <v>4.5</v>
      </c>
      <c r="P827" s="5">
        <v>9.99</v>
      </c>
      <c r="Q827" s="5">
        <v>3.44</v>
      </c>
      <c r="R827" s="5">
        <v>53.92</v>
      </c>
      <c r="S827" s="4" t="s">
        <v>64</v>
      </c>
      <c r="T827" s="4" t="s">
        <v>65</v>
      </c>
      <c r="U827" s="4" t="s">
        <v>66</v>
      </c>
      <c r="V827" s="4" t="s">
        <v>1456</v>
      </c>
      <c r="W827" s="5">
        <v>0</v>
      </c>
    </row>
    <row r="828" spans="1:23" x14ac:dyDescent="0.3">
      <c r="A828" s="2" t="s">
        <v>4952</v>
      </c>
      <c r="B828" s="2" t="s">
        <v>112</v>
      </c>
      <c r="C828" s="2" t="s">
        <v>4953</v>
      </c>
      <c r="D828" s="2" t="s">
        <v>4954</v>
      </c>
      <c r="E828" s="2" t="s">
        <v>4955</v>
      </c>
      <c r="F828" s="2" t="s">
        <v>4956</v>
      </c>
      <c r="G828" s="2" t="s">
        <v>160</v>
      </c>
      <c r="H828" s="2" t="s">
        <v>161</v>
      </c>
      <c r="I828" s="2" t="s">
        <v>31</v>
      </c>
      <c r="J828" s="2" t="s">
        <v>379</v>
      </c>
      <c r="K828" s="2" t="s">
        <v>209</v>
      </c>
      <c r="L828" s="2">
        <v>1</v>
      </c>
      <c r="M828" s="3">
        <v>89.99</v>
      </c>
      <c r="N828" s="2" t="s">
        <v>63</v>
      </c>
      <c r="O828" s="3">
        <v>22.5</v>
      </c>
      <c r="P828" s="3">
        <v>0</v>
      </c>
      <c r="Q828" s="3">
        <v>4.05</v>
      </c>
      <c r="R828" s="3">
        <v>71.540000000000006</v>
      </c>
      <c r="S828" s="2" t="s">
        <v>64</v>
      </c>
      <c r="T828" s="2" t="s">
        <v>183</v>
      </c>
      <c r="U828" s="2" t="s">
        <v>66</v>
      </c>
      <c r="V828" s="2" t="s">
        <v>742</v>
      </c>
      <c r="W828" s="3">
        <v>0</v>
      </c>
    </row>
    <row r="829" spans="1:23" x14ac:dyDescent="0.3">
      <c r="A829" s="4" t="s">
        <v>4957</v>
      </c>
      <c r="B829" s="4" t="s">
        <v>2532</v>
      </c>
      <c r="C829" s="4" t="s">
        <v>4958</v>
      </c>
      <c r="D829" s="4" t="s">
        <v>4959</v>
      </c>
      <c r="E829" s="4" t="s">
        <v>4960</v>
      </c>
      <c r="F829" s="4" t="s">
        <v>4961</v>
      </c>
      <c r="G829" s="4" t="s">
        <v>190</v>
      </c>
      <c r="H829" s="4" t="s">
        <v>161</v>
      </c>
      <c r="I829" s="4" t="s">
        <v>31</v>
      </c>
      <c r="J829" s="4" t="s">
        <v>4962</v>
      </c>
      <c r="K829" s="4" t="s">
        <v>143</v>
      </c>
      <c r="L829" s="4">
        <v>4</v>
      </c>
      <c r="M829" s="5">
        <v>439.93</v>
      </c>
      <c r="N829" s="4" t="s">
        <v>152</v>
      </c>
      <c r="O829" s="5">
        <v>22</v>
      </c>
      <c r="P829" s="5">
        <v>0</v>
      </c>
      <c r="Q829" s="5">
        <v>37.61</v>
      </c>
      <c r="R829" s="5">
        <v>455.54</v>
      </c>
      <c r="S829" s="4" t="s">
        <v>64</v>
      </c>
      <c r="T829" s="4" t="s">
        <v>36</v>
      </c>
      <c r="U829" s="4" t="s">
        <v>100</v>
      </c>
      <c r="V829" s="4"/>
      <c r="W829" s="5">
        <v>0</v>
      </c>
    </row>
    <row r="830" spans="1:23" x14ac:dyDescent="0.3">
      <c r="A830" s="2" t="s">
        <v>4963</v>
      </c>
      <c r="B830" s="2" t="s">
        <v>1088</v>
      </c>
      <c r="C830" s="2" t="s">
        <v>4964</v>
      </c>
      <c r="D830" s="2" t="s">
        <v>2249</v>
      </c>
      <c r="E830" s="2" t="s">
        <v>4965</v>
      </c>
      <c r="F830" s="2" t="s">
        <v>4966</v>
      </c>
      <c r="G830" s="2" t="s">
        <v>640</v>
      </c>
      <c r="H830" s="2" t="s">
        <v>161</v>
      </c>
      <c r="I830" s="2" t="s">
        <v>31</v>
      </c>
      <c r="J830" s="2" t="s">
        <v>4967</v>
      </c>
      <c r="K830" s="2" t="s">
        <v>62</v>
      </c>
      <c r="L830" s="2">
        <v>4</v>
      </c>
      <c r="M830" s="3">
        <v>262.94</v>
      </c>
      <c r="N830" s="2" t="s">
        <v>34</v>
      </c>
      <c r="O830" s="3">
        <v>0</v>
      </c>
      <c r="P830" s="3">
        <v>0</v>
      </c>
      <c r="Q830" s="3">
        <v>21.04</v>
      </c>
      <c r="R830" s="3">
        <v>283.98</v>
      </c>
      <c r="S830" s="2" t="s">
        <v>437</v>
      </c>
      <c r="T830" s="2" t="s">
        <v>99</v>
      </c>
      <c r="U830" s="2" t="s">
        <v>51</v>
      </c>
      <c r="V830" s="2" t="s">
        <v>2915</v>
      </c>
      <c r="W830" s="3">
        <v>0</v>
      </c>
    </row>
    <row r="831" spans="1:23" x14ac:dyDescent="0.3">
      <c r="A831" s="4" t="s">
        <v>4968</v>
      </c>
      <c r="B831" s="4" t="s">
        <v>1246</v>
      </c>
      <c r="C831" s="4" t="s">
        <v>4969</v>
      </c>
      <c r="D831" s="4" t="s">
        <v>4970</v>
      </c>
      <c r="E831" s="4" t="s">
        <v>4971</v>
      </c>
      <c r="F831" s="4" t="s">
        <v>4972</v>
      </c>
      <c r="G831" s="4" t="s">
        <v>119</v>
      </c>
      <c r="H831" s="4" t="s">
        <v>120</v>
      </c>
      <c r="I831" s="4" t="s">
        <v>31</v>
      </c>
      <c r="J831" s="4" t="s">
        <v>4973</v>
      </c>
      <c r="K831" s="4" t="s">
        <v>48</v>
      </c>
      <c r="L831" s="4">
        <v>3</v>
      </c>
      <c r="M831" s="5">
        <v>96.97</v>
      </c>
      <c r="N831" s="4" t="s">
        <v>63</v>
      </c>
      <c r="O831" s="5">
        <v>24.24</v>
      </c>
      <c r="P831" s="5">
        <v>0</v>
      </c>
      <c r="Q831" s="5">
        <v>6.55</v>
      </c>
      <c r="R831" s="5">
        <v>79.28</v>
      </c>
      <c r="S831" s="4" t="s">
        <v>35</v>
      </c>
      <c r="T831" s="4" t="s">
        <v>183</v>
      </c>
      <c r="U831" s="4" t="s">
        <v>37</v>
      </c>
      <c r="V831" s="4" t="s">
        <v>4974</v>
      </c>
      <c r="W831" s="5">
        <v>79.28</v>
      </c>
    </row>
    <row r="832" spans="1:23" x14ac:dyDescent="0.3">
      <c r="A832" s="2" t="s">
        <v>4975</v>
      </c>
      <c r="B832" s="2" t="s">
        <v>4141</v>
      </c>
      <c r="C832" s="2" t="s">
        <v>4976</v>
      </c>
      <c r="D832" s="2" t="s">
        <v>3208</v>
      </c>
      <c r="E832" s="2" t="s">
        <v>4977</v>
      </c>
      <c r="F832" s="2" t="s">
        <v>4978</v>
      </c>
      <c r="G832" s="2" t="s">
        <v>59</v>
      </c>
      <c r="H832" s="2" t="s">
        <v>60</v>
      </c>
      <c r="I832" s="2" t="s">
        <v>31</v>
      </c>
      <c r="J832" s="2" t="s">
        <v>4979</v>
      </c>
      <c r="K832" s="2" t="s">
        <v>77</v>
      </c>
      <c r="L832" s="2">
        <v>3</v>
      </c>
      <c r="M832" s="3">
        <v>132.97</v>
      </c>
      <c r="N832" s="2" t="s">
        <v>63</v>
      </c>
      <c r="O832" s="3">
        <v>33.24</v>
      </c>
      <c r="P832" s="3">
        <v>0</v>
      </c>
      <c r="Q832" s="3">
        <v>7.98</v>
      </c>
      <c r="R832" s="3">
        <v>107.71</v>
      </c>
      <c r="S832" s="2" t="s">
        <v>35</v>
      </c>
      <c r="T832" s="2" t="s">
        <v>36</v>
      </c>
      <c r="U832" s="2" t="s">
        <v>66</v>
      </c>
      <c r="V832" s="2" t="s">
        <v>922</v>
      </c>
      <c r="W832" s="3">
        <v>0</v>
      </c>
    </row>
    <row r="833" spans="1:23" x14ac:dyDescent="0.3">
      <c r="A833" s="4" t="s">
        <v>4980</v>
      </c>
      <c r="B833" s="4" t="s">
        <v>135</v>
      </c>
      <c r="C833" s="4" t="s">
        <v>4981</v>
      </c>
      <c r="D833" s="4" t="s">
        <v>4982</v>
      </c>
      <c r="E833" s="4" t="s">
        <v>4983</v>
      </c>
      <c r="F833" s="4" t="s">
        <v>4984</v>
      </c>
      <c r="G833" s="4" t="s">
        <v>1183</v>
      </c>
      <c r="H833" s="4" t="s">
        <v>88</v>
      </c>
      <c r="I833" s="4" t="s">
        <v>31</v>
      </c>
      <c r="J833" s="4" t="s">
        <v>4985</v>
      </c>
      <c r="K833" s="4" t="s">
        <v>122</v>
      </c>
      <c r="L833" s="4">
        <v>2</v>
      </c>
      <c r="M833" s="5">
        <v>189.98</v>
      </c>
      <c r="N833" s="4" t="s">
        <v>34</v>
      </c>
      <c r="O833" s="5">
        <v>0</v>
      </c>
      <c r="P833" s="5">
        <v>0</v>
      </c>
      <c r="Q833" s="5">
        <v>16.149999999999999</v>
      </c>
      <c r="R833" s="5">
        <v>206.13</v>
      </c>
      <c r="S833" s="4" t="s">
        <v>64</v>
      </c>
      <c r="T833" s="4" t="s">
        <v>173</v>
      </c>
      <c r="U833" s="4" t="s">
        <v>66</v>
      </c>
      <c r="V833" s="4" t="s">
        <v>1846</v>
      </c>
      <c r="W833" s="5">
        <v>0</v>
      </c>
    </row>
    <row r="834" spans="1:23" x14ac:dyDescent="0.3">
      <c r="A834" s="2" t="s">
        <v>4986</v>
      </c>
      <c r="B834" s="2" t="s">
        <v>521</v>
      </c>
      <c r="C834" s="2" t="s">
        <v>4987</v>
      </c>
      <c r="D834" s="2" t="s">
        <v>4988</v>
      </c>
      <c r="E834" s="2" t="s">
        <v>4989</v>
      </c>
      <c r="F834" s="2" t="s">
        <v>4990</v>
      </c>
      <c r="G834" s="2" t="s">
        <v>403</v>
      </c>
      <c r="H834" s="2" t="s">
        <v>404</v>
      </c>
      <c r="I834" s="2" t="s">
        <v>31</v>
      </c>
      <c r="J834" s="2" t="s">
        <v>4991</v>
      </c>
      <c r="K834" s="2" t="s">
        <v>209</v>
      </c>
      <c r="L834" s="2">
        <v>5</v>
      </c>
      <c r="M834" s="3">
        <v>534.91999999999996</v>
      </c>
      <c r="N834" s="2" t="s">
        <v>34</v>
      </c>
      <c r="O834" s="3">
        <v>0</v>
      </c>
      <c r="P834" s="3">
        <v>0</v>
      </c>
      <c r="Q834" s="3">
        <v>32.1</v>
      </c>
      <c r="R834" s="3">
        <v>567.02</v>
      </c>
      <c r="S834" s="2" t="s">
        <v>111</v>
      </c>
      <c r="T834" s="2" t="s">
        <v>36</v>
      </c>
      <c r="U834" s="2" t="s">
        <v>66</v>
      </c>
      <c r="V834" s="2" t="s">
        <v>1282</v>
      </c>
      <c r="W834" s="3">
        <v>0</v>
      </c>
    </row>
    <row r="835" spans="1:23" x14ac:dyDescent="0.3">
      <c r="A835" s="4" t="s">
        <v>4992</v>
      </c>
      <c r="B835" s="4" t="s">
        <v>777</v>
      </c>
      <c r="C835" s="4" t="s">
        <v>4993</v>
      </c>
      <c r="D835" s="4" t="s">
        <v>4994</v>
      </c>
      <c r="E835" s="4" t="s">
        <v>4995</v>
      </c>
      <c r="F835" s="4" t="s">
        <v>4996</v>
      </c>
      <c r="G835" s="4" t="s">
        <v>160</v>
      </c>
      <c r="H835" s="4" t="s">
        <v>161</v>
      </c>
      <c r="I835" s="4" t="s">
        <v>31</v>
      </c>
      <c r="J835" s="4" t="s">
        <v>4997</v>
      </c>
      <c r="K835" s="4" t="s">
        <v>122</v>
      </c>
      <c r="L835" s="4">
        <v>2</v>
      </c>
      <c r="M835" s="5">
        <v>159.97</v>
      </c>
      <c r="N835" s="4" t="s">
        <v>34</v>
      </c>
      <c r="O835" s="5">
        <v>0</v>
      </c>
      <c r="P835" s="5">
        <v>0</v>
      </c>
      <c r="Q835" s="5">
        <v>9.6</v>
      </c>
      <c r="R835" s="5">
        <v>169.57</v>
      </c>
      <c r="S835" s="4" t="s">
        <v>64</v>
      </c>
      <c r="T835" s="4" t="s">
        <v>99</v>
      </c>
      <c r="U835" s="4" t="s">
        <v>66</v>
      </c>
      <c r="V835" s="4" t="s">
        <v>349</v>
      </c>
      <c r="W835" s="5">
        <v>0</v>
      </c>
    </row>
    <row r="836" spans="1:23" x14ac:dyDescent="0.3">
      <c r="A836" s="2" t="s">
        <v>4998</v>
      </c>
      <c r="B836" s="2" t="s">
        <v>1088</v>
      </c>
      <c r="C836" s="2" t="s">
        <v>4999</v>
      </c>
      <c r="D836" s="2" t="s">
        <v>833</v>
      </c>
      <c r="E836" s="2" t="s">
        <v>5000</v>
      </c>
      <c r="F836" s="2" t="s">
        <v>5001</v>
      </c>
      <c r="G836" s="2" t="s">
        <v>403</v>
      </c>
      <c r="H836" s="2" t="s">
        <v>404</v>
      </c>
      <c r="I836" s="2" t="s">
        <v>31</v>
      </c>
      <c r="J836" s="2" t="s">
        <v>5002</v>
      </c>
      <c r="K836" s="2" t="s">
        <v>209</v>
      </c>
      <c r="L836" s="2">
        <v>3</v>
      </c>
      <c r="M836" s="3">
        <v>154.97</v>
      </c>
      <c r="N836" s="2" t="s">
        <v>34</v>
      </c>
      <c r="O836" s="3">
        <v>0</v>
      </c>
      <c r="P836" s="3">
        <v>0</v>
      </c>
      <c r="Q836" s="3">
        <v>10.85</v>
      </c>
      <c r="R836" s="3">
        <v>165.82</v>
      </c>
      <c r="S836" s="2" t="s">
        <v>35</v>
      </c>
      <c r="T836" s="2" t="s">
        <v>99</v>
      </c>
      <c r="U836" s="2" t="s">
        <v>66</v>
      </c>
      <c r="V836" s="2" t="s">
        <v>5003</v>
      </c>
      <c r="W836" s="3">
        <v>0</v>
      </c>
    </row>
    <row r="837" spans="1:23" x14ac:dyDescent="0.3">
      <c r="A837" s="4" t="s">
        <v>5004</v>
      </c>
      <c r="B837" s="4" t="s">
        <v>261</v>
      </c>
      <c r="C837" s="4" t="s">
        <v>5005</v>
      </c>
      <c r="D837" s="4" t="s">
        <v>5006</v>
      </c>
      <c r="E837" s="4" t="s">
        <v>5007</v>
      </c>
      <c r="F837" s="4" t="s">
        <v>5008</v>
      </c>
      <c r="G837" s="4" t="s">
        <v>160</v>
      </c>
      <c r="H837" s="4" t="s">
        <v>161</v>
      </c>
      <c r="I837" s="4" t="s">
        <v>31</v>
      </c>
      <c r="J837" s="4" t="s">
        <v>1695</v>
      </c>
      <c r="K837" s="4" t="s">
        <v>33</v>
      </c>
      <c r="L837" s="4">
        <v>1</v>
      </c>
      <c r="M837" s="5">
        <v>71.98</v>
      </c>
      <c r="N837" s="4" t="s">
        <v>152</v>
      </c>
      <c r="O837" s="5">
        <v>3.6</v>
      </c>
      <c r="P837" s="5">
        <v>9.99</v>
      </c>
      <c r="Q837" s="5">
        <v>4.0999999999999996</v>
      </c>
      <c r="R837" s="5">
        <v>82.47</v>
      </c>
      <c r="S837" s="4" t="s">
        <v>123</v>
      </c>
      <c r="T837" s="4" t="s">
        <v>99</v>
      </c>
      <c r="U837" s="4" t="s">
        <v>100</v>
      </c>
      <c r="V837" s="4"/>
      <c r="W837" s="5">
        <v>0</v>
      </c>
    </row>
    <row r="838" spans="1:23" x14ac:dyDescent="0.3">
      <c r="A838" s="2" t="s">
        <v>5009</v>
      </c>
      <c r="B838" s="2" t="s">
        <v>455</v>
      </c>
      <c r="C838" s="2" t="s">
        <v>5010</v>
      </c>
      <c r="D838" s="2" t="s">
        <v>3935</v>
      </c>
      <c r="E838" s="2" t="s">
        <v>5011</v>
      </c>
      <c r="F838" s="2" t="s">
        <v>5012</v>
      </c>
      <c r="G838" s="2" t="s">
        <v>251</v>
      </c>
      <c r="H838" s="2" t="s">
        <v>252</v>
      </c>
      <c r="I838" s="2" t="s">
        <v>31</v>
      </c>
      <c r="J838" s="2" t="s">
        <v>5013</v>
      </c>
      <c r="K838" s="2" t="s">
        <v>77</v>
      </c>
      <c r="L838" s="2">
        <v>2</v>
      </c>
      <c r="M838" s="3">
        <v>175.97</v>
      </c>
      <c r="N838" s="2" t="s">
        <v>49</v>
      </c>
      <c r="O838" s="3">
        <v>26.4</v>
      </c>
      <c r="P838" s="3">
        <v>0</v>
      </c>
      <c r="Q838" s="3">
        <v>10.47</v>
      </c>
      <c r="R838" s="3">
        <v>160.04</v>
      </c>
      <c r="S838" s="2" t="s">
        <v>332</v>
      </c>
      <c r="T838" s="2" t="s">
        <v>99</v>
      </c>
      <c r="U838" s="2" t="s">
        <v>51</v>
      </c>
      <c r="V838" s="2" t="s">
        <v>2435</v>
      </c>
      <c r="W838" s="3">
        <v>0</v>
      </c>
    </row>
    <row r="839" spans="1:23" x14ac:dyDescent="0.3">
      <c r="A839" s="4" t="s">
        <v>5014</v>
      </c>
      <c r="B839" s="4" t="s">
        <v>1529</v>
      </c>
      <c r="C839" s="4" t="s">
        <v>5015</v>
      </c>
      <c r="D839" s="4" t="s">
        <v>391</v>
      </c>
      <c r="E839" s="4" t="s">
        <v>5016</v>
      </c>
      <c r="F839" s="4" t="s">
        <v>5017</v>
      </c>
      <c r="G839" s="4" t="s">
        <v>171</v>
      </c>
      <c r="H839" s="4" t="s">
        <v>88</v>
      </c>
      <c r="I839" s="4" t="s">
        <v>31</v>
      </c>
      <c r="J839" s="4" t="s">
        <v>5018</v>
      </c>
      <c r="K839" s="4" t="s">
        <v>122</v>
      </c>
      <c r="L839" s="4">
        <v>4</v>
      </c>
      <c r="M839" s="5">
        <v>174.95</v>
      </c>
      <c r="N839" s="4" t="s">
        <v>49</v>
      </c>
      <c r="O839" s="5">
        <v>26.24</v>
      </c>
      <c r="P839" s="5">
        <v>0</v>
      </c>
      <c r="Q839" s="5">
        <v>8.92</v>
      </c>
      <c r="R839" s="5">
        <v>157.63</v>
      </c>
      <c r="S839" s="4" t="s">
        <v>123</v>
      </c>
      <c r="T839" s="4" t="s">
        <v>144</v>
      </c>
      <c r="U839" s="4" t="s">
        <v>317</v>
      </c>
      <c r="V839" s="4"/>
      <c r="W839" s="5">
        <v>0</v>
      </c>
    </row>
    <row r="840" spans="1:23" x14ac:dyDescent="0.3">
      <c r="A840" s="2" t="s">
        <v>5019</v>
      </c>
      <c r="B840" s="2" t="s">
        <v>701</v>
      </c>
      <c r="C840" s="2" t="s">
        <v>5020</v>
      </c>
      <c r="D840" s="2" t="s">
        <v>5021</v>
      </c>
      <c r="E840" s="2" t="s">
        <v>5022</v>
      </c>
      <c r="F840" s="2" t="s">
        <v>5023</v>
      </c>
      <c r="G840" s="2" t="s">
        <v>87</v>
      </c>
      <c r="H840" s="2" t="s">
        <v>88</v>
      </c>
      <c r="I840" s="2" t="s">
        <v>31</v>
      </c>
      <c r="J840" s="2" t="s">
        <v>267</v>
      </c>
      <c r="K840" s="2" t="s">
        <v>62</v>
      </c>
      <c r="L840" s="2">
        <v>1</v>
      </c>
      <c r="M840" s="3">
        <v>54.99</v>
      </c>
      <c r="N840" s="2" t="s">
        <v>63</v>
      </c>
      <c r="O840" s="3">
        <v>13.75</v>
      </c>
      <c r="P840" s="3">
        <v>5.99</v>
      </c>
      <c r="Q840" s="3">
        <v>2.4700000000000002</v>
      </c>
      <c r="R840" s="3">
        <v>49.7</v>
      </c>
      <c r="S840" s="2" t="s">
        <v>437</v>
      </c>
      <c r="T840" s="2" t="s">
        <v>99</v>
      </c>
      <c r="U840" s="2" t="s">
        <v>66</v>
      </c>
      <c r="V840" s="2" t="s">
        <v>1867</v>
      </c>
      <c r="W840" s="3">
        <v>0</v>
      </c>
    </row>
    <row r="841" spans="1:23" x14ac:dyDescent="0.3">
      <c r="A841" s="4" t="s">
        <v>5024</v>
      </c>
      <c r="B841" s="4" t="s">
        <v>133</v>
      </c>
      <c r="C841" s="4" t="s">
        <v>5025</v>
      </c>
      <c r="D841" s="4" t="s">
        <v>3826</v>
      </c>
      <c r="E841" s="4" t="s">
        <v>5026</v>
      </c>
      <c r="F841" s="4" t="s">
        <v>5027</v>
      </c>
      <c r="G841" s="4" t="s">
        <v>1730</v>
      </c>
      <c r="H841" s="4" t="s">
        <v>161</v>
      </c>
      <c r="I841" s="4" t="s">
        <v>31</v>
      </c>
      <c r="J841" s="4" t="s">
        <v>1340</v>
      </c>
      <c r="K841" s="4" t="s">
        <v>209</v>
      </c>
      <c r="L841" s="4">
        <v>1</v>
      </c>
      <c r="M841" s="5">
        <v>119.99</v>
      </c>
      <c r="N841" s="4" t="s">
        <v>49</v>
      </c>
      <c r="O841" s="5">
        <v>18</v>
      </c>
      <c r="P841" s="5">
        <v>0</v>
      </c>
      <c r="Q841" s="5">
        <v>8.16</v>
      </c>
      <c r="R841" s="5">
        <v>110.15</v>
      </c>
      <c r="S841" s="4" t="s">
        <v>111</v>
      </c>
      <c r="T841" s="4" t="s">
        <v>99</v>
      </c>
      <c r="U841" s="4" t="s">
        <v>317</v>
      </c>
      <c r="V841" s="4"/>
      <c r="W841" s="5">
        <v>0</v>
      </c>
    </row>
    <row r="842" spans="1:23" x14ac:dyDescent="0.3">
      <c r="A842" s="2" t="s">
        <v>5028</v>
      </c>
      <c r="B842" s="2" t="s">
        <v>1781</v>
      </c>
      <c r="C842" s="2" t="s">
        <v>5029</v>
      </c>
      <c r="D842" s="2" t="s">
        <v>1229</v>
      </c>
      <c r="E842" s="2" t="s">
        <v>5030</v>
      </c>
      <c r="F842" s="2" t="s">
        <v>5031</v>
      </c>
      <c r="G842" s="2" t="s">
        <v>74</v>
      </c>
      <c r="H842" s="2" t="s">
        <v>75</v>
      </c>
      <c r="I842" s="2" t="s">
        <v>31</v>
      </c>
      <c r="J842" s="2" t="s">
        <v>5032</v>
      </c>
      <c r="K842" s="2" t="s">
        <v>62</v>
      </c>
      <c r="L842" s="2">
        <v>3</v>
      </c>
      <c r="M842" s="3">
        <v>165.97</v>
      </c>
      <c r="N842" s="2" t="s">
        <v>34</v>
      </c>
      <c r="O842" s="3">
        <v>0</v>
      </c>
      <c r="P842" s="3">
        <v>0</v>
      </c>
      <c r="Q842" s="3">
        <v>11.62</v>
      </c>
      <c r="R842" s="3">
        <v>177.59</v>
      </c>
      <c r="S842" s="2" t="s">
        <v>35</v>
      </c>
      <c r="T842" s="2" t="s">
        <v>50</v>
      </c>
      <c r="U842" s="2" t="s">
        <v>66</v>
      </c>
      <c r="V842" s="2" t="s">
        <v>1787</v>
      </c>
      <c r="W842" s="3">
        <v>0</v>
      </c>
    </row>
    <row r="843" spans="1:23" x14ac:dyDescent="0.3">
      <c r="A843" s="4" t="s">
        <v>5033</v>
      </c>
      <c r="B843" s="4" t="s">
        <v>1321</v>
      </c>
      <c r="C843" s="4" t="s">
        <v>5034</v>
      </c>
      <c r="D843" s="4" t="s">
        <v>5035</v>
      </c>
      <c r="E843" s="4" t="s">
        <v>5036</v>
      </c>
      <c r="F843" s="4" t="s">
        <v>5037</v>
      </c>
      <c r="G843" s="4" t="s">
        <v>802</v>
      </c>
      <c r="H843" s="4" t="s">
        <v>88</v>
      </c>
      <c r="I843" s="4" t="s">
        <v>31</v>
      </c>
      <c r="J843" s="4" t="s">
        <v>61</v>
      </c>
      <c r="K843" s="4" t="s">
        <v>62</v>
      </c>
      <c r="L843" s="4">
        <v>1</v>
      </c>
      <c r="M843" s="5">
        <v>24.99</v>
      </c>
      <c r="N843" s="4" t="s">
        <v>34</v>
      </c>
      <c r="O843" s="5">
        <v>0</v>
      </c>
      <c r="P843" s="5">
        <v>7.99</v>
      </c>
      <c r="Q843" s="5">
        <v>1.75</v>
      </c>
      <c r="R843" s="5">
        <v>34.729999999999997</v>
      </c>
      <c r="S843" s="4" t="s">
        <v>332</v>
      </c>
      <c r="T843" s="4" t="s">
        <v>173</v>
      </c>
      <c r="U843" s="4" t="s">
        <v>66</v>
      </c>
      <c r="V843" s="4" t="s">
        <v>1521</v>
      </c>
      <c r="W843" s="5">
        <v>0</v>
      </c>
    </row>
    <row r="844" spans="1:23" x14ac:dyDescent="0.3">
      <c r="A844" s="2" t="s">
        <v>5038</v>
      </c>
      <c r="B844" s="2" t="s">
        <v>155</v>
      </c>
      <c r="C844" s="2" t="s">
        <v>5039</v>
      </c>
      <c r="D844" s="2" t="s">
        <v>5040</v>
      </c>
      <c r="E844" s="2" t="s">
        <v>5041</v>
      </c>
      <c r="F844" s="2" t="s">
        <v>5042</v>
      </c>
      <c r="G844" s="2" t="s">
        <v>1730</v>
      </c>
      <c r="H844" s="2" t="s">
        <v>161</v>
      </c>
      <c r="I844" s="2" t="s">
        <v>31</v>
      </c>
      <c r="J844" s="2" t="s">
        <v>2128</v>
      </c>
      <c r="K844" s="2" t="s">
        <v>110</v>
      </c>
      <c r="L844" s="2">
        <v>1</v>
      </c>
      <c r="M844" s="3">
        <v>45.98</v>
      </c>
      <c r="N844" s="2" t="s">
        <v>152</v>
      </c>
      <c r="O844" s="3">
        <v>2.2999999999999998</v>
      </c>
      <c r="P844" s="3">
        <v>7.99</v>
      </c>
      <c r="Q844" s="3">
        <v>3.71</v>
      </c>
      <c r="R844" s="3">
        <v>55.38</v>
      </c>
      <c r="S844" s="2" t="s">
        <v>35</v>
      </c>
      <c r="T844" s="2" t="s">
        <v>99</v>
      </c>
      <c r="U844" s="2" t="s">
        <v>66</v>
      </c>
      <c r="V844" s="2" t="s">
        <v>1548</v>
      </c>
      <c r="W844" s="3">
        <v>0</v>
      </c>
    </row>
    <row r="845" spans="1:23" x14ac:dyDescent="0.3">
      <c r="A845" s="4" t="s">
        <v>5043</v>
      </c>
      <c r="B845" s="4" t="s">
        <v>5044</v>
      </c>
      <c r="C845" s="4" t="s">
        <v>5045</v>
      </c>
      <c r="D845" s="4" t="s">
        <v>5046</v>
      </c>
      <c r="E845" s="4" t="s">
        <v>5047</v>
      </c>
      <c r="F845" s="4" t="s">
        <v>5048</v>
      </c>
      <c r="G845" s="4" t="s">
        <v>140</v>
      </c>
      <c r="H845" s="4" t="s">
        <v>141</v>
      </c>
      <c r="I845" s="4" t="s">
        <v>31</v>
      </c>
      <c r="J845" s="4" t="s">
        <v>5049</v>
      </c>
      <c r="K845" s="4" t="s">
        <v>33</v>
      </c>
      <c r="L845" s="4">
        <v>3</v>
      </c>
      <c r="M845" s="5">
        <v>209.95</v>
      </c>
      <c r="N845" s="4" t="s">
        <v>163</v>
      </c>
      <c r="O845" s="5">
        <v>41.99</v>
      </c>
      <c r="P845" s="5">
        <v>0</v>
      </c>
      <c r="Q845" s="5">
        <v>16.8</v>
      </c>
      <c r="R845" s="5">
        <v>184.76</v>
      </c>
      <c r="S845" s="4" t="s">
        <v>79</v>
      </c>
      <c r="T845" s="4" t="s">
        <v>99</v>
      </c>
      <c r="U845" s="4" t="s">
        <v>317</v>
      </c>
      <c r="V845" s="4"/>
      <c r="W845" s="5">
        <v>0</v>
      </c>
    </row>
    <row r="846" spans="1:23" x14ac:dyDescent="0.3">
      <c r="A846" s="2" t="s">
        <v>5050</v>
      </c>
      <c r="B846" s="2" t="s">
        <v>1116</v>
      </c>
      <c r="C846" s="2" t="s">
        <v>5051</v>
      </c>
      <c r="D846" s="2" t="s">
        <v>4954</v>
      </c>
      <c r="E846" s="2" t="s">
        <v>5052</v>
      </c>
      <c r="F846" s="2" t="s">
        <v>5053</v>
      </c>
      <c r="G846" s="2" t="s">
        <v>640</v>
      </c>
      <c r="H846" s="2" t="s">
        <v>161</v>
      </c>
      <c r="I846" s="2" t="s">
        <v>31</v>
      </c>
      <c r="J846" s="2" t="s">
        <v>109</v>
      </c>
      <c r="K846" s="2" t="s">
        <v>110</v>
      </c>
      <c r="L846" s="2">
        <v>1</v>
      </c>
      <c r="M846" s="3">
        <v>68.97</v>
      </c>
      <c r="N846" s="2" t="s">
        <v>78</v>
      </c>
      <c r="O846" s="3">
        <v>6.9</v>
      </c>
      <c r="P846" s="3">
        <v>4.99</v>
      </c>
      <c r="Q846" s="3">
        <v>5.59</v>
      </c>
      <c r="R846" s="3">
        <v>72.650000000000006</v>
      </c>
      <c r="S846" s="2" t="s">
        <v>79</v>
      </c>
      <c r="T846" s="2" t="s">
        <v>99</v>
      </c>
      <c r="U846" s="2" t="s">
        <v>66</v>
      </c>
      <c r="V846" s="2" t="s">
        <v>1176</v>
      </c>
      <c r="W846" s="3">
        <v>0</v>
      </c>
    </row>
    <row r="847" spans="1:23" x14ac:dyDescent="0.3">
      <c r="A847" s="4" t="s">
        <v>5054</v>
      </c>
      <c r="B847" s="4" t="s">
        <v>2435</v>
      </c>
      <c r="C847" s="4" t="s">
        <v>5055</v>
      </c>
      <c r="D847" s="4" t="s">
        <v>1511</v>
      </c>
      <c r="E847" s="4" t="s">
        <v>5056</v>
      </c>
      <c r="F847" s="4" t="s">
        <v>5057</v>
      </c>
      <c r="G847" s="4" t="s">
        <v>1183</v>
      </c>
      <c r="H847" s="4" t="s">
        <v>88</v>
      </c>
      <c r="I847" s="4" t="s">
        <v>31</v>
      </c>
      <c r="J847" s="4" t="s">
        <v>5058</v>
      </c>
      <c r="K847" s="4" t="s">
        <v>48</v>
      </c>
      <c r="L847" s="4">
        <v>3</v>
      </c>
      <c r="M847" s="5">
        <v>148.96</v>
      </c>
      <c r="N847" s="4" t="s">
        <v>34</v>
      </c>
      <c r="O847" s="5">
        <v>0</v>
      </c>
      <c r="P847" s="5">
        <v>0</v>
      </c>
      <c r="Q847" s="5">
        <v>8.94</v>
      </c>
      <c r="R847" s="5">
        <v>157.9</v>
      </c>
      <c r="S847" s="4" t="s">
        <v>79</v>
      </c>
      <c r="T847" s="4" t="s">
        <v>65</v>
      </c>
      <c r="U847" s="4" t="s">
        <v>66</v>
      </c>
      <c r="V847" s="4" t="s">
        <v>1671</v>
      </c>
      <c r="W847" s="5">
        <v>0</v>
      </c>
    </row>
    <row r="848" spans="1:23" x14ac:dyDescent="0.3">
      <c r="A848" s="2" t="s">
        <v>5059</v>
      </c>
      <c r="B848" s="2" t="s">
        <v>1122</v>
      </c>
      <c r="C848" s="2" t="s">
        <v>5060</v>
      </c>
      <c r="D848" s="2" t="s">
        <v>5061</v>
      </c>
      <c r="E848" s="2" t="s">
        <v>5062</v>
      </c>
      <c r="F848" s="2" t="s">
        <v>5063</v>
      </c>
      <c r="G848" s="2" t="s">
        <v>45</v>
      </c>
      <c r="H848" s="2" t="s">
        <v>46</v>
      </c>
      <c r="I848" s="2" t="s">
        <v>31</v>
      </c>
      <c r="J848" s="2" t="s">
        <v>533</v>
      </c>
      <c r="K848" s="2" t="s">
        <v>209</v>
      </c>
      <c r="L848" s="2">
        <v>1</v>
      </c>
      <c r="M848" s="3">
        <v>239.98</v>
      </c>
      <c r="N848" s="2" t="s">
        <v>34</v>
      </c>
      <c r="O848" s="3">
        <v>0</v>
      </c>
      <c r="P848" s="3">
        <v>0</v>
      </c>
      <c r="Q848" s="3">
        <v>19.2</v>
      </c>
      <c r="R848" s="3">
        <v>259.18</v>
      </c>
      <c r="S848" s="2" t="s">
        <v>123</v>
      </c>
      <c r="T848" s="2" t="s">
        <v>99</v>
      </c>
      <c r="U848" s="2" t="s">
        <v>317</v>
      </c>
      <c r="V848" s="2"/>
      <c r="W848" s="3">
        <v>0</v>
      </c>
    </row>
    <row r="849" spans="1:23" x14ac:dyDescent="0.3">
      <c r="A849" s="4" t="s">
        <v>5064</v>
      </c>
      <c r="B849" s="4" t="s">
        <v>2963</v>
      </c>
      <c r="C849" s="4" t="s">
        <v>5065</v>
      </c>
      <c r="D849" s="4" t="s">
        <v>196</v>
      </c>
      <c r="E849" s="4" t="s">
        <v>5066</v>
      </c>
      <c r="F849" s="4" t="s">
        <v>5067</v>
      </c>
      <c r="G849" s="4" t="s">
        <v>190</v>
      </c>
      <c r="H849" s="4" t="s">
        <v>161</v>
      </c>
      <c r="I849" s="4" t="s">
        <v>31</v>
      </c>
      <c r="J849" s="4" t="s">
        <v>5068</v>
      </c>
      <c r="K849" s="4" t="s">
        <v>62</v>
      </c>
      <c r="L849" s="4">
        <v>4</v>
      </c>
      <c r="M849" s="5">
        <v>242.96</v>
      </c>
      <c r="N849" s="4" t="s">
        <v>34</v>
      </c>
      <c r="O849" s="5">
        <v>0</v>
      </c>
      <c r="P849" s="5">
        <v>0</v>
      </c>
      <c r="Q849" s="5">
        <v>17.010000000000002</v>
      </c>
      <c r="R849" s="5">
        <v>259.97000000000003</v>
      </c>
      <c r="S849" s="4" t="s">
        <v>332</v>
      </c>
      <c r="T849" s="4" t="s">
        <v>36</v>
      </c>
      <c r="U849" s="4" t="s">
        <v>66</v>
      </c>
      <c r="V849" s="4" t="s">
        <v>1334</v>
      </c>
      <c r="W849" s="5">
        <v>0</v>
      </c>
    </row>
    <row r="850" spans="1:23" x14ac:dyDescent="0.3">
      <c r="A850" s="2" t="s">
        <v>5069</v>
      </c>
      <c r="B850" s="2" t="s">
        <v>2303</v>
      </c>
      <c r="C850" s="2" t="s">
        <v>5070</v>
      </c>
      <c r="D850" s="2" t="s">
        <v>5071</v>
      </c>
      <c r="E850" s="2" t="s">
        <v>5072</v>
      </c>
      <c r="F850" s="2" t="s">
        <v>5073</v>
      </c>
      <c r="G850" s="2" t="s">
        <v>45</v>
      </c>
      <c r="H850" s="2" t="s">
        <v>46</v>
      </c>
      <c r="I850" s="2" t="s">
        <v>31</v>
      </c>
      <c r="J850" s="2" t="s">
        <v>5074</v>
      </c>
      <c r="K850" s="2" t="s">
        <v>110</v>
      </c>
      <c r="L850" s="2">
        <v>2</v>
      </c>
      <c r="M850" s="3">
        <v>47.98</v>
      </c>
      <c r="N850" s="2" t="s">
        <v>63</v>
      </c>
      <c r="O850" s="3">
        <v>11.99</v>
      </c>
      <c r="P850" s="3">
        <v>4.99</v>
      </c>
      <c r="Q850" s="3">
        <v>3.06</v>
      </c>
      <c r="R850" s="3">
        <v>44.04</v>
      </c>
      <c r="S850" s="2" t="s">
        <v>332</v>
      </c>
      <c r="T850" s="2" t="s">
        <v>173</v>
      </c>
      <c r="U850" s="2" t="s">
        <v>37</v>
      </c>
      <c r="V850" s="2" t="s">
        <v>1036</v>
      </c>
      <c r="W850" s="3">
        <v>44.04</v>
      </c>
    </row>
    <row r="851" spans="1:23" x14ac:dyDescent="0.3">
      <c r="A851" s="4" t="s">
        <v>5075</v>
      </c>
      <c r="B851" s="4" t="s">
        <v>1567</v>
      </c>
      <c r="C851" s="4" t="s">
        <v>5076</v>
      </c>
      <c r="D851" s="4" t="s">
        <v>3482</v>
      </c>
      <c r="E851" s="4" t="s">
        <v>5077</v>
      </c>
      <c r="F851" s="4" t="s">
        <v>5078</v>
      </c>
      <c r="G851" s="4" t="s">
        <v>180</v>
      </c>
      <c r="H851" s="4" t="s">
        <v>181</v>
      </c>
      <c r="I851" s="4" t="s">
        <v>31</v>
      </c>
      <c r="J851" s="4" t="s">
        <v>5079</v>
      </c>
      <c r="K851" s="4" t="s">
        <v>33</v>
      </c>
      <c r="L851" s="4">
        <v>2</v>
      </c>
      <c r="M851" s="5">
        <v>68.98</v>
      </c>
      <c r="N851" s="4" t="s">
        <v>34</v>
      </c>
      <c r="O851" s="5">
        <v>0</v>
      </c>
      <c r="P851" s="5">
        <v>4.99</v>
      </c>
      <c r="Q851" s="5">
        <v>6.21</v>
      </c>
      <c r="R851" s="5">
        <v>80.180000000000007</v>
      </c>
      <c r="S851" s="4" t="s">
        <v>123</v>
      </c>
      <c r="T851" s="4" t="s">
        <v>99</v>
      </c>
      <c r="U851" s="4" t="s">
        <v>66</v>
      </c>
      <c r="V851" s="4" t="s">
        <v>1761</v>
      </c>
      <c r="W851" s="5">
        <v>0</v>
      </c>
    </row>
    <row r="852" spans="1:23" x14ac:dyDescent="0.3">
      <c r="A852" s="2" t="s">
        <v>5080</v>
      </c>
      <c r="B852" s="2" t="s">
        <v>617</v>
      </c>
      <c r="C852" s="2" t="s">
        <v>5081</v>
      </c>
      <c r="D852" s="2" t="s">
        <v>5082</v>
      </c>
      <c r="E852" s="2" t="s">
        <v>5083</v>
      </c>
      <c r="F852" s="2" t="s">
        <v>5084</v>
      </c>
      <c r="G852" s="2" t="s">
        <v>676</v>
      </c>
      <c r="H852" s="2" t="s">
        <v>677</v>
      </c>
      <c r="I852" s="2" t="s">
        <v>31</v>
      </c>
      <c r="J852" s="2" t="s">
        <v>5085</v>
      </c>
      <c r="K852" s="2" t="s">
        <v>364</v>
      </c>
      <c r="L852" s="2">
        <v>4</v>
      </c>
      <c r="M852" s="3">
        <v>344.92</v>
      </c>
      <c r="N852" s="2" t="s">
        <v>34</v>
      </c>
      <c r="O852" s="3">
        <v>0</v>
      </c>
      <c r="P852" s="3">
        <v>0</v>
      </c>
      <c r="Q852" s="3">
        <v>27.59</v>
      </c>
      <c r="R852" s="3">
        <v>372.51</v>
      </c>
      <c r="S852" s="2" t="s">
        <v>64</v>
      </c>
      <c r="T852" s="2" t="s">
        <v>183</v>
      </c>
      <c r="U852" s="2" t="s">
        <v>66</v>
      </c>
      <c r="V852" s="2" t="s">
        <v>1185</v>
      </c>
      <c r="W852" s="3">
        <v>0</v>
      </c>
    </row>
    <row r="853" spans="1:23" x14ac:dyDescent="0.3">
      <c r="A853" s="4" t="s">
        <v>5086</v>
      </c>
      <c r="B853" s="4" t="s">
        <v>124</v>
      </c>
      <c r="C853" s="4" t="s">
        <v>5087</v>
      </c>
      <c r="D853" s="4" t="s">
        <v>1832</v>
      </c>
      <c r="E853" s="4" t="s">
        <v>5088</v>
      </c>
      <c r="F853" s="4" t="s">
        <v>5089</v>
      </c>
      <c r="G853" s="4" t="s">
        <v>282</v>
      </c>
      <c r="H853" s="4" t="s">
        <v>88</v>
      </c>
      <c r="I853" s="4" t="s">
        <v>31</v>
      </c>
      <c r="J853" s="4" t="s">
        <v>5090</v>
      </c>
      <c r="K853" s="4" t="s">
        <v>62</v>
      </c>
      <c r="L853" s="4">
        <v>5</v>
      </c>
      <c r="M853" s="5">
        <v>629.92999999999995</v>
      </c>
      <c r="N853" s="4" t="s">
        <v>34</v>
      </c>
      <c r="O853" s="5">
        <v>0</v>
      </c>
      <c r="P853" s="5">
        <v>0</v>
      </c>
      <c r="Q853" s="5">
        <v>62.99</v>
      </c>
      <c r="R853" s="5">
        <v>692.92</v>
      </c>
      <c r="S853" s="4" t="s">
        <v>64</v>
      </c>
      <c r="T853" s="4" t="s">
        <v>144</v>
      </c>
      <c r="U853" s="4" t="s">
        <v>37</v>
      </c>
      <c r="V853" s="4" t="s">
        <v>2278</v>
      </c>
      <c r="W853" s="5">
        <v>692.92</v>
      </c>
    </row>
    <row r="854" spans="1:23" x14ac:dyDescent="0.3">
      <c r="A854" s="2" t="s">
        <v>5091</v>
      </c>
      <c r="B854" s="2" t="s">
        <v>194</v>
      </c>
      <c r="C854" s="2" t="s">
        <v>5092</v>
      </c>
      <c r="D854" s="2" t="s">
        <v>5093</v>
      </c>
      <c r="E854" s="2" t="s">
        <v>5094</v>
      </c>
      <c r="F854" s="2" t="s">
        <v>5095</v>
      </c>
      <c r="G854" s="2" t="s">
        <v>119</v>
      </c>
      <c r="H854" s="2" t="s">
        <v>120</v>
      </c>
      <c r="I854" s="2" t="s">
        <v>31</v>
      </c>
      <c r="J854" s="2" t="s">
        <v>5096</v>
      </c>
      <c r="K854" s="2" t="s">
        <v>143</v>
      </c>
      <c r="L854" s="2">
        <v>2</v>
      </c>
      <c r="M854" s="3">
        <v>425.96</v>
      </c>
      <c r="N854" s="2" t="s">
        <v>152</v>
      </c>
      <c r="O854" s="3">
        <v>21.3</v>
      </c>
      <c r="P854" s="3">
        <v>0</v>
      </c>
      <c r="Q854" s="3">
        <v>32.369999999999997</v>
      </c>
      <c r="R854" s="3">
        <v>437.03</v>
      </c>
      <c r="S854" s="2" t="s">
        <v>332</v>
      </c>
      <c r="T854" s="2" t="s">
        <v>99</v>
      </c>
      <c r="U854" s="2" t="s">
        <v>66</v>
      </c>
      <c r="V854" s="2" t="s">
        <v>5097</v>
      </c>
      <c r="W854" s="3">
        <v>0</v>
      </c>
    </row>
    <row r="855" spans="1:23" x14ac:dyDescent="0.3">
      <c r="A855" s="4" t="s">
        <v>5098</v>
      </c>
      <c r="B855" s="4" t="s">
        <v>587</v>
      </c>
      <c r="C855" s="4" t="s">
        <v>5099</v>
      </c>
      <c r="D855" s="4" t="s">
        <v>5100</v>
      </c>
      <c r="E855" s="4" t="s">
        <v>5101</v>
      </c>
      <c r="F855" s="4" t="s">
        <v>5102</v>
      </c>
      <c r="G855" s="4" t="s">
        <v>291</v>
      </c>
      <c r="H855" s="4" t="s">
        <v>292</v>
      </c>
      <c r="I855" s="4" t="s">
        <v>31</v>
      </c>
      <c r="J855" s="4" t="s">
        <v>387</v>
      </c>
      <c r="K855" s="4" t="s">
        <v>33</v>
      </c>
      <c r="L855" s="4">
        <v>1</v>
      </c>
      <c r="M855" s="5">
        <v>35.99</v>
      </c>
      <c r="N855" s="4" t="s">
        <v>152</v>
      </c>
      <c r="O855" s="5">
        <v>1.8</v>
      </c>
      <c r="P855" s="5">
        <v>7.99</v>
      </c>
      <c r="Q855" s="5">
        <v>2.74</v>
      </c>
      <c r="R855" s="5">
        <v>44.92</v>
      </c>
      <c r="S855" s="4" t="s">
        <v>35</v>
      </c>
      <c r="T855" s="4" t="s">
        <v>99</v>
      </c>
      <c r="U855" s="4" t="s">
        <v>100</v>
      </c>
      <c r="V855" s="4"/>
      <c r="W855" s="5">
        <v>0</v>
      </c>
    </row>
    <row r="856" spans="1:23" x14ac:dyDescent="0.3">
      <c r="A856" s="2" t="s">
        <v>5103</v>
      </c>
      <c r="B856" s="2" t="s">
        <v>5104</v>
      </c>
      <c r="C856" s="2" t="s">
        <v>5105</v>
      </c>
      <c r="D856" s="2" t="s">
        <v>5106</v>
      </c>
      <c r="E856" s="2" t="s">
        <v>5107</v>
      </c>
      <c r="F856" s="2" t="s">
        <v>5108</v>
      </c>
      <c r="G856" s="2" t="s">
        <v>171</v>
      </c>
      <c r="H856" s="2" t="s">
        <v>88</v>
      </c>
      <c r="I856" s="2" t="s">
        <v>31</v>
      </c>
      <c r="J856" s="2" t="s">
        <v>5109</v>
      </c>
      <c r="K856" s="2" t="s">
        <v>77</v>
      </c>
      <c r="L856" s="2">
        <v>5</v>
      </c>
      <c r="M856" s="3">
        <v>323.91000000000003</v>
      </c>
      <c r="N856" s="2" t="s">
        <v>49</v>
      </c>
      <c r="O856" s="3">
        <v>48.59</v>
      </c>
      <c r="P856" s="3">
        <v>0</v>
      </c>
      <c r="Q856" s="3">
        <v>19.27</v>
      </c>
      <c r="R856" s="3">
        <v>294.58999999999997</v>
      </c>
      <c r="S856" s="2" t="s">
        <v>35</v>
      </c>
      <c r="T856" s="2" t="s">
        <v>36</v>
      </c>
      <c r="U856" s="2" t="s">
        <v>66</v>
      </c>
      <c r="V856" s="2" t="s">
        <v>579</v>
      </c>
      <c r="W856" s="3">
        <v>0</v>
      </c>
    </row>
    <row r="857" spans="1:23" x14ac:dyDescent="0.3">
      <c r="A857" s="4" t="s">
        <v>5110</v>
      </c>
      <c r="B857" s="4" t="s">
        <v>627</v>
      </c>
      <c r="C857" s="4" t="s">
        <v>5111</v>
      </c>
      <c r="D857" s="4" t="s">
        <v>3504</v>
      </c>
      <c r="E857" s="4" t="s">
        <v>5112</v>
      </c>
      <c r="F857" s="4" t="s">
        <v>5113</v>
      </c>
      <c r="G857" s="4" t="s">
        <v>74</v>
      </c>
      <c r="H857" s="4" t="s">
        <v>75</v>
      </c>
      <c r="I857" s="4" t="s">
        <v>31</v>
      </c>
      <c r="J857" s="4" t="s">
        <v>5114</v>
      </c>
      <c r="K857" s="4" t="s">
        <v>209</v>
      </c>
      <c r="L857" s="4">
        <v>3</v>
      </c>
      <c r="M857" s="5">
        <v>494.94</v>
      </c>
      <c r="N857" s="4" t="s">
        <v>34</v>
      </c>
      <c r="O857" s="5">
        <v>0</v>
      </c>
      <c r="P857" s="5">
        <v>0</v>
      </c>
      <c r="Q857" s="5">
        <v>29.7</v>
      </c>
      <c r="R857" s="5">
        <v>524.64</v>
      </c>
      <c r="S857" s="4" t="s">
        <v>35</v>
      </c>
      <c r="T857" s="4" t="s">
        <v>99</v>
      </c>
      <c r="U857" s="4" t="s">
        <v>66</v>
      </c>
      <c r="V857" s="4" t="s">
        <v>633</v>
      </c>
      <c r="W857" s="5">
        <v>0</v>
      </c>
    </row>
    <row r="858" spans="1:23" x14ac:dyDescent="0.3">
      <c r="A858" s="2" t="s">
        <v>5115</v>
      </c>
      <c r="B858" s="2" t="s">
        <v>2963</v>
      </c>
      <c r="C858" s="2" t="s">
        <v>5116</v>
      </c>
      <c r="D858" s="2" t="s">
        <v>5117</v>
      </c>
      <c r="E858" s="2" t="s">
        <v>5118</v>
      </c>
      <c r="F858" s="2" t="s">
        <v>5119</v>
      </c>
      <c r="G858" s="2" t="s">
        <v>1730</v>
      </c>
      <c r="H858" s="2" t="s">
        <v>161</v>
      </c>
      <c r="I858" s="2" t="s">
        <v>31</v>
      </c>
      <c r="J858" s="2" t="s">
        <v>5120</v>
      </c>
      <c r="K858" s="2" t="s">
        <v>209</v>
      </c>
      <c r="L858" s="2">
        <v>5</v>
      </c>
      <c r="M858" s="3">
        <v>480.9</v>
      </c>
      <c r="N858" s="2" t="s">
        <v>78</v>
      </c>
      <c r="O858" s="3">
        <v>48.09</v>
      </c>
      <c r="P858" s="3">
        <v>0</v>
      </c>
      <c r="Q858" s="3">
        <v>38.950000000000003</v>
      </c>
      <c r="R858" s="3">
        <v>471.76</v>
      </c>
      <c r="S858" s="2" t="s">
        <v>35</v>
      </c>
      <c r="T858" s="2" t="s">
        <v>183</v>
      </c>
      <c r="U858" s="2" t="s">
        <v>66</v>
      </c>
      <c r="V858" s="2" t="s">
        <v>572</v>
      </c>
      <c r="W858" s="3">
        <v>0</v>
      </c>
    </row>
    <row r="859" spans="1:23" x14ac:dyDescent="0.3">
      <c r="A859" s="4" t="s">
        <v>5121</v>
      </c>
      <c r="B859" s="4" t="s">
        <v>1948</v>
      </c>
      <c r="C859" s="4" t="s">
        <v>5122</v>
      </c>
      <c r="D859" s="4" t="s">
        <v>5123</v>
      </c>
      <c r="E859" s="4" t="s">
        <v>5124</v>
      </c>
      <c r="F859" s="4" t="s">
        <v>5125</v>
      </c>
      <c r="G859" s="4" t="s">
        <v>74</v>
      </c>
      <c r="H859" s="4" t="s">
        <v>75</v>
      </c>
      <c r="I859" s="4" t="s">
        <v>31</v>
      </c>
      <c r="J859" s="4" t="s">
        <v>5126</v>
      </c>
      <c r="K859" s="4" t="s">
        <v>209</v>
      </c>
      <c r="L859" s="4">
        <v>2</v>
      </c>
      <c r="M859" s="5">
        <v>169.98</v>
      </c>
      <c r="N859" s="4" t="s">
        <v>34</v>
      </c>
      <c r="O859" s="5">
        <v>0</v>
      </c>
      <c r="P859" s="5">
        <v>0</v>
      </c>
      <c r="Q859" s="5">
        <v>14.45</v>
      </c>
      <c r="R859" s="5">
        <v>184.43</v>
      </c>
      <c r="S859" s="4" t="s">
        <v>111</v>
      </c>
      <c r="T859" s="4" t="s">
        <v>36</v>
      </c>
      <c r="U859" s="4" t="s">
        <v>100</v>
      </c>
      <c r="V859" s="4"/>
      <c r="W859" s="5">
        <v>0</v>
      </c>
    </row>
    <row r="860" spans="1:23" x14ac:dyDescent="0.3">
      <c r="A860" s="2" t="s">
        <v>5127</v>
      </c>
      <c r="B860" s="2" t="s">
        <v>133</v>
      </c>
      <c r="C860" s="2" t="s">
        <v>5128</v>
      </c>
      <c r="D860" s="2" t="s">
        <v>5129</v>
      </c>
      <c r="E860" s="2" t="s">
        <v>5130</v>
      </c>
      <c r="F860" s="2" t="s">
        <v>5131</v>
      </c>
      <c r="G860" s="2" t="s">
        <v>107</v>
      </c>
      <c r="H860" s="2" t="s">
        <v>108</v>
      </c>
      <c r="I860" s="2" t="s">
        <v>31</v>
      </c>
      <c r="J860" s="2" t="s">
        <v>267</v>
      </c>
      <c r="K860" s="2" t="s">
        <v>62</v>
      </c>
      <c r="L860" s="2">
        <v>1</v>
      </c>
      <c r="M860" s="3">
        <v>54.99</v>
      </c>
      <c r="N860" s="2" t="s">
        <v>78</v>
      </c>
      <c r="O860" s="3">
        <v>5.5</v>
      </c>
      <c r="P860" s="3">
        <v>5.99</v>
      </c>
      <c r="Q860" s="3">
        <v>3.46</v>
      </c>
      <c r="R860" s="3">
        <v>58.94</v>
      </c>
      <c r="S860" s="2" t="s">
        <v>123</v>
      </c>
      <c r="T860" s="2" t="s">
        <v>144</v>
      </c>
      <c r="U860" s="2" t="s">
        <v>66</v>
      </c>
      <c r="V860" s="2" t="s">
        <v>470</v>
      </c>
      <c r="W860" s="3">
        <v>0</v>
      </c>
    </row>
    <row r="861" spans="1:23" x14ac:dyDescent="0.3">
      <c r="A861" s="4" t="s">
        <v>5132</v>
      </c>
      <c r="B861" s="4" t="s">
        <v>671</v>
      </c>
      <c r="C861" s="4" t="s">
        <v>5133</v>
      </c>
      <c r="D861" s="4" t="s">
        <v>5134</v>
      </c>
      <c r="E861" s="4" t="s">
        <v>5135</v>
      </c>
      <c r="F861" s="4" t="s">
        <v>5136</v>
      </c>
      <c r="G861" s="4" t="s">
        <v>45</v>
      </c>
      <c r="H861" s="4" t="s">
        <v>46</v>
      </c>
      <c r="I861" s="4" t="s">
        <v>31</v>
      </c>
      <c r="J861" s="4" t="s">
        <v>191</v>
      </c>
      <c r="K861" s="4" t="s">
        <v>77</v>
      </c>
      <c r="L861" s="4">
        <v>1</v>
      </c>
      <c r="M861" s="5">
        <v>24.99</v>
      </c>
      <c r="N861" s="4" t="s">
        <v>152</v>
      </c>
      <c r="O861" s="5">
        <v>1.25</v>
      </c>
      <c r="P861" s="5">
        <v>5.99</v>
      </c>
      <c r="Q861" s="5">
        <v>2.37</v>
      </c>
      <c r="R861" s="5">
        <v>32.1</v>
      </c>
      <c r="S861" s="4" t="s">
        <v>123</v>
      </c>
      <c r="T861" s="4" t="s">
        <v>173</v>
      </c>
      <c r="U861" s="4" t="s">
        <v>37</v>
      </c>
      <c r="V861" s="4" t="s">
        <v>680</v>
      </c>
      <c r="W861" s="5">
        <v>32.1</v>
      </c>
    </row>
    <row r="862" spans="1:23" x14ac:dyDescent="0.3">
      <c r="A862" s="2" t="s">
        <v>5137</v>
      </c>
      <c r="B862" s="2" t="s">
        <v>227</v>
      </c>
      <c r="C862" s="2" t="s">
        <v>5138</v>
      </c>
      <c r="D862" s="2" t="s">
        <v>5139</v>
      </c>
      <c r="E862" s="2" t="s">
        <v>5140</v>
      </c>
      <c r="F862" s="2" t="s">
        <v>5141</v>
      </c>
      <c r="G862" s="2" t="s">
        <v>394</v>
      </c>
      <c r="H862" s="2" t="s">
        <v>395</v>
      </c>
      <c r="I862" s="2" t="s">
        <v>31</v>
      </c>
      <c r="J862" s="2" t="s">
        <v>1968</v>
      </c>
      <c r="K862" s="2" t="s">
        <v>209</v>
      </c>
      <c r="L862" s="2">
        <v>1</v>
      </c>
      <c r="M862" s="3">
        <v>99.98</v>
      </c>
      <c r="N862" s="2" t="s">
        <v>78</v>
      </c>
      <c r="O862" s="3">
        <v>10</v>
      </c>
      <c r="P862" s="3">
        <v>0</v>
      </c>
      <c r="Q862" s="3">
        <v>7.65</v>
      </c>
      <c r="R862" s="3">
        <v>97.63</v>
      </c>
      <c r="S862" s="2" t="s">
        <v>35</v>
      </c>
      <c r="T862" s="2" t="s">
        <v>173</v>
      </c>
      <c r="U862" s="2" t="s">
        <v>317</v>
      </c>
      <c r="V862" s="2"/>
      <c r="W862" s="3">
        <v>0</v>
      </c>
    </row>
    <row r="863" spans="1:23" x14ac:dyDescent="0.3">
      <c r="A863" s="4" t="s">
        <v>5142</v>
      </c>
      <c r="B863" s="4" t="s">
        <v>3530</v>
      </c>
      <c r="C863" s="4" t="s">
        <v>5143</v>
      </c>
      <c r="D863" s="4" t="s">
        <v>1614</v>
      </c>
      <c r="E863" s="4" t="s">
        <v>5144</v>
      </c>
      <c r="F863" s="4" t="s">
        <v>5145</v>
      </c>
      <c r="G863" s="4" t="s">
        <v>224</v>
      </c>
      <c r="H863" s="4" t="s">
        <v>225</v>
      </c>
      <c r="I863" s="4" t="s">
        <v>31</v>
      </c>
      <c r="J863" s="4" t="s">
        <v>234</v>
      </c>
      <c r="K863" s="4" t="s">
        <v>62</v>
      </c>
      <c r="L863" s="4">
        <v>1</v>
      </c>
      <c r="M863" s="5">
        <v>49.98</v>
      </c>
      <c r="N863" s="4" t="s">
        <v>34</v>
      </c>
      <c r="O863" s="5">
        <v>0</v>
      </c>
      <c r="P863" s="5">
        <v>4.99</v>
      </c>
      <c r="Q863" s="5">
        <v>3.5</v>
      </c>
      <c r="R863" s="5">
        <v>58.47</v>
      </c>
      <c r="S863" s="4" t="s">
        <v>437</v>
      </c>
      <c r="T863" s="4" t="s">
        <v>173</v>
      </c>
      <c r="U863" s="4" t="s">
        <v>100</v>
      </c>
      <c r="V863" s="4"/>
      <c r="W863" s="5">
        <v>0</v>
      </c>
    </row>
    <row r="864" spans="1:23" x14ac:dyDescent="0.3">
      <c r="A864" s="2" t="s">
        <v>5146</v>
      </c>
      <c r="B864" s="2" t="s">
        <v>1471</v>
      </c>
      <c r="C864" s="2" t="s">
        <v>5147</v>
      </c>
      <c r="D864" s="2" t="s">
        <v>5148</v>
      </c>
      <c r="E864" s="2" t="s">
        <v>5149</v>
      </c>
      <c r="F864" s="2" t="s">
        <v>5150</v>
      </c>
      <c r="G864" s="2" t="s">
        <v>640</v>
      </c>
      <c r="H864" s="2" t="s">
        <v>161</v>
      </c>
      <c r="I864" s="2" t="s">
        <v>31</v>
      </c>
      <c r="J864" s="2" t="s">
        <v>5151</v>
      </c>
      <c r="K864" s="2" t="s">
        <v>33</v>
      </c>
      <c r="L864" s="2">
        <v>4</v>
      </c>
      <c r="M864" s="3">
        <v>286.93</v>
      </c>
      <c r="N864" s="2" t="s">
        <v>78</v>
      </c>
      <c r="O864" s="3">
        <v>28.69</v>
      </c>
      <c r="P864" s="3">
        <v>0</v>
      </c>
      <c r="Q864" s="3">
        <v>20.66</v>
      </c>
      <c r="R864" s="3">
        <v>278.89999999999998</v>
      </c>
      <c r="S864" s="2" t="s">
        <v>35</v>
      </c>
      <c r="T864" s="2" t="s">
        <v>173</v>
      </c>
      <c r="U864" s="2" t="s">
        <v>37</v>
      </c>
      <c r="V864" s="2" t="s">
        <v>2915</v>
      </c>
      <c r="W864" s="3">
        <v>278.89999999999998</v>
      </c>
    </row>
    <row r="865" spans="1:23" x14ac:dyDescent="0.3">
      <c r="A865" s="4" t="s">
        <v>5152</v>
      </c>
      <c r="B865" s="4" t="s">
        <v>296</v>
      </c>
      <c r="C865" s="4" t="s">
        <v>5153</v>
      </c>
      <c r="D865" s="4" t="s">
        <v>5154</v>
      </c>
      <c r="E865" s="4" t="s">
        <v>5155</v>
      </c>
      <c r="F865" s="4" t="s">
        <v>5156</v>
      </c>
      <c r="G865" s="4" t="s">
        <v>640</v>
      </c>
      <c r="H865" s="4" t="s">
        <v>161</v>
      </c>
      <c r="I865" s="4" t="s">
        <v>31</v>
      </c>
      <c r="J865" s="4" t="s">
        <v>5157</v>
      </c>
      <c r="K865" s="4" t="s">
        <v>122</v>
      </c>
      <c r="L865" s="4">
        <v>4</v>
      </c>
      <c r="M865" s="5">
        <v>265.94</v>
      </c>
      <c r="N865" s="4" t="s">
        <v>63</v>
      </c>
      <c r="O865" s="5">
        <v>66.48</v>
      </c>
      <c r="P865" s="5">
        <v>0</v>
      </c>
      <c r="Q865" s="5">
        <v>16.95</v>
      </c>
      <c r="R865" s="5">
        <v>216.41</v>
      </c>
      <c r="S865" s="4" t="s">
        <v>35</v>
      </c>
      <c r="T865" s="4" t="s">
        <v>99</v>
      </c>
      <c r="U865" s="4" t="s">
        <v>317</v>
      </c>
      <c r="V865" s="4"/>
      <c r="W865" s="5">
        <v>0</v>
      </c>
    </row>
    <row r="866" spans="1:23" x14ac:dyDescent="0.3">
      <c r="A866" s="2" t="s">
        <v>5158</v>
      </c>
      <c r="B866" s="2" t="s">
        <v>1469</v>
      </c>
      <c r="C866" s="2" t="s">
        <v>5159</v>
      </c>
      <c r="D866" s="2" t="s">
        <v>5160</v>
      </c>
      <c r="E866" s="2" t="s">
        <v>5161</v>
      </c>
      <c r="F866" s="2" t="s">
        <v>5162</v>
      </c>
      <c r="G866" s="2" t="s">
        <v>207</v>
      </c>
      <c r="H866" s="2" t="s">
        <v>141</v>
      </c>
      <c r="I866" s="2" t="s">
        <v>31</v>
      </c>
      <c r="J866" s="2" t="s">
        <v>5163</v>
      </c>
      <c r="K866" s="2" t="s">
        <v>48</v>
      </c>
      <c r="L866" s="2">
        <v>4</v>
      </c>
      <c r="M866" s="3">
        <v>294.93</v>
      </c>
      <c r="N866" s="2" t="s">
        <v>152</v>
      </c>
      <c r="O866" s="3">
        <v>14.75</v>
      </c>
      <c r="P866" s="3">
        <v>0</v>
      </c>
      <c r="Q866" s="3">
        <v>22.41</v>
      </c>
      <c r="R866" s="3">
        <v>302.58999999999997</v>
      </c>
      <c r="S866" s="2" t="s">
        <v>123</v>
      </c>
      <c r="T866" s="2" t="s">
        <v>99</v>
      </c>
      <c r="U866" s="2" t="s">
        <v>66</v>
      </c>
      <c r="V866" s="2" t="s">
        <v>542</v>
      </c>
      <c r="W866" s="3">
        <v>0</v>
      </c>
    </row>
    <row r="867" spans="1:23" x14ac:dyDescent="0.3">
      <c r="A867" s="4" t="s">
        <v>5164</v>
      </c>
      <c r="B867" s="4" t="s">
        <v>112</v>
      </c>
      <c r="C867" s="4" t="s">
        <v>5165</v>
      </c>
      <c r="D867" s="4" t="s">
        <v>3255</v>
      </c>
      <c r="E867" s="4" t="s">
        <v>5166</v>
      </c>
      <c r="F867" s="4" t="s">
        <v>5167</v>
      </c>
      <c r="G867" s="4" t="s">
        <v>251</v>
      </c>
      <c r="H867" s="4" t="s">
        <v>252</v>
      </c>
      <c r="I867" s="4" t="s">
        <v>31</v>
      </c>
      <c r="J867" s="4" t="s">
        <v>5168</v>
      </c>
      <c r="K867" s="4" t="s">
        <v>122</v>
      </c>
      <c r="L867" s="4">
        <v>3</v>
      </c>
      <c r="M867" s="5">
        <v>449.94</v>
      </c>
      <c r="N867" s="4" t="s">
        <v>78</v>
      </c>
      <c r="O867" s="5">
        <v>44.99</v>
      </c>
      <c r="P867" s="5">
        <v>0</v>
      </c>
      <c r="Q867" s="5">
        <v>36.450000000000003</v>
      </c>
      <c r="R867" s="5">
        <v>441.4</v>
      </c>
      <c r="S867" s="4" t="s">
        <v>64</v>
      </c>
      <c r="T867" s="4" t="s">
        <v>173</v>
      </c>
      <c r="U867" s="4" t="s">
        <v>66</v>
      </c>
      <c r="V867" s="4" t="s">
        <v>633</v>
      </c>
      <c r="W867" s="5">
        <v>0</v>
      </c>
    </row>
    <row r="868" spans="1:23" x14ac:dyDescent="0.3">
      <c r="A868" s="2" t="s">
        <v>5169</v>
      </c>
      <c r="B868" s="2" t="s">
        <v>1732</v>
      </c>
      <c r="C868" s="2" t="s">
        <v>5170</v>
      </c>
      <c r="D868" s="2" t="s">
        <v>5171</v>
      </c>
      <c r="E868" s="2" t="s">
        <v>5172</v>
      </c>
      <c r="F868" s="2" t="s">
        <v>5173</v>
      </c>
      <c r="G868" s="2" t="s">
        <v>207</v>
      </c>
      <c r="H868" s="2" t="s">
        <v>141</v>
      </c>
      <c r="I868" s="2" t="s">
        <v>31</v>
      </c>
      <c r="J868" s="2" t="s">
        <v>5174</v>
      </c>
      <c r="K868" s="2" t="s">
        <v>209</v>
      </c>
      <c r="L868" s="2">
        <v>2</v>
      </c>
      <c r="M868" s="3">
        <v>139.97999999999999</v>
      </c>
      <c r="N868" s="2" t="s">
        <v>34</v>
      </c>
      <c r="O868" s="3">
        <v>0</v>
      </c>
      <c r="P868" s="3">
        <v>0</v>
      </c>
      <c r="Q868" s="3">
        <v>11.9</v>
      </c>
      <c r="R868" s="3">
        <v>151.88</v>
      </c>
      <c r="S868" s="2" t="s">
        <v>35</v>
      </c>
      <c r="T868" s="2" t="s">
        <v>99</v>
      </c>
      <c r="U868" s="2" t="s">
        <v>66</v>
      </c>
      <c r="V868" s="2" t="s">
        <v>135</v>
      </c>
      <c r="W868" s="3">
        <v>0</v>
      </c>
    </row>
    <row r="869" spans="1:23" x14ac:dyDescent="0.3">
      <c r="A869" s="4" t="s">
        <v>5175</v>
      </c>
      <c r="B869" s="4" t="s">
        <v>849</v>
      </c>
      <c r="C869" s="4" t="s">
        <v>5176</v>
      </c>
      <c r="D869" s="4" t="s">
        <v>4954</v>
      </c>
      <c r="E869" s="4" t="s">
        <v>5177</v>
      </c>
      <c r="F869" s="4" t="s">
        <v>5178</v>
      </c>
      <c r="G869" s="4" t="s">
        <v>291</v>
      </c>
      <c r="H869" s="4" t="s">
        <v>292</v>
      </c>
      <c r="I869" s="4" t="s">
        <v>31</v>
      </c>
      <c r="J869" s="4" t="s">
        <v>5179</v>
      </c>
      <c r="K869" s="4" t="s">
        <v>48</v>
      </c>
      <c r="L869" s="4">
        <v>1</v>
      </c>
      <c r="M869" s="5">
        <v>104.97</v>
      </c>
      <c r="N869" s="4" t="s">
        <v>78</v>
      </c>
      <c r="O869" s="5">
        <v>10.5</v>
      </c>
      <c r="P869" s="5">
        <v>0</v>
      </c>
      <c r="Q869" s="5">
        <v>8.5</v>
      </c>
      <c r="R869" s="5">
        <v>102.97</v>
      </c>
      <c r="S869" s="4" t="s">
        <v>64</v>
      </c>
      <c r="T869" s="4" t="s">
        <v>36</v>
      </c>
      <c r="U869" s="4" t="s">
        <v>66</v>
      </c>
      <c r="V869" s="4" t="s">
        <v>3092</v>
      </c>
      <c r="W869" s="5">
        <v>0</v>
      </c>
    </row>
    <row r="870" spans="1:23" x14ac:dyDescent="0.3">
      <c r="A870" s="2" t="s">
        <v>5180</v>
      </c>
      <c r="B870" s="2" t="s">
        <v>1321</v>
      </c>
      <c r="C870" s="2" t="s">
        <v>5181</v>
      </c>
      <c r="D870" s="2" t="s">
        <v>4842</v>
      </c>
      <c r="E870" s="2" t="s">
        <v>5182</v>
      </c>
      <c r="F870" s="2" t="s">
        <v>5183</v>
      </c>
      <c r="G870" s="2" t="s">
        <v>347</v>
      </c>
      <c r="H870" s="2" t="s">
        <v>60</v>
      </c>
      <c r="I870" s="2" t="s">
        <v>31</v>
      </c>
      <c r="J870" s="2" t="s">
        <v>678</v>
      </c>
      <c r="K870" s="2" t="s">
        <v>679</v>
      </c>
      <c r="L870" s="2">
        <v>1</v>
      </c>
      <c r="M870" s="3">
        <v>14.99</v>
      </c>
      <c r="N870" s="2" t="s">
        <v>63</v>
      </c>
      <c r="O870" s="3">
        <v>3.75</v>
      </c>
      <c r="P870" s="3">
        <v>9.99</v>
      </c>
      <c r="Q870" s="3">
        <v>1.01</v>
      </c>
      <c r="R870" s="3">
        <v>22.24</v>
      </c>
      <c r="S870" s="2" t="s">
        <v>35</v>
      </c>
      <c r="T870" s="2" t="s">
        <v>36</v>
      </c>
      <c r="U870" s="2" t="s">
        <v>66</v>
      </c>
      <c r="V870" s="2" t="s">
        <v>2096</v>
      </c>
      <c r="W870" s="3">
        <v>0</v>
      </c>
    </row>
    <row r="871" spans="1:23" x14ac:dyDescent="0.3">
      <c r="A871" s="4" t="s">
        <v>5184</v>
      </c>
      <c r="B871" s="4" t="s">
        <v>703</v>
      </c>
      <c r="C871" s="4" t="s">
        <v>5185</v>
      </c>
      <c r="D871" s="4" t="s">
        <v>5186</v>
      </c>
      <c r="E871" s="4" t="s">
        <v>5187</v>
      </c>
      <c r="F871" s="4" t="s">
        <v>5188</v>
      </c>
      <c r="G871" s="4" t="s">
        <v>171</v>
      </c>
      <c r="H871" s="4" t="s">
        <v>88</v>
      </c>
      <c r="I871" s="4" t="s">
        <v>31</v>
      </c>
      <c r="J871" s="4" t="s">
        <v>5189</v>
      </c>
      <c r="K871" s="4" t="s">
        <v>110</v>
      </c>
      <c r="L871" s="4">
        <v>4</v>
      </c>
      <c r="M871" s="5">
        <v>176.94</v>
      </c>
      <c r="N871" s="4" t="s">
        <v>63</v>
      </c>
      <c r="O871" s="5">
        <v>44.24</v>
      </c>
      <c r="P871" s="5">
        <v>0</v>
      </c>
      <c r="Q871" s="5">
        <v>9.2899999999999991</v>
      </c>
      <c r="R871" s="5">
        <v>141.99</v>
      </c>
      <c r="S871" s="4" t="s">
        <v>123</v>
      </c>
      <c r="T871" s="4" t="s">
        <v>50</v>
      </c>
      <c r="U871" s="4" t="s">
        <v>51</v>
      </c>
      <c r="V871" s="4" t="s">
        <v>709</v>
      </c>
      <c r="W871" s="5">
        <v>0</v>
      </c>
    </row>
    <row r="872" spans="1:23" x14ac:dyDescent="0.3">
      <c r="A872" s="2" t="s">
        <v>5190</v>
      </c>
      <c r="B872" s="2" t="s">
        <v>3092</v>
      </c>
      <c r="C872" s="2" t="s">
        <v>5191</v>
      </c>
      <c r="D872" s="2" t="s">
        <v>3759</v>
      </c>
      <c r="E872" s="2" t="s">
        <v>5192</v>
      </c>
      <c r="F872" s="2" t="s">
        <v>5193</v>
      </c>
      <c r="G872" s="2" t="s">
        <v>242</v>
      </c>
      <c r="H872" s="2" t="s">
        <v>243</v>
      </c>
      <c r="I872" s="2" t="s">
        <v>31</v>
      </c>
      <c r="J872" s="2" t="s">
        <v>526</v>
      </c>
      <c r="K872" s="2" t="s">
        <v>110</v>
      </c>
      <c r="L872" s="2">
        <v>1</v>
      </c>
      <c r="M872" s="3">
        <v>32.99</v>
      </c>
      <c r="N872" s="2" t="s">
        <v>152</v>
      </c>
      <c r="O872" s="3">
        <v>1.65</v>
      </c>
      <c r="P872" s="3">
        <v>4.99</v>
      </c>
      <c r="Q872" s="3">
        <v>3.13</v>
      </c>
      <c r="R872" s="3">
        <v>39.46</v>
      </c>
      <c r="S872" s="2" t="s">
        <v>35</v>
      </c>
      <c r="T872" s="2" t="s">
        <v>36</v>
      </c>
      <c r="U872" s="2" t="s">
        <v>100</v>
      </c>
      <c r="V872" s="2"/>
      <c r="W872" s="3">
        <v>0</v>
      </c>
    </row>
    <row r="873" spans="1:23" x14ac:dyDescent="0.3">
      <c r="A873" s="4" t="s">
        <v>5194</v>
      </c>
      <c r="B873" s="4" t="s">
        <v>1334</v>
      </c>
      <c r="C873" s="4" t="s">
        <v>5195</v>
      </c>
      <c r="D873" s="4" t="s">
        <v>492</v>
      </c>
      <c r="E873" s="4" t="s">
        <v>5196</v>
      </c>
      <c r="F873" s="4" t="s">
        <v>5197</v>
      </c>
      <c r="G873" s="4" t="s">
        <v>107</v>
      </c>
      <c r="H873" s="4" t="s">
        <v>108</v>
      </c>
      <c r="I873" s="4" t="s">
        <v>31</v>
      </c>
      <c r="J873" s="4" t="s">
        <v>172</v>
      </c>
      <c r="K873" s="4" t="s">
        <v>122</v>
      </c>
      <c r="L873" s="4">
        <v>1</v>
      </c>
      <c r="M873" s="5">
        <v>69.989999999999995</v>
      </c>
      <c r="N873" s="4" t="s">
        <v>78</v>
      </c>
      <c r="O873" s="5">
        <v>7</v>
      </c>
      <c r="P873" s="5">
        <v>4.99</v>
      </c>
      <c r="Q873" s="5">
        <v>6.3</v>
      </c>
      <c r="R873" s="5">
        <v>74.28</v>
      </c>
      <c r="S873" s="4" t="s">
        <v>79</v>
      </c>
      <c r="T873" s="4" t="s">
        <v>36</v>
      </c>
      <c r="U873" s="4" t="s">
        <v>317</v>
      </c>
      <c r="V873" s="4"/>
      <c r="W873" s="5">
        <v>0</v>
      </c>
    </row>
    <row r="874" spans="1:23" x14ac:dyDescent="0.3">
      <c r="A874" s="2" t="s">
        <v>5198</v>
      </c>
      <c r="B874" s="2" t="s">
        <v>92</v>
      </c>
      <c r="C874" s="2" t="s">
        <v>5199</v>
      </c>
      <c r="D874" s="2" t="s">
        <v>2641</v>
      </c>
      <c r="E874" s="2" t="s">
        <v>5200</v>
      </c>
      <c r="F874" s="2" t="s">
        <v>5201</v>
      </c>
      <c r="G874" s="2" t="s">
        <v>180</v>
      </c>
      <c r="H874" s="2" t="s">
        <v>181</v>
      </c>
      <c r="I874" s="2" t="s">
        <v>31</v>
      </c>
      <c r="J874" s="2" t="s">
        <v>5202</v>
      </c>
      <c r="K874" s="2" t="s">
        <v>110</v>
      </c>
      <c r="L874" s="2">
        <v>3</v>
      </c>
      <c r="M874" s="3">
        <v>659.94</v>
      </c>
      <c r="N874" s="2" t="s">
        <v>78</v>
      </c>
      <c r="O874" s="3">
        <v>65.989999999999995</v>
      </c>
      <c r="P874" s="3">
        <v>0</v>
      </c>
      <c r="Q874" s="3">
        <v>35.64</v>
      </c>
      <c r="R874" s="3">
        <v>629.59</v>
      </c>
      <c r="S874" s="2" t="s">
        <v>64</v>
      </c>
      <c r="T874" s="2" t="s">
        <v>99</v>
      </c>
      <c r="U874" s="2" t="s">
        <v>51</v>
      </c>
      <c r="V874" s="2" t="s">
        <v>5203</v>
      </c>
      <c r="W874" s="3">
        <v>0</v>
      </c>
    </row>
    <row r="875" spans="1:23" x14ac:dyDescent="0.3">
      <c r="A875" s="4" t="s">
        <v>5204</v>
      </c>
      <c r="B875" s="4" t="s">
        <v>1000</v>
      </c>
      <c r="C875" s="4" t="s">
        <v>5205</v>
      </c>
      <c r="D875" s="4" t="s">
        <v>906</v>
      </c>
      <c r="E875" s="4" t="s">
        <v>5206</v>
      </c>
      <c r="F875" s="4" t="s">
        <v>5207</v>
      </c>
      <c r="G875" s="4" t="s">
        <v>74</v>
      </c>
      <c r="H875" s="4" t="s">
        <v>75</v>
      </c>
      <c r="I875" s="4" t="s">
        <v>31</v>
      </c>
      <c r="J875" s="4" t="s">
        <v>5208</v>
      </c>
      <c r="K875" s="4" t="s">
        <v>209</v>
      </c>
      <c r="L875" s="4">
        <v>2</v>
      </c>
      <c r="M875" s="5">
        <v>138.97999999999999</v>
      </c>
      <c r="N875" s="4" t="s">
        <v>34</v>
      </c>
      <c r="O875" s="5">
        <v>0</v>
      </c>
      <c r="P875" s="5">
        <v>0</v>
      </c>
      <c r="Q875" s="5">
        <v>11.12</v>
      </c>
      <c r="R875" s="5">
        <v>150.1</v>
      </c>
      <c r="S875" s="4" t="s">
        <v>35</v>
      </c>
      <c r="T875" s="4" t="s">
        <v>173</v>
      </c>
      <c r="U875" s="4" t="s">
        <v>66</v>
      </c>
      <c r="V875" s="4" t="s">
        <v>595</v>
      </c>
      <c r="W875" s="5">
        <v>0</v>
      </c>
    </row>
    <row r="876" spans="1:23" x14ac:dyDescent="0.3">
      <c r="A876" s="2" t="s">
        <v>5209</v>
      </c>
      <c r="B876" s="2" t="s">
        <v>1209</v>
      </c>
      <c r="C876" s="2" t="s">
        <v>5210</v>
      </c>
      <c r="D876" s="2" t="s">
        <v>3777</v>
      </c>
      <c r="E876" s="2" t="s">
        <v>5211</v>
      </c>
      <c r="F876" s="2" t="s">
        <v>5212</v>
      </c>
      <c r="G876" s="2" t="s">
        <v>119</v>
      </c>
      <c r="H876" s="2" t="s">
        <v>120</v>
      </c>
      <c r="I876" s="2" t="s">
        <v>31</v>
      </c>
      <c r="J876" s="2" t="s">
        <v>1148</v>
      </c>
      <c r="K876" s="2" t="s">
        <v>33</v>
      </c>
      <c r="L876" s="2">
        <v>1</v>
      </c>
      <c r="M876" s="3">
        <v>18.989999999999998</v>
      </c>
      <c r="N876" s="2" t="s">
        <v>34</v>
      </c>
      <c r="O876" s="3">
        <v>0</v>
      </c>
      <c r="P876" s="3">
        <v>4.99</v>
      </c>
      <c r="Q876" s="3">
        <v>1.52</v>
      </c>
      <c r="R876" s="3">
        <v>25.5</v>
      </c>
      <c r="S876" s="2" t="s">
        <v>35</v>
      </c>
      <c r="T876" s="2" t="s">
        <v>325</v>
      </c>
      <c r="U876" s="2" t="s">
        <v>51</v>
      </c>
      <c r="V876" s="2" t="s">
        <v>5213</v>
      </c>
      <c r="W876" s="3">
        <v>0</v>
      </c>
    </row>
    <row r="877" spans="1:23" x14ac:dyDescent="0.3">
      <c r="A877" s="4" t="s">
        <v>5214</v>
      </c>
      <c r="B877" s="4" t="s">
        <v>1919</v>
      </c>
      <c r="C877" s="4" t="s">
        <v>5215</v>
      </c>
      <c r="D877" s="4" t="s">
        <v>5216</v>
      </c>
      <c r="E877" s="4" t="s">
        <v>5217</v>
      </c>
      <c r="F877" s="4" t="s">
        <v>5218</v>
      </c>
      <c r="G877" s="4" t="s">
        <v>160</v>
      </c>
      <c r="H877" s="4" t="s">
        <v>161</v>
      </c>
      <c r="I877" s="4" t="s">
        <v>31</v>
      </c>
      <c r="J877" s="4" t="s">
        <v>5219</v>
      </c>
      <c r="K877" s="4" t="s">
        <v>48</v>
      </c>
      <c r="L877" s="4">
        <v>3</v>
      </c>
      <c r="M877" s="5">
        <v>204.95</v>
      </c>
      <c r="N877" s="4" t="s">
        <v>152</v>
      </c>
      <c r="O877" s="5">
        <v>10.25</v>
      </c>
      <c r="P877" s="5">
        <v>0</v>
      </c>
      <c r="Q877" s="5">
        <v>19.47</v>
      </c>
      <c r="R877" s="5">
        <v>214.17</v>
      </c>
      <c r="S877" s="4" t="s">
        <v>123</v>
      </c>
      <c r="T877" s="4" t="s">
        <v>65</v>
      </c>
      <c r="U877" s="4" t="s">
        <v>66</v>
      </c>
      <c r="V877" s="4" t="s">
        <v>4025</v>
      </c>
      <c r="W877" s="5">
        <v>0</v>
      </c>
    </row>
    <row r="878" spans="1:23" x14ac:dyDescent="0.3">
      <c r="A878" s="2" t="s">
        <v>5220</v>
      </c>
      <c r="B878" s="2" t="s">
        <v>619</v>
      </c>
      <c r="C878" s="2" t="s">
        <v>5221</v>
      </c>
      <c r="D878" s="2" t="s">
        <v>5222</v>
      </c>
      <c r="E878" s="2" t="s">
        <v>5223</v>
      </c>
      <c r="F878" s="2" t="s">
        <v>5224</v>
      </c>
      <c r="G878" s="2" t="s">
        <v>180</v>
      </c>
      <c r="H878" s="2" t="s">
        <v>181</v>
      </c>
      <c r="I878" s="2" t="s">
        <v>31</v>
      </c>
      <c r="J878" s="2" t="s">
        <v>495</v>
      </c>
      <c r="K878" s="2" t="s">
        <v>209</v>
      </c>
      <c r="L878" s="2">
        <v>1</v>
      </c>
      <c r="M878" s="3">
        <v>29.99</v>
      </c>
      <c r="N878" s="2" t="s">
        <v>152</v>
      </c>
      <c r="O878" s="3">
        <v>1.5</v>
      </c>
      <c r="P878" s="3">
        <v>4.99</v>
      </c>
      <c r="Q878" s="3">
        <v>1.71</v>
      </c>
      <c r="R878" s="3">
        <v>35.19</v>
      </c>
      <c r="S878" s="2" t="s">
        <v>111</v>
      </c>
      <c r="T878" s="2" t="s">
        <v>99</v>
      </c>
      <c r="U878" s="2" t="s">
        <v>51</v>
      </c>
      <c r="V878" s="2" t="s">
        <v>1625</v>
      </c>
      <c r="W878" s="3">
        <v>0</v>
      </c>
    </row>
    <row r="879" spans="1:23" x14ac:dyDescent="0.3">
      <c r="A879" s="4" t="s">
        <v>5225</v>
      </c>
      <c r="B879" s="4" t="s">
        <v>3092</v>
      </c>
      <c r="C879" s="4" t="s">
        <v>5226</v>
      </c>
      <c r="D879" s="4" t="s">
        <v>5227</v>
      </c>
      <c r="E879" s="4" t="s">
        <v>5228</v>
      </c>
      <c r="F879" s="4" t="s">
        <v>5229</v>
      </c>
      <c r="G879" s="4" t="s">
        <v>428</v>
      </c>
      <c r="H879" s="4" t="s">
        <v>429</v>
      </c>
      <c r="I879" s="4" t="s">
        <v>31</v>
      </c>
      <c r="J879" s="4" t="s">
        <v>61</v>
      </c>
      <c r="K879" s="4" t="s">
        <v>62</v>
      </c>
      <c r="L879" s="4">
        <v>1</v>
      </c>
      <c r="M879" s="5">
        <v>24.99</v>
      </c>
      <c r="N879" s="4" t="s">
        <v>34</v>
      </c>
      <c r="O879" s="5">
        <v>0</v>
      </c>
      <c r="P879" s="5">
        <v>4.99</v>
      </c>
      <c r="Q879" s="5">
        <v>2.12</v>
      </c>
      <c r="R879" s="5">
        <v>32.1</v>
      </c>
      <c r="S879" s="4" t="s">
        <v>35</v>
      </c>
      <c r="T879" s="4" t="s">
        <v>144</v>
      </c>
      <c r="U879" s="4" t="s">
        <v>66</v>
      </c>
      <c r="V879" s="4" t="s">
        <v>2096</v>
      </c>
      <c r="W879" s="5">
        <v>0</v>
      </c>
    </row>
    <row r="880" spans="1:23" x14ac:dyDescent="0.3">
      <c r="A880" s="2" t="s">
        <v>5230</v>
      </c>
      <c r="B880" s="2" t="s">
        <v>270</v>
      </c>
      <c r="C880" s="2" t="s">
        <v>5231</v>
      </c>
      <c r="D880" s="2" t="s">
        <v>1733</v>
      </c>
      <c r="E880" s="2" t="s">
        <v>5232</v>
      </c>
      <c r="F880" s="2" t="s">
        <v>5233</v>
      </c>
      <c r="G880" s="2" t="s">
        <v>676</v>
      </c>
      <c r="H880" s="2" t="s">
        <v>677</v>
      </c>
      <c r="I880" s="2" t="s">
        <v>31</v>
      </c>
      <c r="J880" s="2" t="s">
        <v>577</v>
      </c>
      <c r="K880" s="2" t="s">
        <v>364</v>
      </c>
      <c r="L880" s="2">
        <v>1</v>
      </c>
      <c r="M880" s="3">
        <v>19.989999999999998</v>
      </c>
      <c r="N880" s="2" t="s">
        <v>49</v>
      </c>
      <c r="O880" s="3">
        <v>3</v>
      </c>
      <c r="P880" s="3">
        <v>5.99</v>
      </c>
      <c r="Q880" s="3">
        <v>1.53</v>
      </c>
      <c r="R880" s="3">
        <v>24.51</v>
      </c>
      <c r="S880" s="2" t="s">
        <v>35</v>
      </c>
      <c r="T880" s="2" t="s">
        <v>99</v>
      </c>
      <c r="U880" s="2" t="s">
        <v>317</v>
      </c>
      <c r="V880" s="2"/>
      <c r="W880" s="3">
        <v>0</v>
      </c>
    </row>
    <row r="881" spans="1:23" x14ac:dyDescent="0.3">
      <c r="A881" s="4" t="s">
        <v>5234</v>
      </c>
      <c r="B881" s="4" t="s">
        <v>342</v>
      </c>
      <c r="C881" s="4" t="s">
        <v>5235</v>
      </c>
      <c r="D881" s="4" t="s">
        <v>5236</v>
      </c>
      <c r="E881" s="4" t="s">
        <v>5237</v>
      </c>
      <c r="F881" s="4" t="s">
        <v>5238</v>
      </c>
      <c r="G881" s="4" t="s">
        <v>74</v>
      </c>
      <c r="H881" s="4" t="s">
        <v>75</v>
      </c>
      <c r="I881" s="4" t="s">
        <v>31</v>
      </c>
      <c r="J881" s="4" t="s">
        <v>5239</v>
      </c>
      <c r="K881" s="4" t="s">
        <v>209</v>
      </c>
      <c r="L881" s="4">
        <v>2</v>
      </c>
      <c r="M881" s="5">
        <v>129.97</v>
      </c>
      <c r="N881" s="4" t="s">
        <v>34</v>
      </c>
      <c r="O881" s="5">
        <v>0</v>
      </c>
      <c r="P881" s="5">
        <v>0</v>
      </c>
      <c r="Q881" s="5">
        <v>11.7</v>
      </c>
      <c r="R881" s="5">
        <v>141.66999999999999</v>
      </c>
      <c r="S881" s="4" t="s">
        <v>35</v>
      </c>
      <c r="T881" s="4" t="s">
        <v>36</v>
      </c>
      <c r="U881" s="4" t="s">
        <v>66</v>
      </c>
      <c r="V881" s="4" t="s">
        <v>296</v>
      </c>
      <c r="W881" s="5">
        <v>0</v>
      </c>
    </row>
    <row r="882" spans="1:23" x14ac:dyDescent="0.3">
      <c r="A882" s="2" t="s">
        <v>5240</v>
      </c>
      <c r="B882" s="2" t="s">
        <v>155</v>
      </c>
      <c r="C882" s="2" t="s">
        <v>5241</v>
      </c>
      <c r="D882" s="2" t="s">
        <v>4016</v>
      </c>
      <c r="E882" s="2" t="s">
        <v>5242</v>
      </c>
      <c r="F882" s="2" t="s">
        <v>5243</v>
      </c>
      <c r="G882" s="2" t="s">
        <v>29</v>
      </c>
      <c r="H882" s="2" t="s">
        <v>30</v>
      </c>
      <c r="I882" s="2" t="s">
        <v>31</v>
      </c>
      <c r="J882" s="2" t="s">
        <v>5244</v>
      </c>
      <c r="K882" s="2" t="s">
        <v>122</v>
      </c>
      <c r="L882" s="2">
        <v>5</v>
      </c>
      <c r="M882" s="3">
        <v>312.95</v>
      </c>
      <c r="N882" s="2" t="s">
        <v>163</v>
      </c>
      <c r="O882" s="3">
        <v>62.59</v>
      </c>
      <c r="P882" s="3">
        <v>0</v>
      </c>
      <c r="Q882" s="3">
        <v>17.53</v>
      </c>
      <c r="R882" s="3">
        <v>267.89</v>
      </c>
      <c r="S882" s="2" t="s">
        <v>35</v>
      </c>
      <c r="T882" s="2" t="s">
        <v>36</v>
      </c>
      <c r="U882" s="2" t="s">
        <v>66</v>
      </c>
      <c r="V882" s="2" t="s">
        <v>24</v>
      </c>
      <c r="W882" s="3">
        <v>0</v>
      </c>
    </row>
    <row r="883" spans="1:23" x14ac:dyDescent="0.3">
      <c r="A883" s="4" t="s">
        <v>5245</v>
      </c>
      <c r="B883" s="4" t="s">
        <v>3421</v>
      </c>
      <c r="C883" s="4" t="s">
        <v>5246</v>
      </c>
      <c r="D883" s="4" t="s">
        <v>1733</v>
      </c>
      <c r="E883" s="4" t="s">
        <v>5247</v>
      </c>
      <c r="F883" s="4" t="s">
        <v>5248</v>
      </c>
      <c r="G883" s="4" t="s">
        <v>45</v>
      </c>
      <c r="H883" s="4" t="s">
        <v>46</v>
      </c>
      <c r="I883" s="4" t="s">
        <v>31</v>
      </c>
      <c r="J883" s="4" t="s">
        <v>1054</v>
      </c>
      <c r="K883" s="4" t="s">
        <v>364</v>
      </c>
      <c r="L883" s="4">
        <v>1</v>
      </c>
      <c r="M883" s="5">
        <v>44.99</v>
      </c>
      <c r="N883" s="4" t="s">
        <v>34</v>
      </c>
      <c r="O883" s="5">
        <v>0</v>
      </c>
      <c r="P883" s="5">
        <v>9.99</v>
      </c>
      <c r="Q883" s="5">
        <v>3.82</v>
      </c>
      <c r="R883" s="5">
        <v>58.8</v>
      </c>
      <c r="S883" s="4" t="s">
        <v>79</v>
      </c>
      <c r="T883" s="4" t="s">
        <v>173</v>
      </c>
      <c r="U883" s="4" t="s">
        <v>66</v>
      </c>
      <c r="V883" s="4" t="s">
        <v>268</v>
      </c>
      <c r="W883" s="5">
        <v>0</v>
      </c>
    </row>
    <row r="884" spans="1:23" x14ac:dyDescent="0.3">
      <c r="A884" s="2" t="s">
        <v>5249</v>
      </c>
      <c r="B884" s="2" t="s">
        <v>3042</v>
      </c>
      <c r="C884" s="2" t="s">
        <v>5250</v>
      </c>
      <c r="D884" s="2" t="s">
        <v>1938</v>
      </c>
      <c r="E884" s="2" t="s">
        <v>5251</v>
      </c>
      <c r="F884" s="2" t="s">
        <v>5252</v>
      </c>
      <c r="G884" s="2" t="s">
        <v>29</v>
      </c>
      <c r="H884" s="2" t="s">
        <v>30</v>
      </c>
      <c r="I884" s="2" t="s">
        <v>31</v>
      </c>
      <c r="J884" s="2" t="s">
        <v>5253</v>
      </c>
      <c r="K884" s="2" t="s">
        <v>209</v>
      </c>
      <c r="L884" s="2">
        <v>4</v>
      </c>
      <c r="M884" s="3">
        <v>449.95</v>
      </c>
      <c r="N884" s="2" t="s">
        <v>152</v>
      </c>
      <c r="O884" s="3">
        <v>22.5</v>
      </c>
      <c r="P884" s="3">
        <v>0</v>
      </c>
      <c r="Q884" s="3">
        <v>36.33</v>
      </c>
      <c r="R884" s="3">
        <v>463.78</v>
      </c>
      <c r="S884" s="2" t="s">
        <v>35</v>
      </c>
      <c r="T884" s="2" t="s">
        <v>36</v>
      </c>
      <c r="U884" s="2" t="s">
        <v>100</v>
      </c>
      <c r="V884" s="2"/>
      <c r="W884" s="3">
        <v>0</v>
      </c>
    </row>
    <row r="885" spans="1:23" x14ac:dyDescent="0.3">
      <c r="A885" s="4" t="s">
        <v>5254</v>
      </c>
      <c r="B885" s="4" t="s">
        <v>2015</v>
      </c>
      <c r="C885" s="4" t="s">
        <v>5255</v>
      </c>
      <c r="D885" s="4" t="s">
        <v>5256</v>
      </c>
      <c r="E885" s="4" t="s">
        <v>5257</v>
      </c>
      <c r="F885" s="4" t="s">
        <v>5258</v>
      </c>
      <c r="G885" s="4" t="s">
        <v>87</v>
      </c>
      <c r="H885" s="4" t="s">
        <v>88</v>
      </c>
      <c r="I885" s="4" t="s">
        <v>31</v>
      </c>
      <c r="J885" s="4" t="s">
        <v>5259</v>
      </c>
      <c r="K885" s="4" t="s">
        <v>209</v>
      </c>
      <c r="L885" s="4">
        <v>4</v>
      </c>
      <c r="M885" s="5">
        <v>337.94</v>
      </c>
      <c r="N885" s="4" t="s">
        <v>34</v>
      </c>
      <c r="O885" s="5">
        <v>0</v>
      </c>
      <c r="P885" s="5">
        <v>0</v>
      </c>
      <c r="Q885" s="5">
        <v>20.28</v>
      </c>
      <c r="R885" s="5">
        <v>358.22</v>
      </c>
      <c r="S885" s="4" t="s">
        <v>35</v>
      </c>
      <c r="T885" s="4" t="s">
        <v>99</v>
      </c>
      <c r="U885" s="4" t="s">
        <v>66</v>
      </c>
      <c r="V885" s="4" t="s">
        <v>455</v>
      </c>
      <c r="W885" s="5">
        <v>0</v>
      </c>
    </row>
    <row r="886" spans="1:23" x14ac:dyDescent="0.3">
      <c r="A886" s="2" t="s">
        <v>5260</v>
      </c>
      <c r="B886" s="2" t="s">
        <v>1575</v>
      </c>
      <c r="C886" s="2" t="s">
        <v>5261</v>
      </c>
      <c r="D886" s="2" t="s">
        <v>3065</v>
      </c>
      <c r="E886" s="2" t="s">
        <v>5262</v>
      </c>
      <c r="F886" s="2" t="s">
        <v>5263</v>
      </c>
      <c r="G886" s="2" t="s">
        <v>251</v>
      </c>
      <c r="H886" s="2" t="s">
        <v>252</v>
      </c>
      <c r="I886" s="2" t="s">
        <v>31</v>
      </c>
      <c r="J886" s="2" t="s">
        <v>5264</v>
      </c>
      <c r="K886" s="2" t="s">
        <v>122</v>
      </c>
      <c r="L886" s="2">
        <v>4</v>
      </c>
      <c r="M886" s="3">
        <v>613.91</v>
      </c>
      <c r="N886" s="2" t="s">
        <v>63</v>
      </c>
      <c r="O886" s="3">
        <v>153.47999999999999</v>
      </c>
      <c r="P886" s="3">
        <v>0</v>
      </c>
      <c r="Q886" s="3">
        <v>32.229999999999997</v>
      </c>
      <c r="R886" s="3">
        <v>492.66</v>
      </c>
      <c r="S886" s="2" t="s">
        <v>64</v>
      </c>
      <c r="T886" s="2" t="s">
        <v>325</v>
      </c>
      <c r="U886" s="2" t="s">
        <v>66</v>
      </c>
      <c r="V886" s="2" t="s">
        <v>986</v>
      </c>
      <c r="W886" s="3">
        <v>0</v>
      </c>
    </row>
    <row r="887" spans="1:23" x14ac:dyDescent="0.3">
      <c r="A887" s="4" t="s">
        <v>5265</v>
      </c>
      <c r="B887" s="4" t="s">
        <v>3042</v>
      </c>
      <c r="C887" s="4" t="s">
        <v>5266</v>
      </c>
      <c r="D887" s="4" t="s">
        <v>2151</v>
      </c>
      <c r="E887" s="4" t="s">
        <v>5267</v>
      </c>
      <c r="F887" s="4" t="s">
        <v>5268</v>
      </c>
      <c r="G887" s="4" t="s">
        <v>251</v>
      </c>
      <c r="H887" s="4" t="s">
        <v>252</v>
      </c>
      <c r="I887" s="4" t="s">
        <v>31</v>
      </c>
      <c r="J887" s="4" t="s">
        <v>5269</v>
      </c>
      <c r="K887" s="4" t="s">
        <v>33</v>
      </c>
      <c r="L887" s="4">
        <v>3</v>
      </c>
      <c r="M887" s="5">
        <v>125.96</v>
      </c>
      <c r="N887" s="4" t="s">
        <v>49</v>
      </c>
      <c r="O887" s="5">
        <v>18.89</v>
      </c>
      <c r="P887" s="5">
        <v>0</v>
      </c>
      <c r="Q887" s="5">
        <v>10.71</v>
      </c>
      <c r="R887" s="5">
        <v>117.78</v>
      </c>
      <c r="S887" s="4" t="s">
        <v>111</v>
      </c>
      <c r="T887" s="4" t="s">
        <v>36</v>
      </c>
      <c r="U887" s="4" t="s">
        <v>51</v>
      </c>
      <c r="V887" s="4" t="s">
        <v>744</v>
      </c>
      <c r="W887" s="5">
        <v>0</v>
      </c>
    </row>
    <row r="888" spans="1:23" x14ac:dyDescent="0.3">
      <c r="A888" s="2" t="s">
        <v>5270</v>
      </c>
      <c r="B888" s="2" t="s">
        <v>930</v>
      </c>
      <c r="C888" s="2" t="s">
        <v>5271</v>
      </c>
      <c r="D888" s="2" t="s">
        <v>3374</v>
      </c>
      <c r="E888" s="2" t="s">
        <v>5272</v>
      </c>
      <c r="F888" s="2" t="s">
        <v>5273</v>
      </c>
      <c r="G888" s="2" t="s">
        <v>1730</v>
      </c>
      <c r="H888" s="2" t="s">
        <v>161</v>
      </c>
      <c r="I888" s="2" t="s">
        <v>31</v>
      </c>
      <c r="J888" s="2" t="s">
        <v>191</v>
      </c>
      <c r="K888" s="2" t="s">
        <v>77</v>
      </c>
      <c r="L888" s="2">
        <v>1</v>
      </c>
      <c r="M888" s="3">
        <v>24.99</v>
      </c>
      <c r="N888" s="2" t="s">
        <v>49</v>
      </c>
      <c r="O888" s="3">
        <v>3.75</v>
      </c>
      <c r="P888" s="3">
        <v>4.99</v>
      </c>
      <c r="Q888" s="3">
        <v>2.12</v>
      </c>
      <c r="R888" s="3">
        <v>28.35</v>
      </c>
      <c r="S888" s="2" t="s">
        <v>35</v>
      </c>
      <c r="T888" s="2" t="s">
        <v>36</v>
      </c>
      <c r="U888" s="2" t="s">
        <v>66</v>
      </c>
      <c r="V888" s="2" t="s">
        <v>1631</v>
      </c>
      <c r="W888" s="3">
        <v>0</v>
      </c>
    </row>
    <row r="889" spans="1:23" x14ac:dyDescent="0.3">
      <c r="A889" s="4" t="s">
        <v>5274</v>
      </c>
      <c r="B889" s="4" t="s">
        <v>2210</v>
      </c>
      <c r="C889" s="4" t="s">
        <v>5275</v>
      </c>
      <c r="D889" s="4" t="s">
        <v>2596</v>
      </c>
      <c r="E889" s="4" t="s">
        <v>5276</v>
      </c>
      <c r="F889" s="4" t="s">
        <v>5277</v>
      </c>
      <c r="G889" s="4" t="s">
        <v>119</v>
      </c>
      <c r="H889" s="4" t="s">
        <v>120</v>
      </c>
      <c r="I889" s="4" t="s">
        <v>31</v>
      </c>
      <c r="J889" s="4" t="s">
        <v>5278</v>
      </c>
      <c r="K889" s="4" t="s">
        <v>143</v>
      </c>
      <c r="L889" s="4">
        <v>5</v>
      </c>
      <c r="M889" s="5">
        <v>383.93</v>
      </c>
      <c r="N889" s="4" t="s">
        <v>49</v>
      </c>
      <c r="O889" s="5">
        <v>57.59</v>
      </c>
      <c r="P889" s="5">
        <v>0</v>
      </c>
      <c r="Q889" s="5">
        <v>19.579999999999998</v>
      </c>
      <c r="R889" s="5">
        <v>345.92</v>
      </c>
      <c r="S889" s="4" t="s">
        <v>98</v>
      </c>
      <c r="T889" s="4" t="s">
        <v>36</v>
      </c>
      <c r="U889" s="4" t="s">
        <v>100</v>
      </c>
      <c r="V889" s="4"/>
      <c r="W889" s="5">
        <v>0</v>
      </c>
    </row>
    <row r="890" spans="1:23" x14ac:dyDescent="0.3">
      <c r="A890" s="2" t="s">
        <v>5279</v>
      </c>
      <c r="B890" s="2" t="s">
        <v>54</v>
      </c>
      <c r="C890" s="2" t="s">
        <v>5280</v>
      </c>
      <c r="D890" s="2" t="s">
        <v>5236</v>
      </c>
      <c r="E890" s="2" t="s">
        <v>5281</v>
      </c>
      <c r="F890" s="2" t="s">
        <v>5282</v>
      </c>
      <c r="G890" s="2" t="s">
        <v>802</v>
      </c>
      <c r="H890" s="2" t="s">
        <v>88</v>
      </c>
      <c r="I890" s="2" t="s">
        <v>31</v>
      </c>
      <c r="J890" s="2" t="s">
        <v>5283</v>
      </c>
      <c r="K890" s="2" t="s">
        <v>48</v>
      </c>
      <c r="L890" s="2">
        <v>3</v>
      </c>
      <c r="M890" s="3">
        <v>144.97</v>
      </c>
      <c r="N890" s="2" t="s">
        <v>34</v>
      </c>
      <c r="O890" s="3">
        <v>0</v>
      </c>
      <c r="P890" s="3">
        <v>0</v>
      </c>
      <c r="Q890" s="3">
        <v>12.32</v>
      </c>
      <c r="R890" s="3">
        <v>157.29</v>
      </c>
      <c r="S890" s="2" t="s">
        <v>332</v>
      </c>
      <c r="T890" s="2" t="s">
        <v>99</v>
      </c>
      <c r="U890" s="2" t="s">
        <v>317</v>
      </c>
      <c r="V890" s="2"/>
      <c r="W890" s="3">
        <v>0</v>
      </c>
    </row>
    <row r="891" spans="1:23" x14ac:dyDescent="0.3">
      <c r="A891" s="4" t="s">
        <v>5284</v>
      </c>
      <c r="B891" s="4" t="s">
        <v>3438</v>
      </c>
      <c r="C891" s="4" t="s">
        <v>5285</v>
      </c>
      <c r="D891" s="4" t="s">
        <v>5286</v>
      </c>
      <c r="E891" s="4" t="s">
        <v>5287</v>
      </c>
      <c r="F891" s="4" t="s">
        <v>5288</v>
      </c>
      <c r="G891" s="4" t="s">
        <v>160</v>
      </c>
      <c r="H891" s="4" t="s">
        <v>161</v>
      </c>
      <c r="I891" s="4" t="s">
        <v>31</v>
      </c>
      <c r="J891" s="4" t="s">
        <v>5289</v>
      </c>
      <c r="K891" s="4" t="s">
        <v>62</v>
      </c>
      <c r="L891" s="4">
        <v>2</v>
      </c>
      <c r="M891" s="5">
        <v>77.97</v>
      </c>
      <c r="N891" s="4" t="s">
        <v>34</v>
      </c>
      <c r="O891" s="5">
        <v>0</v>
      </c>
      <c r="P891" s="5">
        <v>0</v>
      </c>
      <c r="Q891" s="5">
        <v>4.68</v>
      </c>
      <c r="R891" s="5">
        <v>82.65</v>
      </c>
      <c r="S891" s="4" t="s">
        <v>332</v>
      </c>
      <c r="T891" s="4" t="s">
        <v>325</v>
      </c>
      <c r="U891" s="4" t="s">
        <v>66</v>
      </c>
      <c r="V891" s="4" t="s">
        <v>256</v>
      </c>
      <c r="W891" s="5">
        <v>0</v>
      </c>
    </row>
    <row r="892" spans="1:23" x14ac:dyDescent="0.3">
      <c r="A892" s="2" t="s">
        <v>5290</v>
      </c>
      <c r="B892" s="2" t="s">
        <v>284</v>
      </c>
      <c r="C892" s="2" t="s">
        <v>5291</v>
      </c>
      <c r="D892" s="2" t="s">
        <v>5292</v>
      </c>
      <c r="E892" s="2" t="s">
        <v>5293</v>
      </c>
      <c r="F892" s="2" t="s">
        <v>5294</v>
      </c>
      <c r="G892" s="2" t="s">
        <v>29</v>
      </c>
      <c r="H892" s="2" t="s">
        <v>30</v>
      </c>
      <c r="I892" s="2" t="s">
        <v>31</v>
      </c>
      <c r="J892" s="2" t="s">
        <v>1232</v>
      </c>
      <c r="K892" s="2" t="s">
        <v>77</v>
      </c>
      <c r="L892" s="2">
        <v>1</v>
      </c>
      <c r="M892" s="3">
        <v>34.99</v>
      </c>
      <c r="N892" s="2" t="s">
        <v>163</v>
      </c>
      <c r="O892" s="3">
        <v>7</v>
      </c>
      <c r="P892" s="3">
        <v>5.99</v>
      </c>
      <c r="Q892" s="3">
        <v>2.52</v>
      </c>
      <c r="R892" s="3">
        <v>36.5</v>
      </c>
      <c r="S892" s="2" t="s">
        <v>35</v>
      </c>
      <c r="T892" s="2" t="s">
        <v>99</v>
      </c>
      <c r="U892" s="2" t="s">
        <v>66</v>
      </c>
      <c r="V892" s="2" t="s">
        <v>372</v>
      </c>
      <c r="W892" s="3">
        <v>0</v>
      </c>
    </row>
    <row r="893" spans="1:23" x14ac:dyDescent="0.3">
      <c r="A893" s="4" t="s">
        <v>5295</v>
      </c>
      <c r="B893" s="4" t="s">
        <v>3475</v>
      </c>
      <c r="C893" s="4" t="s">
        <v>5296</v>
      </c>
      <c r="D893" s="4" t="s">
        <v>5297</v>
      </c>
      <c r="E893" s="4" t="s">
        <v>5298</v>
      </c>
      <c r="F893" s="4" t="s">
        <v>5299</v>
      </c>
      <c r="G893" s="4" t="s">
        <v>692</v>
      </c>
      <c r="H893" s="4" t="s">
        <v>693</v>
      </c>
      <c r="I893" s="4" t="s">
        <v>31</v>
      </c>
      <c r="J893" s="4" t="s">
        <v>1269</v>
      </c>
      <c r="K893" s="4" t="s">
        <v>77</v>
      </c>
      <c r="L893" s="4">
        <v>1</v>
      </c>
      <c r="M893" s="5">
        <v>27.99</v>
      </c>
      <c r="N893" s="4" t="s">
        <v>34</v>
      </c>
      <c r="O893" s="5">
        <v>0</v>
      </c>
      <c r="P893" s="5">
        <v>9.99</v>
      </c>
      <c r="Q893" s="5">
        <v>1.68</v>
      </c>
      <c r="R893" s="5">
        <v>39.659999999999997</v>
      </c>
      <c r="S893" s="4" t="s">
        <v>35</v>
      </c>
      <c r="T893" s="4" t="s">
        <v>99</v>
      </c>
      <c r="U893" s="4" t="s">
        <v>66</v>
      </c>
      <c r="V893" s="4" t="s">
        <v>478</v>
      </c>
      <c r="W893" s="5">
        <v>0</v>
      </c>
    </row>
    <row r="894" spans="1:23" x14ac:dyDescent="0.3">
      <c r="A894" s="2" t="s">
        <v>5300</v>
      </c>
      <c r="B894" s="2" t="s">
        <v>2723</v>
      </c>
      <c r="C894" s="2" t="s">
        <v>5301</v>
      </c>
      <c r="D894" s="2" t="s">
        <v>3667</v>
      </c>
      <c r="E894" s="2" t="s">
        <v>5302</v>
      </c>
      <c r="F894" s="2" t="s">
        <v>5303</v>
      </c>
      <c r="G894" s="2" t="s">
        <v>87</v>
      </c>
      <c r="H894" s="2" t="s">
        <v>88</v>
      </c>
      <c r="I894" s="2" t="s">
        <v>31</v>
      </c>
      <c r="J894" s="2" t="s">
        <v>5304</v>
      </c>
      <c r="K894" s="2" t="s">
        <v>62</v>
      </c>
      <c r="L894" s="2">
        <v>2</v>
      </c>
      <c r="M894" s="3">
        <v>104.96</v>
      </c>
      <c r="N894" s="2" t="s">
        <v>152</v>
      </c>
      <c r="O894" s="3">
        <v>5.25</v>
      </c>
      <c r="P894" s="3">
        <v>0</v>
      </c>
      <c r="Q894" s="3">
        <v>7.98</v>
      </c>
      <c r="R894" s="3">
        <v>107.69</v>
      </c>
      <c r="S894" s="2" t="s">
        <v>111</v>
      </c>
      <c r="T894" s="2" t="s">
        <v>99</v>
      </c>
      <c r="U894" s="2" t="s">
        <v>37</v>
      </c>
      <c r="V894" s="2" t="s">
        <v>1215</v>
      </c>
      <c r="W894" s="3">
        <v>107.69</v>
      </c>
    </row>
    <row r="895" spans="1:23" x14ac:dyDescent="0.3">
      <c r="A895" s="4" t="s">
        <v>5305</v>
      </c>
      <c r="B895" s="4" t="s">
        <v>328</v>
      </c>
      <c r="C895" s="4" t="s">
        <v>5306</v>
      </c>
      <c r="D895" s="4" t="s">
        <v>1562</v>
      </c>
      <c r="E895" s="4" t="s">
        <v>5307</v>
      </c>
      <c r="F895" s="4" t="s">
        <v>5308</v>
      </c>
      <c r="G895" s="4" t="s">
        <v>224</v>
      </c>
      <c r="H895" s="4" t="s">
        <v>225</v>
      </c>
      <c r="I895" s="4" t="s">
        <v>31</v>
      </c>
      <c r="J895" s="4" t="s">
        <v>5309</v>
      </c>
      <c r="K895" s="4" t="s">
        <v>62</v>
      </c>
      <c r="L895" s="4">
        <v>2</v>
      </c>
      <c r="M895" s="5">
        <v>121.96</v>
      </c>
      <c r="N895" s="4" t="s">
        <v>34</v>
      </c>
      <c r="O895" s="5">
        <v>0</v>
      </c>
      <c r="P895" s="5">
        <v>0</v>
      </c>
      <c r="Q895" s="5">
        <v>10.37</v>
      </c>
      <c r="R895" s="5">
        <v>132.33000000000001</v>
      </c>
      <c r="S895" s="4" t="s">
        <v>35</v>
      </c>
      <c r="T895" s="4" t="s">
        <v>183</v>
      </c>
      <c r="U895" s="4" t="s">
        <v>100</v>
      </c>
      <c r="V895" s="4"/>
      <c r="W895" s="5">
        <v>0</v>
      </c>
    </row>
    <row r="896" spans="1:23" x14ac:dyDescent="0.3">
      <c r="A896" s="2" t="s">
        <v>5310</v>
      </c>
      <c r="B896" s="2" t="s">
        <v>744</v>
      </c>
      <c r="C896" s="2" t="s">
        <v>5311</v>
      </c>
      <c r="D896" s="2" t="s">
        <v>5312</v>
      </c>
      <c r="E896" s="2" t="s">
        <v>5313</v>
      </c>
      <c r="F896" s="2" t="s">
        <v>5314</v>
      </c>
      <c r="G896" s="2" t="s">
        <v>160</v>
      </c>
      <c r="H896" s="2" t="s">
        <v>161</v>
      </c>
      <c r="I896" s="2" t="s">
        <v>31</v>
      </c>
      <c r="J896" s="2" t="s">
        <v>5315</v>
      </c>
      <c r="K896" s="2" t="s">
        <v>364</v>
      </c>
      <c r="L896" s="2">
        <v>2</v>
      </c>
      <c r="M896" s="3">
        <v>94.97</v>
      </c>
      <c r="N896" s="2" t="s">
        <v>34</v>
      </c>
      <c r="O896" s="3">
        <v>0</v>
      </c>
      <c r="P896" s="3">
        <v>0</v>
      </c>
      <c r="Q896" s="3">
        <v>5.7</v>
      </c>
      <c r="R896" s="3">
        <v>100.67</v>
      </c>
      <c r="S896" s="2" t="s">
        <v>123</v>
      </c>
      <c r="T896" s="2" t="s">
        <v>173</v>
      </c>
      <c r="U896" s="2" t="s">
        <v>66</v>
      </c>
      <c r="V896" s="2" t="s">
        <v>1490</v>
      </c>
      <c r="W896" s="3">
        <v>0</v>
      </c>
    </row>
    <row r="897" spans="1:23" x14ac:dyDescent="0.3">
      <c r="A897" s="4" t="s">
        <v>5316</v>
      </c>
      <c r="B897" s="4" t="s">
        <v>496</v>
      </c>
      <c r="C897" s="4" t="s">
        <v>5317</v>
      </c>
      <c r="D897" s="4" t="s">
        <v>4005</v>
      </c>
      <c r="E897" s="4" t="s">
        <v>5318</v>
      </c>
      <c r="F897" s="4" t="s">
        <v>5319</v>
      </c>
      <c r="G897" s="4" t="s">
        <v>291</v>
      </c>
      <c r="H897" s="4" t="s">
        <v>292</v>
      </c>
      <c r="I897" s="4" t="s">
        <v>31</v>
      </c>
      <c r="J897" s="4" t="s">
        <v>661</v>
      </c>
      <c r="K897" s="4" t="s">
        <v>143</v>
      </c>
      <c r="L897" s="4">
        <v>1</v>
      </c>
      <c r="M897" s="5">
        <v>79.989999999999995</v>
      </c>
      <c r="N897" s="4" t="s">
        <v>78</v>
      </c>
      <c r="O897" s="5">
        <v>8</v>
      </c>
      <c r="P897" s="5">
        <v>0</v>
      </c>
      <c r="Q897" s="5">
        <v>5.76</v>
      </c>
      <c r="R897" s="5">
        <v>77.75</v>
      </c>
      <c r="S897" s="4" t="s">
        <v>35</v>
      </c>
      <c r="T897" s="4" t="s">
        <v>99</v>
      </c>
      <c r="U897" s="4" t="s">
        <v>66</v>
      </c>
      <c r="V897" s="4" t="s">
        <v>192</v>
      </c>
      <c r="W897" s="5">
        <v>0</v>
      </c>
    </row>
    <row r="898" spans="1:23" x14ac:dyDescent="0.3">
      <c r="A898" s="2" t="s">
        <v>5320</v>
      </c>
      <c r="B898" s="2" t="s">
        <v>2149</v>
      </c>
      <c r="C898" s="2" t="s">
        <v>5321</v>
      </c>
      <c r="D898" s="2" t="s">
        <v>4435</v>
      </c>
      <c r="E898" s="2" t="s">
        <v>5322</v>
      </c>
      <c r="F898" s="2" t="s">
        <v>5323</v>
      </c>
      <c r="G898" s="2" t="s">
        <v>692</v>
      </c>
      <c r="H898" s="2" t="s">
        <v>693</v>
      </c>
      <c r="I898" s="2" t="s">
        <v>31</v>
      </c>
      <c r="J898" s="2" t="s">
        <v>5324</v>
      </c>
      <c r="K898" s="2" t="s">
        <v>209</v>
      </c>
      <c r="L898" s="2">
        <v>2</v>
      </c>
      <c r="M898" s="3">
        <v>79.97</v>
      </c>
      <c r="N898" s="2" t="s">
        <v>78</v>
      </c>
      <c r="O898" s="3">
        <v>8</v>
      </c>
      <c r="P898" s="3">
        <v>0</v>
      </c>
      <c r="Q898" s="3">
        <v>6.12</v>
      </c>
      <c r="R898" s="3">
        <v>78.09</v>
      </c>
      <c r="S898" s="2" t="s">
        <v>35</v>
      </c>
      <c r="T898" s="2" t="s">
        <v>99</v>
      </c>
      <c r="U898" s="2" t="s">
        <v>51</v>
      </c>
      <c r="V898" s="2" t="s">
        <v>696</v>
      </c>
      <c r="W898" s="3">
        <v>0</v>
      </c>
    </row>
    <row r="899" spans="1:23" x14ac:dyDescent="0.3">
      <c r="A899" s="4" t="s">
        <v>5325</v>
      </c>
      <c r="B899" s="4" t="s">
        <v>82</v>
      </c>
      <c r="C899" s="4" t="s">
        <v>5326</v>
      </c>
      <c r="D899" s="4" t="s">
        <v>5327</v>
      </c>
      <c r="E899" s="4" t="s">
        <v>5328</v>
      </c>
      <c r="F899" s="4" t="s">
        <v>5329</v>
      </c>
      <c r="G899" s="4" t="s">
        <v>74</v>
      </c>
      <c r="H899" s="4" t="s">
        <v>75</v>
      </c>
      <c r="I899" s="4" t="s">
        <v>31</v>
      </c>
      <c r="J899" s="4" t="s">
        <v>1695</v>
      </c>
      <c r="K899" s="4" t="s">
        <v>33</v>
      </c>
      <c r="L899" s="4">
        <v>1</v>
      </c>
      <c r="M899" s="5">
        <v>71.98</v>
      </c>
      <c r="N899" s="4" t="s">
        <v>152</v>
      </c>
      <c r="O899" s="5">
        <v>3.6</v>
      </c>
      <c r="P899" s="5">
        <v>4.99</v>
      </c>
      <c r="Q899" s="5">
        <v>4.0999999999999996</v>
      </c>
      <c r="R899" s="5">
        <v>77.47</v>
      </c>
      <c r="S899" s="4" t="s">
        <v>64</v>
      </c>
      <c r="T899" s="4" t="s">
        <v>173</v>
      </c>
      <c r="U899" s="4" t="s">
        <v>66</v>
      </c>
      <c r="V899" s="4" t="s">
        <v>219</v>
      </c>
      <c r="W899" s="5">
        <v>0</v>
      </c>
    </row>
    <row r="900" spans="1:23" x14ac:dyDescent="0.3">
      <c r="A900" s="2" t="s">
        <v>5330</v>
      </c>
      <c r="B900" s="2" t="s">
        <v>891</v>
      </c>
      <c r="C900" s="2" t="s">
        <v>5331</v>
      </c>
      <c r="D900" s="2" t="s">
        <v>2455</v>
      </c>
      <c r="E900" s="2" t="s">
        <v>5332</v>
      </c>
      <c r="F900" s="2" t="s">
        <v>5333</v>
      </c>
      <c r="G900" s="2" t="s">
        <v>251</v>
      </c>
      <c r="H900" s="2" t="s">
        <v>252</v>
      </c>
      <c r="I900" s="2" t="s">
        <v>31</v>
      </c>
      <c r="J900" s="2" t="s">
        <v>632</v>
      </c>
      <c r="K900" s="2" t="s">
        <v>33</v>
      </c>
      <c r="L900" s="2">
        <v>1</v>
      </c>
      <c r="M900" s="3">
        <v>49.99</v>
      </c>
      <c r="N900" s="2" t="s">
        <v>63</v>
      </c>
      <c r="O900" s="3">
        <v>12.5</v>
      </c>
      <c r="P900" s="3">
        <v>7.99</v>
      </c>
      <c r="Q900" s="3">
        <v>3</v>
      </c>
      <c r="R900" s="3">
        <v>48.48</v>
      </c>
      <c r="S900" s="2" t="s">
        <v>35</v>
      </c>
      <c r="T900" s="2" t="s">
        <v>99</v>
      </c>
      <c r="U900" s="2" t="s">
        <v>66</v>
      </c>
      <c r="V900" s="2" t="s">
        <v>897</v>
      </c>
      <c r="W900" s="3">
        <v>0</v>
      </c>
    </row>
    <row r="901" spans="1:23" x14ac:dyDescent="0.3">
      <c r="A901" s="4" t="s">
        <v>5334</v>
      </c>
      <c r="B901" s="4" t="s">
        <v>663</v>
      </c>
      <c r="C901" s="4" t="s">
        <v>5335</v>
      </c>
      <c r="D901" s="4" t="s">
        <v>2449</v>
      </c>
      <c r="E901" s="4" t="s">
        <v>5336</v>
      </c>
      <c r="F901" s="4" t="s">
        <v>5337</v>
      </c>
      <c r="G901" s="4" t="s">
        <v>323</v>
      </c>
      <c r="H901" s="4" t="s">
        <v>324</v>
      </c>
      <c r="I901" s="4" t="s">
        <v>31</v>
      </c>
      <c r="J901" s="4" t="s">
        <v>5338</v>
      </c>
      <c r="K901" s="4" t="s">
        <v>77</v>
      </c>
      <c r="L901" s="4">
        <v>3</v>
      </c>
      <c r="M901" s="5">
        <v>172.96</v>
      </c>
      <c r="N901" s="4" t="s">
        <v>63</v>
      </c>
      <c r="O901" s="5">
        <v>43.24</v>
      </c>
      <c r="P901" s="5">
        <v>0</v>
      </c>
      <c r="Q901" s="5">
        <v>11.03</v>
      </c>
      <c r="R901" s="5">
        <v>140.75</v>
      </c>
      <c r="S901" s="4" t="s">
        <v>123</v>
      </c>
      <c r="T901" s="4" t="s">
        <v>99</v>
      </c>
      <c r="U901" s="4" t="s">
        <v>66</v>
      </c>
      <c r="V901" s="4" t="s">
        <v>1321</v>
      </c>
      <c r="W901" s="5">
        <v>0</v>
      </c>
    </row>
    <row r="902" spans="1:23" x14ac:dyDescent="0.3">
      <c r="A902" s="2" t="s">
        <v>5339</v>
      </c>
      <c r="B902" s="2" t="s">
        <v>1640</v>
      </c>
      <c r="C902" s="2" t="s">
        <v>5340</v>
      </c>
      <c r="D902" s="2" t="s">
        <v>2235</v>
      </c>
      <c r="E902" s="2" t="s">
        <v>5341</v>
      </c>
      <c r="F902" s="2" t="s">
        <v>5342</v>
      </c>
      <c r="G902" s="2" t="s">
        <v>107</v>
      </c>
      <c r="H902" s="2" t="s">
        <v>108</v>
      </c>
      <c r="I902" s="2" t="s">
        <v>31</v>
      </c>
      <c r="J902" s="2" t="s">
        <v>5343</v>
      </c>
      <c r="K902" s="2" t="s">
        <v>143</v>
      </c>
      <c r="L902" s="2">
        <v>2</v>
      </c>
      <c r="M902" s="3">
        <v>199.98</v>
      </c>
      <c r="N902" s="2" t="s">
        <v>34</v>
      </c>
      <c r="O902" s="3">
        <v>0</v>
      </c>
      <c r="P902" s="3">
        <v>0</v>
      </c>
      <c r="Q902" s="3">
        <v>17</v>
      </c>
      <c r="R902" s="3">
        <v>216.98</v>
      </c>
      <c r="S902" s="2" t="s">
        <v>35</v>
      </c>
      <c r="T902" s="2" t="s">
        <v>99</v>
      </c>
      <c r="U902" s="2" t="s">
        <v>66</v>
      </c>
      <c r="V902" s="2" t="s">
        <v>1713</v>
      </c>
      <c r="W902" s="3">
        <v>0</v>
      </c>
    </row>
    <row r="903" spans="1:23" x14ac:dyDescent="0.3">
      <c r="A903" s="4" t="s">
        <v>5344</v>
      </c>
      <c r="B903" s="4" t="s">
        <v>1334</v>
      </c>
      <c r="C903" s="4" t="s">
        <v>5345</v>
      </c>
      <c r="D903" s="4" t="s">
        <v>4231</v>
      </c>
      <c r="E903" s="4" t="s">
        <v>5346</v>
      </c>
      <c r="F903" s="4" t="s">
        <v>5347</v>
      </c>
      <c r="G903" s="4" t="s">
        <v>224</v>
      </c>
      <c r="H903" s="4" t="s">
        <v>225</v>
      </c>
      <c r="I903" s="4" t="s">
        <v>31</v>
      </c>
      <c r="J903" s="4" t="s">
        <v>5348</v>
      </c>
      <c r="K903" s="4" t="s">
        <v>209</v>
      </c>
      <c r="L903" s="4">
        <v>2</v>
      </c>
      <c r="M903" s="5">
        <v>82.98</v>
      </c>
      <c r="N903" s="4" t="s">
        <v>34</v>
      </c>
      <c r="O903" s="5">
        <v>0</v>
      </c>
      <c r="P903" s="5">
        <v>0</v>
      </c>
      <c r="Q903" s="5">
        <v>7.05</v>
      </c>
      <c r="R903" s="5">
        <v>90.03</v>
      </c>
      <c r="S903" s="4" t="s">
        <v>64</v>
      </c>
      <c r="T903" s="4" t="s">
        <v>36</v>
      </c>
      <c r="U903" s="4" t="s">
        <v>100</v>
      </c>
      <c r="V903" s="4"/>
      <c r="W903" s="5">
        <v>0</v>
      </c>
    </row>
    <row r="904" spans="1:23" x14ac:dyDescent="0.3">
      <c r="A904" s="2" t="s">
        <v>5349</v>
      </c>
      <c r="B904" s="2" t="s">
        <v>1088</v>
      </c>
      <c r="C904" s="2" t="s">
        <v>5350</v>
      </c>
      <c r="D904" s="2" t="s">
        <v>5351</v>
      </c>
      <c r="E904" s="2" t="s">
        <v>5352</v>
      </c>
      <c r="F904" s="2" t="s">
        <v>5353</v>
      </c>
      <c r="G904" s="2" t="s">
        <v>403</v>
      </c>
      <c r="H904" s="2" t="s">
        <v>404</v>
      </c>
      <c r="I904" s="2" t="s">
        <v>31</v>
      </c>
      <c r="J904" s="2" t="s">
        <v>5354</v>
      </c>
      <c r="K904" s="2" t="s">
        <v>62</v>
      </c>
      <c r="L904" s="2">
        <v>3</v>
      </c>
      <c r="M904" s="3">
        <v>159.96</v>
      </c>
      <c r="N904" s="2" t="s">
        <v>63</v>
      </c>
      <c r="O904" s="3">
        <v>39.99</v>
      </c>
      <c r="P904" s="3">
        <v>0</v>
      </c>
      <c r="Q904" s="3">
        <v>10.8</v>
      </c>
      <c r="R904" s="3">
        <v>130.77000000000001</v>
      </c>
      <c r="S904" s="2" t="s">
        <v>332</v>
      </c>
      <c r="T904" s="2" t="s">
        <v>99</v>
      </c>
      <c r="U904" s="2" t="s">
        <v>66</v>
      </c>
      <c r="V904" s="2" t="s">
        <v>309</v>
      </c>
      <c r="W904" s="3">
        <v>0</v>
      </c>
    </row>
    <row r="905" spans="1:23" x14ac:dyDescent="0.3">
      <c r="A905" s="4" t="s">
        <v>5355</v>
      </c>
      <c r="B905" s="4" t="s">
        <v>4141</v>
      </c>
      <c r="C905" s="4" t="s">
        <v>5356</v>
      </c>
      <c r="D905" s="4" t="s">
        <v>3326</v>
      </c>
      <c r="E905" s="4" t="s">
        <v>5357</v>
      </c>
      <c r="F905" s="4" t="s">
        <v>5358</v>
      </c>
      <c r="G905" s="4" t="s">
        <v>1183</v>
      </c>
      <c r="H905" s="4" t="s">
        <v>88</v>
      </c>
      <c r="I905" s="4" t="s">
        <v>31</v>
      </c>
      <c r="J905" s="4" t="s">
        <v>371</v>
      </c>
      <c r="K905" s="4" t="s">
        <v>122</v>
      </c>
      <c r="L905" s="4">
        <v>1</v>
      </c>
      <c r="M905" s="5">
        <v>109.99</v>
      </c>
      <c r="N905" s="4" t="s">
        <v>34</v>
      </c>
      <c r="O905" s="5">
        <v>0</v>
      </c>
      <c r="P905" s="5">
        <v>0</v>
      </c>
      <c r="Q905" s="5">
        <v>7.7</v>
      </c>
      <c r="R905" s="5">
        <v>117.69</v>
      </c>
      <c r="S905" s="4" t="s">
        <v>64</v>
      </c>
      <c r="T905" s="4" t="s">
        <v>36</v>
      </c>
      <c r="U905" s="4" t="s">
        <v>66</v>
      </c>
      <c r="V905" s="4" t="s">
        <v>335</v>
      </c>
      <c r="W905" s="5">
        <v>0</v>
      </c>
    </row>
    <row r="906" spans="1:23" x14ac:dyDescent="0.3">
      <c r="A906" s="2" t="s">
        <v>5359</v>
      </c>
      <c r="B906" s="2" t="s">
        <v>311</v>
      </c>
      <c r="C906" s="2" t="s">
        <v>5360</v>
      </c>
      <c r="D906" s="2" t="s">
        <v>5361</v>
      </c>
      <c r="E906" s="2" t="s">
        <v>5362</v>
      </c>
      <c r="F906" s="2" t="s">
        <v>5363</v>
      </c>
      <c r="G906" s="2" t="s">
        <v>403</v>
      </c>
      <c r="H906" s="2" t="s">
        <v>404</v>
      </c>
      <c r="I906" s="2" t="s">
        <v>31</v>
      </c>
      <c r="J906" s="2" t="s">
        <v>5364</v>
      </c>
      <c r="K906" s="2" t="s">
        <v>209</v>
      </c>
      <c r="L906" s="2">
        <v>3</v>
      </c>
      <c r="M906" s="3">
        <v>303.95999999999998</v>
      </c>
      <c r="N906" s="2" t="s">
        <v>78</v>
      </c>
      <c r="O906" s="3">
        <v>30.4</v>
      </c>
      <c r="P906" s="3">
        <v>0</v>
      </c>
      <c r="Q906" s="3">
        <v>21.88</v>
      </c>
      <c r="R906" s="3">
        <v>295.44</v>
      </c>
      <c r="S906" s="2" t="s">
        <v>35</v>
      </c>
      <c r="T906" s="2" t="s">
        <v>65</v>
      </c>
      <c r="U906" s="2" t="s">
        <v>317</v>
      </c>
      <c r="V906" s="2"/>
      <c r="W906" s="3">
        <v>0</v>
      </c>
    </row>
    <row r="907" spans="1:23" x14ac:dyDescent="0.3">
      <c r="A907" s="4" t="s">
        <v>5365</v>
      </c>
      <c r="B907" s="4" t="s">
        <v>1334</v>
      </c>
      <c r="C907" s="4" t="s">
        <v>5366</v>
      </c>
      <c r="D907" s="4" t="s">
        <v>5367</v>
      </c>
      <c r="E907" s="4" t="s">
        <v>5368</v>
      </c>
      <c r="F907" s="4" t="s">
        <v>5369</v>
      </c>
      <c r="G907" s="4" t="s">
        <v>347</v>
      </c>
      <c r="H907" s="4" t="s">
        <v>60</v>
      </c>
      <c r="I907" s="4" t="s">
        <v>31</v>
      </c>
      <c r="J907" s="4" t="s">
        <v>47</v>
      </c>
      <c r="K907" s="4" t="s">
        <v>48</v>
      </c>
      <c r="L907" s="4">
        <v>1</v>
      </c>
      <c r="M907" s="5">
        <v>42.99</v>
      </c>
      <c r="N907" s="4" t="s">
        <v>78</v>
      </c>
      <c r="O907" s="5">
        <v>4.3</v>
      </c>
      <c r="P907" s="5">
        <v>7.99</v>
      </c>
      <c r="Q907" s="5">
        <v>3.48</v>
      </c>
      <c r="R907" s="5">
        <v>50.16</v>
      </c>
      <c r="S907" s="4" t="s">
        <v>64</v>
      </c>
      <c r="T907" s="4" t="s">
        <v>99</v>
      </c>
      <c r="U907" s="4" t="s">
        <v>66</v>
      </c>
      <c r="V907" s="4" t="s">
        <v>1176</v>
      </c>
      <c r="W907" s="5">
        <v>0</v>
      </c>
    </row>
    <row r="908" spans="1:23" x14ac:dyDescent="0.3">
      <c r="A908" s="2" t="s">
        <v>5370</v>
      </c>
      <c r="B908" s="2" t="s">
        <v>5044</v>
      </c>
      <c r="C908" s="2" t="s">
        <v>5371</v>
      </c>
      <c r="D908" s="2" t="s">
        <v>5372</v>
      </c>
      <c r="E908" s="2" t="s">
        <v>5373</v>
      </c>
      <c r="F908" s="2" t="s">
        <v>5374</v>
      </c>
      <c r="G908" s="2" t="s">
        <v>74</v>
      </c>
      <c r="H908" s="2" t="s">
        <v>75</v>
      </c>
      <c r="I908" s="2" t="s">
        <v>31</v>
      </c>
      <c r="J908" s="2" t="s">
        <v>5375</v>
      </c>
      <c r="K908" s="2" t="s">
        <v>62</v>
      </c>
      <c r="L908" s="2">
        <v>2</v>
      </c>
      <c r="M908" s="3">
        <v>229.96</v>
      </c>
      <c r="N908" s="2" t="s">
        <v>78</v>
      </c>
      <c r="O908" s="3">
        <v>23</v>
      </c>
      <c r="P908" s="3">
        <v>0</v>
      </c>
      <c r="Q908" s="3">
        <v>14.49</v>
      </c>
      <c r="R908" s="3">
        <v>221.45</v>
      </c>
      <c r="S908" s="2" t="s">
        <v>64</v>
      </c>
      <c r="T908" s="2" t="s">
        <v>173</v>
      </c>
      <c r="U908" s="2" t="s">
        <v>66</v>
      </c>
      <c r="V908" s="2" t="s">
        <v>54</v>
      </c>
      <c r="W908" s="3">
        <v>0</v>
      </c>
    </row>
    <row r="909" spans="1:23" x14ac:dyDescent="0.3">
      <c r="A909" s="4" t="s">
        <v>5376</v>
      </c>
      <c r="B909" s="4" t="s">
        <v>1215</v>
      </c>
      <c r="C909" s="4" t="s">
        <v>5377</v>
      </c>
      <c r="D909" s="4" t="s">
        <v>5378</v>
      </c>
      <c r="E909" s="4" t="s">
        <v>5379</v>
      </c>
      <c r="F909" s="4" t="s">
        <v>5380</v>
      </c>
      <c r="G909" s="4" t="s">
        <v>224</v>
      </c>
      <c r="H909" s="4" t="s">
        <v>225</v>
      </c>
      <c r="I909" s="4" t="s">
        <v>31</v>
      </c>
      <c r="J909" s="4" t="s">
        <v>1232</v>
      </c>
      <c r="K909" s="4" t="s">
        <v>77</v>
      </c>
      <c r="L909" s="4">
        <v>1</v>
      </c>
      <c r="M909" s="5">
        <v>34.99</v>
      </c>
      <c r="N909" s="4" t="s">
        <v>34</v>
      </c>
      <c r="O909" s="5">
        <v>0</v>
      </c>
      <c r="P909" s="5">
        <v>7.99</v>
      </c>
      <c r="Q909" s="5">
        <v>2.4500000000000002</v>
      </c>
      <c r="R909" s="5">
        <v>45.43</v>
      </c>
      <c r="S909" s="4" t="s">
        <v>35</v>
      </c>
      <c r="T909" s="4" t="s">
        <v>99</v>
      </c>
      <c r="U909" s="4" t="s">
        <v>51</v>
      </c>
      <c r="V909" s="4" t="s">
        <v>1102</v>
      </c>
      <c r="W909" s="5">
        <v>0</v>
      </c>
    </row>
    <row r="910" spans="1:23" x14ac:dyDescent="0.3">
      <c r="A910" s="2" t="s">
        <v>5381</v>
      </c>
      <c r="B910" s="2" t="s">
        <v>633</v>
      </c>
      <c r="C910" s="2" t="s">
        <v>5382</v>
      </c>
      <c r="D910" s="2" t="s">
        <v>5383</v>
      </c>
      <c r="E910" s="2" t="s">
        <v>5384</v>
      </c>
      <c r="F910" s="2" t="s">
        <v>5385</v>
      </c>
      <c r="G910" s="2" t="s">
        <v>29</v>
      </c>
      <c r="H910" s="2" t="s">
        <v>30</v>
      </c>
      <c r="I910" s="2" t="s">
        <v>31</v>
      </c>
      <c r="J910" s="2" t="s">
        <v>217</v>
      </c>
      <c r="K910" s="2" t="s">
        <v>110</v>
      </c>
      <c r="L910" s="2">
        <v>1</v>
      </c>
      <c r="M910" s="3">
        <v>22.99</v>
      </c>
      <c r="N910" s="2" t="s">
        <v>163</v>
      </c>
      <c r="O910" s="3">
        <v>4.5999999999999996</v>
      </c>
      <c r="P910" s="3">
        <v>4.99</v>
      </c>
      <c r="Q910" s="3">
        <v>1.66</v>
      </c>
      <c r="R910" s="3">
        <v>25.04</v>
      </c>
      <c r="S910" s="2" t="s">
        <v>35</v>
      </c>
      <c r="T910" s="2" t="s">
        <v>325</v>
      </c>
      <c r="U910" s="2" t="s">
        <v>66</v>
      </c>
      <c r="V910" s="2" t="s">
        <v>2950</v>
      </c>
      <c r="W910" s="3">
        <v>0</v>
      </c>
    </row>
    <row r="911" spans="1:23" x14ac:dyDescent="0.3">
      <c r="A911" s="4" t="s">
        <v>5386</v>
      </c>
      <c r="B911" s="4" t="s">
        <v>2963</v>
      </c>
      <c r="C911" s="4" t="s">
        <v>5387</v>
      </c>
      <c r="D911" s="4" t="s">
        <v>5388</v>
      </c>
      <c r="E911" s="4" t="s">
        <v>5389</v>
      </c>
      <c r="F911" s="4" t="s">
        <v>5390</v>
      </c>
      <c r="G911" s="4" t="s">
        <v>140</v>
      </c>
      <c r="H911" s="4" t="s">
        <v>141</v>
      </c>
      <c r="I911" s="4" t="s">
        <v>31</v>
      </c>
      <c r="J911" s="4" t="s">
        <v>5391</v>
      </c>
      <c r="K911" s="4" t="s">
        <v>62</v>
      </c>
      <c r="L911" s="4">
        <v>4</v>
      </c>
      <c r="M911" s="5">
        <v>330.93</v>
      </c>
      <c r="N911" s="4" t="s">
        <v>78</v>
      </c>
      <c r="O911" s="5">
        <v>33.090000000000003</v>
      </c>
      <c r="P911" s="5">
        <v>0</v>
      </c>
      <c r="Q911" s="5">
        <v>25.32</v>
      </c>
      <c r="R911" s="5">
        <v>323.16000000000003</v>
      </c>
      <c r="S911" s="4" t="s">
        <v>35</v>
      </c>
      <c r="T911" s="4" t="s">
        <v>50</v>
      </c>
      <c r="U911" s="4" t="s">
        <v>317</v>
      </c>
      <c r="V911" s="4"/>
      <c r="W911" s="5">
        <v>0</v>
      </c>
    </row>
    <row r="912" spans="1:23" x14ac:dyDescent="0.3">
      <c r="A912" s="2" t="s">
        <v>5392</v>
      </c>
      <c r="B912" s="2" t="s">
        <v>2957</v>
      </c>
      <c r="C912" s="2" t="s">
        <v>5393</v>
      </c>
      <c r="D912" s="2" t="s">
        <v>5394</v>
      </c>
      <c r="E912" s="2" t="s">
        <v>5395</v>
      </c>
      <c r="F912" s="2" t="s">
        <v>5396</v>
      </c>
      <c r="G912" s="2" t="s">
        <v>207</v>
      </c>
      <c r="H912" s="2" t="s">
        <v>141</v>
      </c>
      <c r="I912" s="2" t="s">
        <v>31</v>
      </c>
      <c r="J912" s="2" t="s">
        <v>5397</v>
      </c>
      <c r="K912" s="2" t="s">
        <v>209</v>
      </c>
      <c r="L912" s="2">
        <v>5</v>
      </c>
      <c r="M912" s="3">
        <v>269.94</v>
      </c>
      <c r="N912" s="2" t="s">
        <v>49</v>
      </c>
      <c r="O912" s="3">
        <v>40.49</v>
      </c>
      <c r="P912" s="3">
        <v>0</v>
      </c>
      <c r="Q912" s="3">
        <v>18.36</v>
      </c>
      <c r="R912" s="3">
        <v>247.81</v>
      </c>
      <c r="S912" s="2" t="s">
        <v>123</v>
      </c>
      <c r="T912" s="2" t="s">
        <v>144</v>
      </c>
      <c r="U912" s="2" t="s">
        <v>66</v>
      </c>
      <c r="V912" s="2" t="s">
        <v>2285</v>
      </c>
      <c r="W912" s="3">
        <v>0</v>
      </c>
    </row>
    <row r="913" spans="1:23" x14ac:dyDescent="0.3">
      <c r="A913" s="4" t="s">
        <v>5398</v>
      </c>
      <c r="B913" s="4" t="s">
        <v>349</v>
      </c>
      <c r="C913" s="4" t="s">
        <v>5399</v>
      </c>
      <c r="D913" s="4" t="s">
        <v>4176</v>
      </c>
      <c r="E913" s="4" t="s">
        <v>5400</v>
      </c>
      <c r="F913" s="4" t="s">
        <v>5401</v>
      </c>
      <c r="G913" s="4" t="s">
        <v>282</v>
      </c>
      <c r="H913" s="4" t="s">
        <v>88</v>
      </c>
      <c r="I913" s="4" t="s">
        <v>31</v>
      </c>
      <c r="J913" s="4" t="s">
        <v>5402</v>
      </c>
      <c r="K913" s="4" t="s">
        <v>209</v>
      </c>
      <c r="L913" s="4">
        <v>3</v>
      </c>
      <c r="M913" s="5">
        <v>249.96</v>
      </c>
      <c r="N913" s="4" t="s">
        <v>63</v>
      </c>
      <c r="O913" s="5">
        <v>62.49</v>
      </c>
      <c r="P913" s="5">
        <v>0</v>
      </c>
      <c r="Q913" s="5">
        <v>18.75</v>
      </c>
      <c r="R913" s="5">
        <v>206.22</v>
      </c>
      <c r="S913" s="4" t="s">
        <v>332</v>
      </c>
      <c r="T913" s="4" t="s">
        <v>99</v>
      </c>
      <c r="U913" s="4" t="s">
        <v>37</v>
      </c>
      <c r="V913" s="4" t="s">
        <v>1036</v>
      </c>
      <c r="W913" s="5">
        <v>206.22</v>
      </c>
    </row>
    <row r="914" spans="1:23" x14ac:dyDescent="0.3">
      <c r="A914" s="2" t="s">
        <v>5403</v>
      </c>
      <c r="B914" s="2" t="s">
        <v>415</v>
      </c>
      <c r="C914" s="2" t="s">
        <v>5404</v>
      </c>
      <c r="D914" s="2" t="s">
        <v>4267</v>
      </c>
      <c r="E914" s="2" t="s">
        <v>5405</v>
      </c>
      <c r="F914" s="2" t="s">
        <v>5406</v>
      </c>
      <c r="G914" s="2" t="s">
        <v>131</v>
      </c>
      <c r="H914" s="2" t="s">
        <v>88</v>
      </c>
      <c r="I914" s="2" t="s">
        <v>31</v>
      </c>
      <c r="J914" s="2" t="s">
        <v>132</v>
      </c>
      <c r="K914" s="2" t="s">
        <v>48</v>
      </c>
      <c r="L914" s="2">
        <v>1</v>
      </c>
      <c r="M914" s="3">
        <v>129.97999999999999</v>
      </c>
      <c r="N914" s="2" t="s">
        <v>34</v>
      </c>
      <c r="O914" s="3">
        <v>0</v>
      </c>
      <c r="P914" s="3">
        <v>0</v>
      </c>
      <c r="Q914" s="3">
        <v>11.7</v>
      </c>
      <c r="R914" s="3">
        <v>141.68</v>
      </c>
      <c r="S914" s="2" t="s">
        <v>64</v>
      </c>
      <c r="T914" s="2" t="s">
        <v>99</v>
      </c>
      <c r="U914" s="2" t="s">
        <v>66</v>
      </c>
      <c r="V914" s="2" t="s">
        <v>1477</v>
      </c>
      <c r="W914" s="3">
        <v>0</v>
      </c>
    </row>
    <row r="915" spans="1:23" x14ac:dyDescent="0.3">
      <c r="A915" s="4" t="s">
        <v>5407</v>
      </c>
      <c r="B915" s="4" t="s">
        <v>2532</v>
      </c>
      <c r="C915" s="4" t="s">
        <v>5408</v>
      </c>
      <c r="D915" s="4" t="s">
        <v>2701</v>
      </c>
      <c r="E915" s="4" t="s">
        <v>5409</v>
      </c>
      <c r="F915" s="4" t="s">
        <v>5410</v>
      </c>
      <c r="G915" s="4" t="s">
        <v>180</v>
      </c>
      <c r="H915" s="4" t="s">
        <v>181</v>
      </c>
      <c r="I915" s="4" t="s">
        <v>31</v>
      </c>
      <c r="J915" s="4" t="s">
        <v>5411</v>
      </c>
      <c r="K915" s="4" t="s">
        <v>209</v>
      </c>
      <c r="L915" s="4">
        <v>3</v>
      </c>
      <c r="M915" s="5">
        <v>389.95</v>
      </c>
      <c r="N915" s="4" t="s">
        <v>34</v>
      </c>
      <c r="O915" s="5">
        <v>0</v>
      </c>
      <c r="P915" s="5">
        <v>0</v>
      </c>
      <c r="Q915" s="5">
        <v>31.2</v>
      </c>
      <c r="R915" s="5">
        <v>421.15</v>
      </c>
      <c r="S915" s="4" t="s">
        <v>35</v>
      </c>
      <c r="T915" s="4" t="s">
        <v>50</v>
      </c>
      <c r="U915" s="4" t="s">
        <v>317</v>
      </c>
      <c r="V915" s="4"/>
      <c r="W915" s="5">
        <v>0</v>
      </c>
    </row>
    <row r="916" spans="1:23" x14ac:dyDescent="0.3">
      <c r="A916" s="2" t="s">
        <v>5412</v>
      </c>
      <c r="B916" s="2" t="s">
        <v>1294</v>
      </c>
      <c r="C916" s="2" t="s">
        <v>5413</v>
      </c>
      <c r="D916" s="2" t="s">
        <v>3087</v>
      </c>
      <c r="E916" s="2" t="s">
        <v>5414</v>
      </c>
      <c r="F916" s="2" t="s">
        <v>5415</v>
      </c>
      <c r="G916" s="2" t="s">
        <v>802</v>
      </c>
      <c r="H916" s="2" t="s">
        <v>88</v>
      </c>
      <c r="I916" s="2" t="s">
        <v>31</v>
      </c>
      <c r="J916" s="2" t="s">
        <v>5416</v>
      </c>
      <c r="K916" s="2" t="s">
        <v>209</v>
      </c>
      <c r="L916" s="2">
        <v>3</v>
      </c>
      <c r="M916" s="3">
        <v>274.95</v>
      </c>
      <c r="N916" s="2" t="s">
        <v>49</v>
      </c>
      <c r="O916" s="3">
        <v>41.24</v>
      </c>
      <c r="P916" s="3">
        <v>0</v>
      </c>
      <c r="Q916" s="3">
        <v>19.87</v>
      </c>
      <c r="R916" s="3">
        <v>253.58</v>
      </c>
      <c r="S916" s="2" t="s">
        <v>111</v>
      </c>
      <c r="T916" s="2" t="s">
        <v>99</v>
      </c>
      <c r="U916" s="2" t="s">
        <v>66</v>
      </c>
      <c r="V916" s="2" t="s">
        <v>1823</v>
      </c>
      <c r="W916" s="3">
        <v>0</v>
      </c>
    </row>
    <row r="917" spans="1:23" x14ac:dyDescent="0.3">
      <c r="A917" s="4" t="s">
        <v>5417</v>
      </c>
      <c r="B917" s="4" t="s">
        <v>663</v>
      </c>
      <c r="C917" s="4" t="s">
        <v>5418</v>
      </c>
      <c r="D917" s="4" t="s">
        <v>5419</v>
      </c>
      <c r="E917" s="4" t="s">
        <v>5420</v>
      </c>
      <c r="F917" s="4" t="s">
        <v>5421</v>
      </c>
      <c r="G917" s="4" t="s">
        <v>29</v>
      </c>
      <c r="H917" s="4" t="s">
        <v>30</v>
      </c>
      <c r="I917" s="4" t="s">
        <v>31</v>
      </c>
      <c r="J917" s="4" t="s">
        <v>5422</v>
      </c>
      <c r="K917" s="4" t="s">
        <v>122</v>
      </c>
      <c r="L917" s="4">
        <v>3</v>
      </c>
      <c r="M917" s="5">
        <v>194.96</v>
      </c>
      <c r="N917" s="4" t="s">
        <v>34</v>
      </c>
      <c r="O917" s="5">
        <v>0</v>
      </c>
      <c r="P917" s="5">
        <v>0</v>
      </c>
      <c r="Q917" s="5">
        <v>16.57</v>
      </c>
      <c r="R917" s="5">
        <v>211.53</v>
      </c>
      <c r="S917" s="4" t="s">
        <v>64</v>
      </c>
      <c r="T917" s="4" t="s">
        <v>173</v>
      </c>
      <c r="U917" s="4" t="s">
        <v>100</v>
      </c>
      <c r="V917" s="4"/>
      <c r="W917" s="5">
        <v>0</v>
      </c>
    </row>
    <row r="918" spans="1:23" x14ac:dyDescent="0.3">
      <c r="A918" s="2" t="s">
        <v>5423</v>
      </c>
      <c r="B918" s="2" t="s">
        <v>2963</v>
      </c>
      <c r="C918" s="2" t="s">
        <v>5424</v>
      </c>
      <c r="D918" s="2" t="s">
        <v>5425</v>
      </c>
      <c r="E918" s="2" t="s">
        <v>5426</v>
      </c>
      <c r="F918" s="2" t="s">
        <v>5427</v>
      </c>
      <c r="G918" s="2" t="s">
        <v>640</v>
      </c>
      <c r="H918" s="2" t="s">
        <v>161</v>
      </c>
      <c r="I918" s="2" t="s">
        <v>31</v>
      </c>
      <c r="J918" s="2" t="s">
        <v>3682</v>
      </c>
      <c r="K918" s="2" t="s">
        <v>77</v>
      </c>
      <c r="L918" s="2">
        <v>1</v>
      </c>
      <c r="M918" s="3">
        <v>69.98</v>
      </c>
      <c r="N918" s="2" t="s">
        <v>34</v>
      </c>
      <c r="O918" s="3">
        <v>0</v>
      </c>
      <c r="P918" s="3">
        <v>9.99</v>
      </c>
      <c r="Q918" s="3">
        <v>4.9000000000000004</v>
      </c>
      <c r="R918" s="3">
        <v>84.87</v>
      </c>
      <c r="S918" s="2" t="s">
        <v>35</v>
      </c>
      <c r="T918" s="2" t="s">
        <v>99</v>
      </c>
      <c r="U918" s="2" t="s">
        <v>37</v>
      </c>
      <c r="V918" s="2" t="s">
        <v>572</v>
      </c>
      <c r="W918" s="3">
        <v>84.87</v>
      </c>
    </row>
    <row r="919" spans="1:23" x14ac:dyDescent="0.3">
      <c r="A919" s="4" t="s">
        <v>5428</v>
      </c>
      <c r="B919" s="4" t="s">
        <v>2950</v>
      </c>
      <c r="C919" s="4" t="s">
        <v>5429</v>
      </c>
      <c r="D919" s="4" t="s">
        <v>3011</v>
      </c>
      <c r="E919" s="4" t="s">
        <v>5430</v>
      </c>
      <c r="F919" s="4" t="s">
        <v>5431</v>
      </c>
      <c r="G919" s="4" t="s">
        <v>107</v>
      </c>
      <c r="H919" s="4" t="s">
        <v>108</v>
      </c>
      <c r="I919" s="4" t="s">
        <v>31</v>
      </c>
      <c r="J919" s="4" t="s">
        <v>5432</v>
      </c>
      <c r="K919" s="4" t="s">
        <v>679</v>
      </c>
      <c r="L919" s="4">
        <v>2</v>
      </c>
      <c r="M919" s="5">
        <v>33.979999999999997</v>
      </c>
      <c r="N919" s="4" t="s">
        <v>34</v>
      </c>
      <c r="O919" s="5">
        <v>0</v>
      </c>
      <c r="P919" s="5">
        <v>7.99</v>
      </c>
      <c r="Q919" s="5">
        <v>3.06</v>
      </c>
      <c r="R919" s="5">
        <v>45.03</v>
      </c>
      <c r="S919" s="4" t="s">
        <v>64</v>
      </c>
      <c r="T919" s="4" t="s">
        <v>99</v>
      </c>
      <c r="U919" s="4" t="s">
        <v>66</v>
      </c>
      <c r="V919" s="4" t="s">
        <v>3042</v>
      </c>
      <c r="W919" s="5">
        <v>0</v>
      </c>
    </row>
    <row r="920" spans="1:23" x14ac:dyDescent="0.3">
      <c r="A920" s="2" t="s">
        <v>5433</v>
      </c>
      <c r="B920" s="2" t="s">
        <v>1976</v>
      </c>
      <c r="C920" s="2" t="s">
        <v>5434</v>
      </c>
      <c r="D920" s="2" t="s">
        <v>5435</v>
      </c>
      <c r="E920" s="2" t="s">
        <v>5436</v>
      </c>
      <c r="F920" s="2" t="s">
        <v>5437</v>
      </c>
      <c r="G920" s="2" t="s">
        <v>676</v>
      </c>
      <c r="H920" s="2" t="s">
        <v>677</v>
      </c>
      <c r="I920" s="2" t="s">
        <v>31</v>
      </c>
      <c r="J920" s="2" t="s">
        <v>5438</v>
      </c>
      <c r="K920" s="2" t="s">
        <v>110</v>
      </c>
      <c r="L920" s="2">
        <v>2</v>
      </c>
      <c r="M920" s="3">
        <v>55.98</v>
      </c>
      <c r="N920" s="2" t="s">
        <v>49</v>
      </c>
      <c r="O920" s="3">
        <v>8.4</v>
      </c>
      <c r="P920" s="3">
        <v>7.99</v>
      </c>
      <c r="Q920" s="3">
        <v>4.28</v>
      </c>
      <c r="R920" s="3">
        <v>59.85</v>
      </c>
      <c r="S920" s="2" t="s">
        <v>64</v>
      </c>
      <c r="T920" s="2" t="s">
        <v>144</v>
      </c>
      <c r="U920" s="2" t="s">
        <v>100</v>
      </c>
      <c r="V920" s="2"/>
      <c r="W920" s="3">
        <v>0</v>
      </c>
    </row>
    <row r="921" spans="1:23" x14ac:dyDescent="0.3">
      <c r="A921" s="4" t="s">
        <v>5439</v>
      </c>
      <c r="B921" s="4" t="s">
        <v>5203</v>
      </c>
      <c r="C921" s="4" t="s">
        <v>5440</v>
      </c>
      <c r="D921" s="4" t="s">
        <v>5441</v>
      </c>
      <c r="E921" s="4" t="s">
        <v>5442</v>
      </c>
      <c r="F921" s="4" t="s">
        <v>5443</v>
      </c>
      <c r="G921" s="4" t="s">
        <v>242</v>
      </c>
      <c r="H921" s="4" t="s">
        <v>243</v>
      </c>
      <c r="I921" s="4" t="s">
        <v>31</v>
      </c>
      <c r="J921" s="4" t="s">
        <v>191</v>
      </c>
      <c r="K921" s="4" t="s">
        <v>77</v>
      </c>
      <c r="L921" s="4">
        <v>1</v>
      </c>
      <c r="M921" s="5">
        <v>24.99</v>
      </c>
      <c r="N921" s="4" t="s">
        <v>78</v>
      </c>
      <c r="O921" s="5">
        <v>2.5</v>
      </c>
      <c r="P921" s="5">
        <v>4.99</v>
      </c>
      <c r="Q921" s="5">
        <v>2.02</v>
      </c>
      <c r="R921" s="5">
        <v>29.5</v>
      </c>
      <c r="S921" s="4" t="s">
        <v>111</v>
      </c>
      <c r="T921" s="4" t="s">
        <v>36</v>
      </c>
      <c r="U921" s="4" t="s">
        <v>66</v>
      </c>
      <c r="V921" s="4" t="s">
        <v>2584</v>
      </c>
      <c r="W921" s="5">
        <v>0</v>
      </c>
    </row>
    <row r="922" spans="1:23" x14ac:dyDescent="0.3">
      <c r="A922" s="2" t="s">
        <v>5444</v>
      </c>
      <c r="B922" s="2" t="s">
        <v>2865</v>
      </c>
      <c r="C922" s="2" t="s">
        <v>5445</v>
      </c>
      <c r="D922" s="2" t="s">
        <v>5446</v>
      </c>
      <c r="E922" s="2" t="s">
        <v>5447</v>
      </c>
      <c r="F922" s="2" t="s">
        <v>5448</v>
      </c>
      <c r="G922" s="2" t="s">
        <v>347</v>
      </c>
      <c r="H922" s="2" t="s">
        <v>60</v>
      </c>
      <c r="I922" s="2" t="s">
        <v>31</v>
      </c>
      <c r="J922" s="2" t="s">
        <v>5449</v>
      </c>
      <c r="K922" s="2" t="s">
        <v>209</v>
      </c>
      <c r="L922" s="2">
        <v>2</v>
      </c>
      <c r="M922" s="3">
        <v>69.98</v>
      </c>
      <c r="N922" s="2" t="s">
        <v>63</v>
      </c>
      <c r="O922" s="3">
        <v>17.5</v>
      </c>
      <c r="P922" s="3">
        <v>9.99</v>
      </c>
      <c r="Q922" s="3">
        <v>3.67</v>
      </c>
      <c r="R922" s="3">
        <v>66.14</v>
      </c>
      <c r="S922" s="2" t="s">
        <v>123</v>
      </c>
      <c r="T922" s="2" t="s">
        <v>99</v>
      </c>
      <c r="U922" s="2" t="s">
        <v>317</v>
      </c>
      <c r="V922" s="2"/>
      <c r="W922" s="3">
        <v>0</v>
      </c>
    </row>
    <row r="923" spans="1:23" x14ac:dyDescent="0.3">
      <c r="A923" s="4" t="s">
        <v>5450</v>
      </c>
      <c r="B923" s="4" t="s">
        <v>3311</v>
      </c>
      <c r="C923" s="4" t="s">
        <v>5451</v>
      </c>
      <c r="D923" s="4" t="s">
        <v>5452</v>
      </c>
      <c r="E923" s="4" t="s">
        <v>5453</v>
      </c>
      <c r="F923" s="4" t="s">
        <v>5454</v>
      </c>
      <c r="G923" s="4" t="s">
        <v>190</v>
      </c>
      <c r="H923" s="4" t="s">
        <v>161</v>
      </c>
      <c r="I923" s="4" t="s">
        <v>31</v>
      </c>
      <c r="J923" s="4" t="s">
        <v>5455</v>
      </c>
      <c r="K923" s="4" t="s">
        <v>77</v>
      </c>
      <c r="L923" s="4">
        <v>2</v>
      </c>
      <c r="M923" s="5">
        <v>124.97</v>
      </c>
      <c r="N923" s="4" t="s">
        <v>34</v>
      </c>
      <c r="O923" s="5">
        <v>0</v>
      </c>
      <c r="P923" s="5">
        <v>0</v>
      </c>
      <c r="Q923" s="5">
        <v>11.25</v>
      </c>
      <c r="R923" s="5">
        <v>136.22</v>
      </c>
      <c r="S923" s="4" t="s">
        <v>35</v>
      </c>
      <c r="T923" s="4" t="s">
        <v>65</v>
      </c>
      <c r="U923" s="4" t="s">
        <v>66</v>
      </c>
      <c r="V923" s="4" t="s">
        <v>413</v>
      </c>
      <c r="W923" s="5">
        <v>0</v>
      </c>
    </row>
    <row r="924" spans="1:23" x14ac:dyDescent="0.3">
      <c r="A924" s="2" t="s">
        <v>5456</v>
      </c>
      <c r="B924" s="2" t="s">
        <v>1329</v>
      </c>
      <c r="C924" s="2" t="s">
        <v>5457</v>
      </c>
      <c r="D924" s="2" t="s">
        <v>104</v>
      </c>
      <c r="E924" s="2" t="s">
        <v>5458</v>
      </c>
      <c r="F924" s="2" t="s">
        <v>5459</v>
      </c>
      <c r="G924" s="2" t="s">
        <v>291</v>
      </c>
      <c r="H924" s="2" t="s">
        <v>292</v>
      </c>
      <c r="I924" s="2" t="s">
        <v>31</v>
      </c>
      <c r="J924" s="2" t="s">
        <v>4902</v>
      </c>
      <c r="K924" s="2" t="s">
        <v>62</v>
      </c>
      <c r="L924" s="2">
        <v>2</v>
      </c>
      <c r="M924" s="3">
        <v>97.98</v>
      </c>
      <c r="N924" s="2" t="s">
        <v>78</v>
      </c>
      <c r="O924" s="3">
        <v>9.8000000000000007</v>
      </c>
      <c r="P924" s="3">
        <v>0</v>
      </c>
      <c r="Q924" s="3">
        <v>7.94</v>
      </c>
      <c r="R924" s="3">
        <v>96.12</v>
      </c>
      <c r="S924" s="2" t="s">
        <v>64</v>
      </c>
      <c r="T924" s="2" t="s">
        <v>173</v>
      </c>
      <c r="U924" s="2" t="s">
        <v>66</v>
      </c>
      <c r="V924" s="2" t="s">
        <v>1170</v>
      </c>
      <c r="W924" s="3">
        <v>0</v>
      </c>
    </row>
    <row r="925" spans="1:23" x14ac:dyDescent="0.3">
      <c r="A925" s="4" t="s">
        <v>5460</v>
      </c>
      <c r="B925" s="4" t="s">
        <v>92</v>
      </c>
      <c r="C925" s="4" t="s">
        <v>5461</v>
      </c>
      <c r="D925" s="4" t="s">
        <v>3867</v>
      </c>
      <c r="E925" s="4" t="s">
        <v>5462</v>
      </c>
      <c r="F925" s="4" t="s">
        <v>5463</v>
      </c>
      <c r="G925" s="4" t="s">
        <v>107</v>
      </c>
      <c r="H925" s="4" t="s">
        <v>108</v>
      </c>
      <c r="I925" s="4" t="s">
        <v>31</v>
      </c>
      <c r="J925" s="4" t="s">
        <v>1085</v>
      </c>
      <c r="K925" s="4" t="s">
        <v>364</v>
      </c>
      <c r="L925" s="4">
        <v>2</v>
      </c>
      <c r="M925" s="5">
        <v>59.98</v>
      </c>
      <c r="N925" s="4" t="s">
        <v>34</v>
      </c>
      <c r="O925" s="5">
        <v>0</v>
      </c>
      <c r="P925" s="5">
        <v>5.99</v>
      </c>
      <c r="Q925" s="5">
        <v>5.4</v>
      </c>
      <c r="R925" s="5">
        <v>71.37</v>
      </c>
      <c r="S925" s="4" t="s">
        <v>35</v>
      </c>
      <c r="T925" s="4" t="s">
        <v>99</v>
      </c>
      <c r="U925" s="4" t="s">
        <v>66</v>
      </c>
      <c r="V925" s="4" t="s">
        <v>1086</v>
      </c>
      <c r="W925" s="5">
        <v>0</v>
      </c>
    </row>
    <row r="926" spans="1:23" x14ac:dyDescent="0.3">
      <c r="A926" s="2" t="s">
        <v>5464</v>
      </c>
      <c r="B926" s="2" t="s">
        <v>1070</v>
      </c>
      <c r="C926" s="2" t="s">
        <v>5465</v>
      </c>
      <c r="D926" s="2" t="s">
        <v>5466</v>
      </c>
      <c r="E926" s="2" t="s">
        <v>5467</v>
      </c>
      <c r="F926" s="2" t="s">
        <v>5468</v>
      </c>
      <c r="G926" s="2" t="s">
        <v>140</v>
      </c>
      <c r="H926" s="2" t="s">
        <v>141</v>
      </c>
      <c r="I926" s="2" t="s">
        <v>31</v>
      </c>
      <c r="J926" s="2" t="s">
        <v>5469</v>
      </c>
      <c r="K926" s="2" t="s">
        <v>110</v>
      </c>
      <c r="L926" s="2">
        <v>2</v>
      </c>
      <c r="M926" s="3">
        <v>62.98</v>
      </c>
      <c r="N926" s="2" t="s">
        <v>34</v>
      </c>
      <c r="O926" s="3">
        <v>0</v>
      </c>
      <c r="P926" s="3">
        <v>9.99</v>
      </c>
      <c r="Q926" s="3">
        <v>4.41</v>
      </c>
      <c r="R926" s="3">
        <v>77.38</v>
      </c>
      <c r="S926" s="2" t="s">
        <v>35</v>
      </c>
      <c r="T926" s="2" t="s">
        <v>36</v>
      </c>
      <c r="U926" s="2" t="s">
        <v>37</v>
      </c>
      <c r="V926" s="2" t="s">
        <v>166</v>
      </c>
      <c r="W926" s="3">
        <v>77.38</v>
      </c>
    </row>
    <row r="927" spans="1:23" x14ac:dyDescent="0.3">
      <c r="A927" s="4" t="s">
        <v>5470</v>
      </c>
      <c r="B927" s="4" t="s">
        <v>806</v>
      </c>
      <c r="C927" s="4" t="s">
        <v>5471</v>
      </c>
      <c r="D927" s="4" t="s">
        <v>5472</v>
      </c>
      <c r="E927" s="4" t="s">
        <v>5473</v>
      </c>
      <c r="F927" s="4" t="s">
        <v>5474</v>
      </c>
      <c r="G927" s="4" t="s">
        <v>802</v>
      </c>
      <c r="H927" s="4" t="s">
        <v>88</v>
      </c>
      <c r="I927" s="4" t="s">
        <v>31</v>
      </c>
      <c r="J927" s="4" t="s">
        <v>632</v>
      </c>
      <c r="K927" s="4" t="s">
        <v>33</v>
      </c>
      <c r="L927" s="4">
        <v>1</v>
      </c>
      <c r="M927" s="5">
        <v>49.99</v>
      </c>
      <c r="N927" s="4" t="s">
        <v>152</v>
      </c>
      <c r="O927" s="5">
        <v>2.5</v>
      </c>
      <c r="P927" s="5">
        <v>7.99</v>
      </c>
      <c r="Q927" s="5">
        <v>2.85</v>
      </c>
      <c r="R927" s="5">
        <v>58.33</v>
      </c>
      <c r="S927" s="4" t="s">
        <v>35</v>
      </c>
      <c r="T927" s="4" t="s">
        <v>99</v>
      </c>
      <c r="U927" s="4" t="s">
        <v>37</v>
      </c>
      <c r="V927" s="4" t="s">
        <v>1539</v>
      </c>
      <c r="W927" s="5">
        <v>58.33</v>
      </c>
    </row>
    <row r="928" spans="1:23" x14ac:dyDescent="0.3">
      <c r="A928" s="2" t="s">
        <v>5475</v>
      </c>
      <c r="B928" s="2" t="s">
        <v>237</v>
      </c>
      <c r="C928" s="2" t="s">
        <v>5476</v>
      </c>
      <c r="D928" s="2" t="s">
        <v>3320</v>
      </c>
      <c r="E928" s="2" t="s">
        <v>5477</v>
      </c>
      <c r="F928" s="2" t="s">
        <v>5478</v>
      </c>
      <c r="G928" s="2" t="s">
        <v>107</v>
      </c>
      <c r="H928" s="2" t="s">
        <v>108</v>
      </c>
      <c r="I928" s="2" t="s">
        <v>31</v>
      </c>
      <c r="J928" s="2" t="s">
        <v>678</v>
      </c>
      <c r="K928" s="2" t="s">
        <v>679</v>
      </c>
      <c r="L928" s="2">
        <v>1</v>
      </c>
      <c r="M928" s="3">
        <v>14.99</v>
      </c>
      <c r="N928" s="2" t="s">
        <v>34</v>
      </c>
      <c r="O928" s="3">
        <v>0</v>
      </c>
      <c r="P928" s="3">
        <v>5.99</v>
      </c>
      <c r="Q928" s="3">
        <v>1.35</v>
      </c>
      <c r="R928" s="3">
        <v>22.33</v>
      </c>
      <c r="S928" s="2" t="s">
        <v>79</v>
      </c>
      <c r="T928" s="2" t="s">
        <v>36</v>
      </c>
      <c r="U928" s="2" t="s">
        <v>66</v>
      </c>
      <c r="V928" s="2" t="s">
        <v>619</v>
      </c>
      <c r="W928" s="3">
        <v>0</v>
      </c>
    </row>
    <row r="929" spans="1:23" x14ac:dyDescent="0.3">
      <c r="A929" s="4" t="s">
        <v>5479</v>
      </c>
      <c r="B929" s="4" t="s">
        <v>1976</v>
      </c>
      <c r="C929" s="4" t="s">
        <v>5480</v>
      </c>
      <c r="D929" s="4" t="s">
        <v>5481</v>
      </c>
      <c r="E929" s="4" t="s">
        <v>5482</v>
      </c>
      <c r="F929" s="4" t="s">
        <v>5483</v>
      </c>
      <c r="G929" s="4" t="s">
        <v>251</v>
      </c>
      <c r="H929" s="4" t="s">
        <v>252</v>
      </c>
      <c r="I929" s="4" t="s">
        <v>31</v>
      </c>
      <c r="J929" s="4" t="s">
        <v>1141</v>
      </c>
      <c r="K929" s="4" t="s">
        <v>122</v>
      </c>
      <c r="L929" s="4">
        <v>1</v>
      </c>
      <c r="M929" s="5">
        <v>74.989999999999995</v>
      </c>
      <c r="N929" s="4" t="s">
        <v>163</v>
      </c>
      <c r="O929" s="5">
        <v>15</v>
      </c>
      <c r="P929" s="5">
        <v>5.99</v>
      </c>
      <c r="Q929" s="5">
        <v>6</v>
      </c>
      <c r="R929" s="5">
        <v>71.98</v>
      </c>
      <c r="S929" s="4" t="s">
        <v>123</v>
      </c>
      <c r="T929" s="4" t="s">
        <v>65</v>
      </c>
      <c r="U929" s="4" t="s">
        <v>66</v>
      </c>
      <c r="V929" s="4" t="s">
        <v>296</v>
      </c>
      <c r="W929" s="5">
        <v>0</v>
      </c>
    </row>
    <row r="930" spans="1:23" x14ac:dyDescent="0.3">
      <c r="A930" s="2" t="s">
        <v>5484</v>
      </c>
      <c r="B930" s="2" t="s">
        <v>609</v>
      </c>
      <c r="C930" s="2" t="s">
        <v>5485</v>
      </c>
      <c r="D930" s="2" t="s">
        <v>5486</v>
      </c>
      <c r="E930" s="2" t="s">
        <v>5487</v>
      </c>
      <c r="F930" s="2" t="s">
        <v>5488</v>
      </c>
      <c r="G930" s="2" t="s">
        <v>29</v>
      </c>
      <c r="H930" s="2" t="s">
        <v>30</v>
      </c>
      <c r="I930" s="2" t="s">
        <v>31</v>
      </c>
      <c r="J930" s="2" t="s">
        <v>970</v>
      </c>
      <c r="K930" s="2" t="s">
        <v>209</v>
      </c>
      <c r="L930" s="2">
        <v>1</v>
      </c>
      <c r="M930" s="3">
        <v>149.97</v>
      </c>
      <c r="N930" s="2" t="s">
        <v>152</v>
      </c>
      <c r="O930" s="3">
        <v>7.5</v>
      </c>
      <c r="P930" s="3">
        <v>0</v>
      </c>
      <c r="Q930" s="3">
        <v>14.25</v>
      </c>
      <c r="R930" s="3">
        <v>156.72</v>
      </c>
      <c r="S930" s="2" t="s">
        <v>79</v>
      </c>
      <c r="T930" s="2" t="s">
        <v>99</v>
      </c>
      <c r="U930" s="2" t="s">
        <v>66</v>
      </c>
      <c r="V930" s="2" t="s">
        <v>1430</v>
      </c>
      <c r="W930" s="3">
        <v>0</v>
      </c>
    </row>
    <row r="931" spans="1:23" x14ac:dyDescent="0.3">
      <c r="A931" s="4" t="s">
        <v>5489</v>
      </c>
      <c r="B931" s="4" t="s">
        <v>542</v>
      </c>
      <c r="C931" s="4" t="s">
        <v>5490</v>
      </c>
      <c r="D931" s="4" t="s">
        <v>5491</v>
      </c>
      <c r="E931" s="4" t="s">
        <v>5492</v>
      </c>
      <c r="F931" s="4" t="s">
        <v>5493</v>
      </c>
      <c r="G931" s="4" t="s">
        <v>1183</v>
      </c>
      <c r="H931" s="4" t="s">
        <v>88</v>
      </c>
      <c r="I931" s="4" t="s">
        <v>31</v>
      </c>
      <c r="J931" s="4" t="s">
        <v>3130</v>
      </c>
      <c r="K931" s="4" t="s">
        <v>209</v>
      </c>
      <c r="L931" s="4">
        <v>1</v>
      </c>
      <c r="M931" s="5">
        <v>359.97</v>
      </c>
      <c r="N931" s="4" t="s">
        <v>78</v>
      </c>
      <c r="O931" s="5">
        <v>36</v>
      </c>
      <c r="P931" s="5">
        <v>0</v>
      </c>
      <c r="Q931" s="5">
        <v>25.92</v>
      </c>
      <c r="R931" s="5">
        <v>349.89</v>
      </c>
      <c r="S931" s="4" t="s">
        <v>64</v>
      </c>
      <c r="T931" s="4" t="s">
        <v>99</v>
      </c>
      <c r="U931" s="4" t="s">
        <v>51</v>
      </c>
      <c r="V931" s="4" t="s">
        <v>1580</v>
      </c>
      <c r="W931" s="5">
        <v>0</v>
      </c>
    </row>
    <row r="932" spans="1:23" x14ac:dyDescent="0.3">
      <c r="A932" s="2" t="s">
        <v>5494</v>
      </c>
      <c r="B932" s="2" t="s">
        <v>849</v>
      </c>
      <c r="C932" s="2" t="s">
        <v>5495</v>
      </c>
      <c r="D932" s="2" t="s">
        <v>5496</v>
      </c>
      <c r="E932" s="2" t="s">
        <v>5497</v>
      </c>
      <c r="F932" s="2" t="s">
        <v>5498</v>
      </c>
      <c r="G932" s="2" t="s">
        <v>251</v>
      </c>
      <c r="H932" s="2" t="s">
        <v>252</v>
      </c>
      <c r="I932" s="2" t="s">
        <v>31</v>
      </c>
      <c r="J932" s="2" t="s">
        <v>5499</v>
      </c>
      <c r="K932" s="2" t="s">
        <v>209</v>
      </c>
      <c r="L932" s="2">
        <v>2</v>
      </c>
      <c r="M932" s="3">
        <v>52.98</v>
      </c>
      <c r="N932" s="2" t="s">
        <v>34</v>
      </c>
      <c r="O932" s="3">
        <v>0</v>
      </c>
      <c r="P932" s="3">
        <v>9.99</v>
      </c>
      <c r="Q932" s="3">
        <v>3.71</v>
      </c>
      <c r="R932" s="3">
        <v>66.680000000000007</v>
      </c>
      <c r="S932" s="2" t="s">
        <v>332</v>
      </c>
      <c r="T932" s="2" t="s">
        <v>325</v>
      </c>
      <c r="U932" s="2" t="s">
        <v>51</v>
      </c>
      <c r="V932" s="2" t="s">
        <v>3092</v>
      </c>
      <c r="W932" s="3">
        <v>0</v>
      </c>
    </row>
    <row r="933" spans="1:23" x14ac:dyDescent="0.3">
      <c r="A933" s="4" t="s">
        <v>5500</v>
      </c>
      <c r="B933" s="4" t="s">
        <v>461</v>
      </c>
      <c r="C933" s="4" t="s">
        <v>5501</v>
      </c>
      <c r="D933" s="4" t="s">
        <v>3737</v>
      </c>
      <c r="E933" s="4" t="s">
        <v>5502</v>
      </c>
      <c r="F933" s="4" t="s">
        <v>5503</v>
      </c>
      <c r="G933" s="4" t="s">
        <v>171</v>
      </c>
      <c r="H933" s="4" t="s">
        <v>88</v>
      </c>
      <c r="I933" s="4" t="s">
        <v>31</v>
      </c>
      <c r="J933" s="4" t="s">
        <v>632</v>
      </c>
      <c r="K933" s="4" t="s">
        <v>33</v>
      </c>
      <c r="L933" s="4">
        <v>1</v>
      </c>
      <c r="M933" s="5">
        <v>49.99</v>
      </c>
      <c r="N933" s="4" t="s">
        <v>78</v>
      </c>
      <c r="O933" s="5">
        <v>5</v>
      </c>
      <c r="P933" s="5">
        <v>7.99</v>
      </c>
      <c r="Q933" s="5">
        <v>4.05</v>
      </c>
      <c r="R933" s="5">
        <v>57.03</v>
      </c>
      <c r="S933" s="4" t="s">
        <v>35</v>
      </c>
      <c r="T933" s="4" t="s">
        <v>50</v>
      </c>
      <c r="U933" s="4" t="s">
        <v>51</v>
      </c>
      <c r="V933" s="4" t="s">
        <v>2435</v>
      </c>
      <c r="W933" s="5">
        <v>0</v>
      </c>
    </row>
    <row r="934" spans="1:23" x14ac:dyDescent="0.3">
      <c r="A934" s="2" t="s">
        <v>5504</v>
      </c>
      <c r="B934" s="2" t="s">
        <v>1209</v>
      </c>
      <c r="C934" s="2" t="s">
        <v>5505</v>
      </c>
      <c r="D934" s="2" t="s">
        <v>5506</v>
      </c>
      <c r="E934" s="2" t="s">
        <v>5507</v>
      </c>
      <c r="F934" s="2" t="s">
        <v>5508</v>
      </c>
      <c r="G934" s="2" t="s">
        <v>1730</v>
      </c>
      <c r="H934" s="2" t="s">
        <v>161</v>
      </c>
      <c r="I934" s="2" t="s">
        <v>31</v>
      </c>
      <c r="J934" s="2" t="s">
        <v>5509</v>
      </c>
      <c r="K934" s="2" t="s">
        <v>122</v>
      </c>
      <c r="L934" s="2">
        <v>5</v>
      </c>
      <c r="M934" s="3">
        <v>574.91</v>
      </c>
      <c r="N934" s="2" t="s">
        <v>163</v>
      </c>
      <c r="O934" s="3">
        <v>114.98</v>
      </c>
      <c r="P934" s="3">
        <v>0</v>
      </c>
      <c r="Q934" s="3">
        <v>45.99</v>
      </c>
      <c r="R934" s="3">
        <v>505.92</v>
      </c>
      <c r="S934" s="2" t="s">
        <v>123</v>
      </c>
      <c r="T934" s="2" t="s">
        <v>65</v>
      </c>
      <c r="U934" s="2" t="s">
        <v>66</v>
      </c>
      <c r="V934" s="2" t="s">
        <v>1633</v>
      </c>
      <c r="W934" s="3">
        <v>0</v>
      </c>
    </row>
    <row r="935" spans="1:23" x14ac:dyDescent="0.3">
      <c r="A935" s="4" t="s">
        <v>5510</v>
      </c>
      <c r="B935" s="4" t="s">
        <v>5511</v>
      </c>
      <c r="C935" s="4" t="s">
        <v>5512</v>
      </c>
      <c r="D935" s="4" t="s">
        <v>507</v>
      </c>
      <c r="E935" s="4" t="s">
        <v>5513</v>
      </c>
      <c r="F935" s="4" t="s">
        <v>5514</v>
      </c>
      <c r="G935" s="4" t="s">
        <v>428</v>
      </c>
      <c r="H935" s="4" t="s">
        <v>429</v>
      </c>
      <c r="I935" s="4" t="s">
        <v>31</v>
      </c>
      <c r="J935" s="4" t="s">
        <v>903</v>
      </c>
      <c r="K935" s="4" t="s">
        <v>62</v>
      </c>
      <c r="L935" s="4">
        <v>1</v>
      </c>
      <c r="M935" s="5">
        <v>74.97</v>
      </c>
      <c r="N935" s="4" t="s">
        <v>34</v>
      </c>
      <c r="O935" s="5">
        <v>0</v>
      </c>
      <c r="P935" s="5">
        <v>7.99</v>
      </c>
      <c r="Q935" s="5">
        <v>7.5</v>
      </c>
      <c r="R935" s="5">
        <v>90.46</v>
      </c>
      <c r="S935" s="4" t="s">
        <v>332</v>
      </c>
      <c r="T935" s="4" t="s">
        <v>183</v>
      </c>
      <c r="U935" s="4" t="s">
        <v>100</v>
      </c>
      <c r="V935" s="4"/>
      <c r="W935" s="5">
        <v>0</v>
      </c>
    </row>
    <row r="936" spans="1:23" x14ac:dyDescent="0.3">
      <c r="A936" s="2" t="s">
        <v>5515</v>
      </c>
      <c r="B936" s="2" t="s">
        <v>2210</v>
      </c>
      <c r="C936" s="2" t="s">
        <v>5516</v>
      </c>
      <c r="D936" s="2" t="s">
        <v>5517</v>
      </c>
      <c r="E936" s="2" t="s">
        <v>5518</v>
      </c>
      <c r="F936" s="2" t="s">
        <v>5519</v>
      </c>
      <c r="G936" s="2" t="s">
        <v>160</v>
      </c>
      <c r="H936" s="2" t="s">
        <v>161</v>
      </c>
      <c r="I936" s="2" t="s">
        <v>31</v>
      </c>
      <c r="J936" s="2" t="s">
        <v>5520</v>
      </c>
      <c r="K936" s="2" t="s">
        <v>364</v>
      </c>
      <c r="L936" s="2">
        <v>5</v>
      </c>
      <c r="M936" s="3">
        <v>494.91</v>
      </c>
      <c r="N936" s="2" t="s">
        <v>49</v>
      </c>
      <c r="O936" s="3">
        <v>74.239999999999995</v>
      </c>
      <c r="P936" s="3">
        <v>0</v>
      </c>
      <c r="Q936" s="3">
        <v>35.76</v>
      </c>
      <c r="R936" s="3">
        <v>456.43</v>
      </c>
      <c r="S936" s="2" t="s">
        <v>64</v>
      </c>
      <c r="T936" s="2" t="s">
        <v>325</v>
      </c>
      <c r="U936" s="2" t="s">
        <v>100</v>
      </c>
      <c r="V936" s="2"/>
      <c r="W936" s="3">
        <v>0</v>
      </c>
    </row>
    <row r="937" spans="1:23" x14ac:dyDescent="0.3">
      <c r="A937" s="4" t="s">
        <v>5521</v>
      </c>
      <c r="B937" s="4" t="s">
        <v>166</v>
      </c>
      <c r="C937" s="4" t="s">
        <v>5522</v>
      </c>
      <c r="D937" s="4" t="s">
        <v>4372</v>
      </c>
      <c r="E937" s="4" t="s">
        <v>5523</v>
      </c>
      <c r="F937" s="4" t="s">
        <v>5524</v>
      </c>
      <c r="G937" s="4" t="s">
        <v>160</v>
      </c>
      <c r="H937" s="4" t="s">
        <v>161</v>
      </c>
      <c r="I937" s="4" t="s">
        <v>31</v>
      </c>
      <c r="J937" s="4" t="s">
        <v>5525</v>
      </c>
      <c r="K937" s="4" t="s">
        <v>77</v>
      </c>
      <c r="L937" s="4">
        <v>3</v>
      </c>
      <c r="M937" s="5">
        <v>152.97</v>
      </c>
      <c r="N937" s="4" t="s">
        <v>34</v>
      </c>
      <c r="O937" s="5">
        <v>0</v>
      </c>
      <c r="P937" s="5">
        <v>0</v>
      </c>
      <c r="Q937" s="5">
        <v>10.71</v>
      </c>
      <c r="R937" s="5">
        <v>163.68</v>
      </c>
      <c r="S937" s="4" t="s">
        <v>35</v>
      </c>
      <c r="T937" s="4" t="s">
        <v>99</v>
      </c>
      <c r="U937" s="4" t="s">
        <v>66</v>
      </c>
      <c r="V937" s="4" t="s">
        <v>406</v>
      </c>
      <c r="W937" s="5">
        <v>0</v>
      </c>
    </row>
    <row r="938" spans="1:23" x14ac:dyDescent="0.3">
      <c r="A938" s="2" t="s">
        <v>5526</v>
      </c>
      <c r="B938" s="2" t="s">
        <v>2886</v>
      </c>
      <c r="C938" s="2" t="s">
        <v>5527</v>
      </c>
      <c r="D938" s="2" t="s">
        <v>5528</v>
      </c>
      <c r="E938" s="2" t="s">
        <v>5529</v>
      </c>
      <c r="F938" s="2" t="s">
        <v>5530</v>
      </c>
      <c r="G938" s="2" t="s">
        <v>428</v>
      </c>
      <c r="H938" s="2" t="s">
        <v>429</v>
      </c>
      <c r="I938" s="2" t="s">
        <v>31</v>
      </c>
      <c r="J938" s="2" t="s">
        <v>5531</v>
      </c>
      <c r="K938" s="2" t="s">
        <v>33</v>
      </c>
      <c r="L938" s="2">
        <v>2</v>
      </c>
      <c r="M938" s="3">
        <v>95.97</v>
      </c>
      <c r="N938" s="2" t="s">
        <v>34</v>
      </c>
      <c r="O938" s="3">
        <v>0</v>
      </c>
      <c r="P938" s="3">
        <v>0</v>
      </c>
      <c r="Q938" s="3">
        <v>5.76</v>
      </c>
      <c r="R938" s="3">
        <v>101.73</v>
      </c>
      <c r="S938" s="2" t="s">
        <v>98</v>
      </c>
      <c r="T938" s="2" t="s">
        <v>99</v>
      </c>
      <c r="U938" s="2" t="s">
        <v>317</v>
      </c>
      <c r="V938" s="2"/>
      <c r="W938" s="3">
        <v>0</v>
      </c>
    </row>
    <row r="939" spans="1:23" x14ac:dyDescent="0.3">
      <c r="A939" s="4" t="s">
        <v>5532</v>
      </c>
      <c r="B939" s="4" t="s">
        <v>210</v>
      </c>
      <c r="C939" s="4" t="s">
        <v>5533</v>
      </c>
      <c r="D939" s="4" t="s">
        <v>5534</v>
      </c>
      <c r="E939" s="4" t="s">
        <v>5535</v>
      </c>
      <c r="F939" s="4" t="s">
        <v>5536</v>
      </c>
      <c r="G939" s="4" t="s">
        <v>428</v>
      </c>
      <c r="H939" s="4" t="s">
        <v>429</v>
      </c>
      <c r="I939" s="4" t="s">
        <v>31</v>
      </c>
      <c r="J939" s="4" t="s">
        <v>4024</v>
      </c>
      <c r="K939" s="4" t="s">
        <v>77</v>
      </c>
      <c r="L939" s="4">
        <v>2</v>
      </c>
      <c r="M939" s="5">
        <v>77.98</v>
      </c>
      <c r="N939" s="4" t="s">
        <v>34</v>
      </c>
      <c r="O939" s="5">
        <v>0</v>
      </c>
      <c r="P939" s="5">
        <v>0</v>
      </c>
      <c r="Q939" s="5">
        <v>5.46</v>
      </c>
      <c r="R939" s="5">
        <v>83.44</v>
      </c>
      <c r="S939" s="4" t="s">
        <v>111</v>
      </c>
      <c r="T939" s="4" t="s">
        <v>99</v>
      </c>
      <c r="U939" s="4" t="s">
        <v>51</v>
      </c>
      <c r="V939" s="4" t="s">
        <v>2142</v>
      </c>
      <c r="W939" s="5">
        <v>0</v>
      </c>
    </row>
    <row r="940" spans="1:23" x14ac:dyDescent="0.3">
      <c r="A940" s="2" t="s">
        <v>5537</v>
      </c>
      <c r="B940" s="2" t="s">
        <v>5213</v>
      </c>
      <c r="C940" s="2" t="s">
        <v>5538</v>
      </c>
      <c r="D940" s="2" t="s">
        <v>5539</v>
      </c>
      <c r="E940" s="2" t="s">
        <v>5540</v>
      </c>
      <c r="F940" s="2" t="s">
        <v>5541</v>
      </c>
      <c r="G940" s="2" t="s">
        <v>29</v>
      </c>
      <c r="H940" s="2" t="s">
        <v>30</v>
      </c>
      <c r="I940" s="2" t="s">
        <v>31</v>
      </c>
      <c r="J940" s="2" t="s">
        <v>5542</v>
      </c>
      <c r="K940" s="2" t="s">
        <v>77</v>
      </c>
      <c r="L940" s="2">
        <v>2</v>
      </c>
      <c r="M940" s="3">
        <v>94.97</v>
      </c>
      <c r="N940" s="2" t="s">
        <v>152</v>
      </c>
      <c r="O940" s="3">
        <v>4.75</v>
      </c>
      <c r="P940" s="3">
        <v>0</v>
      </c>
      <c r="Q940" s="3">
        <v>8.1199999999999992</v>
      </c>
      <c r="R940" s="3">
        <v>98.34</v>
      </c>
      <c r="S940" s="2" t="s">
        <v>64</v>
      </c>
      <c r="T940" s="2" t="s">
        <v>99</v>
      </c>
      <c r="U940" s="2" t="s">
        <v>66</v>
      </c>
      <c r="V940" s="2" t="s">
        <v>1000</v>
      </c>
      <c r="W940" s="3">
        <v>0</v>
      </c>
    </row>
    <row r="941" spans="1:23" x14ac:dyDescent="0.3">
      <c r="A941" s="4" t="s">
        <v>5543</v>
      </c>
      <c r="B941" s="4" t="s">
        <v>455</v>
      </c>
      <c r="C941" s="4" t="s">
        <v>5544</v>
      </c>
      <c r="D941" s="4" t="s">
        <v>5545</v>
      </c>
      <c r="E941" s="4" t="s">
        <v>5546</v>
      </c>
      <c r="F941" s="4" t="s">
        <v>5547</v>
      </c>
      <c r="G941" s="4" t="s">
        <v>242</v>
      </c>
      <c r="H941" s="4" t="s">
        <v>243</v>
      </c>
      <c r="I941" s="4" t="s">
        <v>31</v>
      </c>
      <c r="J941" s="4" t="s">
        <v>61</v>
      </c>
      <c r="K941" s="4" t="s">
        <v>62</v>
      </c>
      <c r="L941" s="4">
        <v>1</v>
      </c>
      <c r="M941" s="5">
        <v>24.99</v>
      </c>
      <c r="N941" s="4" t="s">
        <v>63</v>
      </c>
      <c r="O941" s="5">
        <v>6.25</v>
      </c>
      <c r="P941" s="5">
        <v>9.99</v>
      </c>
      <c r="Q941" s="5">
        <v>1.59</v>
      </c>
      <c r="R941" s="5">
        <v>30.32</v>
      </c>
      <c r="S941" s="4" t="s">
        <v>123</v>
      </c>
      <c r="T941" s="4" t="s">
        <v>99</v>
      </c>
      <c r="U941" s="4" t="s">
        <v>66</v>
      </c>
      <c r="V941" s="4" t="s">
        <v>261</v>
      </c>
      <c r="W941" s="5">
        <v>0</v>
      </c>
    </row>
    <row r="942" spans="1:23" x14ac:dyDescent="0.3">
      <c r="A942" s="2" t="s">
        <v>5548</v>
      </c>
      <c r="B942" s="2" t="s">
        <v>463</v>
      </c>
      <c r="C942" s="2" t="s">
        <v>5549</v>
      </c>
      <c r="D942" s="2" t="s">
        <v>5550</v>
      </c>
      <c r="E942" s="2" t="s">
        <v>5551</v>
      </c>
      <c r="F942" s="2" t="s">
        <v>5552</v>
      </c>
      <c r="G942" s="2" t="s">
        <v>59</v>
      </c>
      <c r="H942" s="2" t="s">
        <v>60</v>
      </c>
      <c r="I942" s="2" t="s">
        <v>31</v>
      </c>
      <c r="J942" s="2" t="s">
        <v>5553</v>
      </c>
      <c r="K942" s="2" t="s">
        <v>143</v>
      </c>
      <c r="L942" s="2">
        <v>2</v>
      </c>
      <c r="M942" s="3">
        <v>184.98</v>
      </c>
      <c r="N942" s="2" t="s">
        <v>152</v>
      </c>
      <c r="O942" s="3">
        <v>9.25</v>
      </c>
      <c r="P942" s="3">
        <v>0</v>
      </c>
      <c r="Q942" s="3">
        <v>15.82</v>
      </c>
      <c r="R942" s="3">
        <v>191.55</v>
      </c>
      <c r="S942" s="2" t="s">
        <v>79</v>
      </c>
      <c r="T942" s="2" t="s">
        <v>173</v>
      </c>
      <c r="U942" s="2" t="s">
        <v>66</v>
      </c>
      <c r="V942" s="2" t="s">
        <v>80</v>
      </c>
      <c r="W942" s="3">
        <v>0</v>
      </c>
    </row>
    <row r="943" spans="1:23" x14ac:dyDescent="0.3">
      <c r="A943" s="4" t="s">
        <v>5554</v>
      </c>
      <c r="B943" s="4" t="s">
        <v>3372</v>
      </c>
      <c r="C943" s="4" t="s">
        <v>5555</v>
      </c>
      <c r="D943" s="4" t="s">
        <v>3652</v>
      </c>
      <c r="E943" s="4" t="s">
        <v>5556</v>
      </c>
      <c r="F943" s="4" t="s">
        <v>5557</v>
      </c>
      <c r="G943" s="4" t="s">
        <v>242</v>
      </c>
      <c r="H943" s="4" t="s">
        <v>243</v>
      </c>
      <c r="I943" s="4" t="s">
        <v>31</v>
      </c>
      <c r="J943" s="4" t="s">
        <v>1141</v>
      </c>
      <c r="K943" s="4" t="s">
        <v>122</v>
      </c>
      <c r="L943" s="4">
        <v>1</v>
      </c>
      <c r="M943" s="5">
        <v>74.989999999999995</v>
      </c>
      <c r="N943" s="4" t="s">
        <v>34</v>
      </c>
      <c r="O943" s="5">
        <v>0</v>
      </c>
      <c r="P943" s="5">
        <v>7.99</v>
      </c>
      <c r="Q943" s="5">
        <v>4.5</v>
      </c>
      <c r="R943" s="5">
        <v>87.48</v>
      </c>
      <c r="S943" s="4" t="s">
        <v>64</v>
      </c>
      <c r="T943" s="4" t="s">
        <v>65</v>
      </c>
      <c r="U943" s="4" t="s">
        <v>51</v>
      </c>
      <c r="V943" s="4" t="s">
        <v>3075</v>
      </c>
      <c r="W943" s="5">
        <v>0</v>
      </c>
    </row>
    <row r="944" spans="1:23" x14ac:dyDescent="0.3">
      <c r="A944" s="2" t="s">
        <v>5558</v>
      </c>
      <c r="B944" s="2" t="s">
        <v>797</v>
      </c>
      <c r="C944" s="2" t="s">
        <v>5559</v>
      </c>
      <c r="D944" s="2" t="s">
        <v>5560</v>
      </c>
      <c r="E944" s="2" t="s">
        <v>5561</v>
      </c>
      <c r="F944" s="2" t="s">
        <v>5562</v>
      </c>
      <c r="G944" s="2" t="s">
        <v>1730</v>
      </c>
      <c r="H944" s="2" t="s">
        <v>161</v>
      </c>
      <c r="I944" s="2" t="s">
        <v>31</v>
      </c>
      <c r="J944" s="2" t="s">
        <v>5563</v>
      </c>
      <c r="K944" s="2" t="s">
        <v>48</v>
      </c>
      <c r="L944" s="2">
        <v>2</v>
      </c>
      <c r="M944" s="3">
        <v>70.98</v>
      </c>
      <c r="N944" s="2" t="s">
        <v>78</v>
      </c>
      <c r="O944" s="3">
        <v>7.1</v>
      </c>
      <c r="P944" s="3">
        <v>5.99</v>
      </c>
      <c r="Q944" s="3">
        <v>5.75</v>
      </c>
      <c r="R944" s="3">
        <v>75.62</v>
      </c>
      <c r="S944" s="2" t="s">
        <v>123</v>
      </c>
      <c r="T944" s="2" t="s">
        <v>36</v>
      </c>
      <c r="U944" s="2" t="s">
        <v>66</v>
      </c>
      <c r="V944" s="2" t="s">
        <v>1063</v>
      </c>
      <c r="W944" s="3">
        <v>0</v>
      </c>
    </row>
    <row r="945" spans="1:23" x14ac:dyDescent="0.3">
      <c r="A945" s="4" t="s">
        <v>5564</v>
      </c>
      <c r="B945" s="4" t="s">
        <v>1259</v>
      </c>
      <c r="C945" s="4" t="s">
        <v>5565</v>
      </c>
      <c r="D945" s="4" t="s">
        <v>2713</v>
      </c>
      <c r="E945" s="4" t="s">
        <v>5566</v>
      </c>
      <c r="F945" s="4" t="s">
        <v>5567</v>
      </c>
      <c r="G945" s="4" t="s">
        <v>107</v>
      </c>
      <c r="H945" s="4" t="s">
        <v>108</v>
      </c>
      <c r="I945" s="4" t="s">
        <v>31</v>
      </c>
      <c r="J945" s="4" t="s">
        <v>1320</v>
      </c>
      <c r="K945" s="4" t="s">
        <v>364</v>
      </c>
      <c r="L945" s="4">
        <v>1</v>
      </c>
      <c r="M945" s="5">
        <v>89.98</v>
      </c>
      <c r="N945" s="4" t="s">
        <v>34</v>
      </c>
      <c r="O945" s="5">
        <v>0</v>
      </c>
      <c r="P945" s="5">
        <v>0</v>
      </c>
      <c r="Q945" s="5">
        <v>6.3</v>
      </c>
      <c r="R945" s="5">
        <v>96.28</v>
      </c>
      <c r="S945" s="4" t="s">
        <v>123</v>
      </c>
      <c r="T945" s="4" t="s">
        <v>65</v>
      </c>
      <c r="U945" s="4" t="s">
        <v>66</v>
      </c>
      <c r="V945" s="4" t="s">
        <v>1873</v>
      </c>
      <c r="W945" s="5">
        <v>0</v>
      </c>
    </row>
    <row r="946" spans="1:23" x14ac:dyDescent="0.3">
      <c r="A946" s="2" t="s">
        <v>5568</v>
      </c>
      <c r="B946" s="2" t="s">
        <v>470</v>
      </c>
      <c r="C946" s="2" t="s">
        <v>5569</v>
      </c>
      <c r="D946" s="2" t="s">
        <v>779</v>
      </c>
      <c r="E946" s="2" t="s">
        <v>5570</v>
      </c>
      <c r="F946" s="2" t="s">
        <v>5571</v>
      </c>
      <c r="G946" s="2" t="s">
        <v>403</v>
      </c>
      <c r="H946" s="2" t="s">
        <v>404</v>
      </c>
      <c r="I946" s="2" t="s">
        <v>31</v>
      </c>
      <c r="J946" s="2" t="s">
        <v>5572</v>
      </c>
      <c r="K946" s="2" t="s">
        <v>62</v>
      </c>
      <c r="L946" s="2">
        <v>2</v>
      </c>
      <c r="M946" s="3">
        <v>99.96</v>
      </c>
      <c r="N946" s="2" t="s">
        <v>34</v>
      </c>
      <c r="O946" s="3">
        <v>0</v>
      </c>
      <c r="P946" s="3">
        <v>0</v>
      </c>
      <c r="Q946" s="3">
        <v>8.5</v>
      </c>
      <c r="R946" s="3">
        <v>108.46</v>
      </c>
      <c r="S946" s="2" t="s">
        <v>79</v>
      </c>
      <c r="T946" s="2" t="s">
        <v>99</v>
      </c>
      <c r="U946" s="2" t="s">
        <v>66</v>
      </c>
      <c r="V946" s="2" t="s">
        <v>194</v>
      </c>
      <c r="W946" s="3">
        <v>0</v>
      </c>
    </row>
    <row r="947" spans="1:23" x14ac:dyDescent="0.3">
      <c r="A947" s="4" t="s">
        <v>5573</v>
      </c>
      <c r="B947" s="4" t="s">
        <v>2671</v>
      </c>
      <c r="C947" s="4" t="s">
        <v>5574</v>
      </c>
      <c r="D947" s="4" t="s">
        <v>545</v>
      </c>
      <c r="E947" s="4" t="s">
        <v>5575</v>
      </c>
      <c r="F947" s="4" t="s">
        <v>5576</v>
      </c>
      <c r="G947" s="4" t="s">
        <v>74</v>
      </c>
      <c r="H947" s="4" t="s">
        <v>75</v>
      </c>
      <c r="I947" s="4" t="s">
        <v>31</v>
      </c>
      <c r="J947" s="4" t="s">
        <v>1269</v>
      </c>
      <c r="K947" s="4" t="s">
        <v>77</v>
      </c>
      <c r="L947" s="4">
        <v>1</v>
      </c>
      <c r="M947" s="5">
        <v>27.99</v>
      </c>
      <c r="N947" s="4" t="s">
        <v>163</v>
      </c>
      <c r="O947" s="5">
        <v>5.6</v>
      </c>
      <c r="P947" s="5">
        <v>7.99</v>
      </c>
      <c r="Q947" s="5">
        <v>1.9</v>
      </c>
      <c r="R947" s="5">
        <v>32.28</v>
      </c>
      <c r="S947" s="4" t="s">
        <v>79</v>
      </c>
      <c r="T947" s="4" t="s">
        <v>36</v>
      </c>
      <c r="U947" s="4" t="s">
        <v>66</v>
      </c>
      <c r="V947" s="4" t="s">
        <v>114</v>
      </c>
      <c r="W947" s="5">
        <v>0</v>
      </c>
    </row>
    <row r="948" spans="1:23" x14ac:dyDescent="0.3">
      <c r="A948" s="2" t="s">
        <v>5577</v>
      </c>
      <c r="B948" s="2" t="s">
        <v>2142</v>
      </c>
      <c r="C948" s="2" t="s">
        <v>5578</v>
      </c>
      <c r="D948" s="2" t="s">
        <v>698</v>
      </c>
      <c r="E948" s="2" t="s">
        <v>5579</v>
      </c>
      <c r="F948" s="2" t="s">
        <v>5580</v>
      </c>
      <c r="G948" s="2" t="s">
        <v>160</v>
      </c>
      <c r="H948" s="2" t="s">
        <v>161</v>
      </c>
      <c r="I948" s="2" t="s">
        <v>31</v>
      </c>
      <c r="J948" s="2" t="s">
        <v>5581</v>
      </c>
      <c r="K948" s="2" t="s">
        <v>62</v>
      </c>
      <c r="L948" s="2">
        <v>2</v>
      </c>
      <c r="M948" s="3">
        <v>159.96</v>
      </c>
      <c r="N948" s="2" t="s">
        <v>34</v>
      </c>
      <c r="O948" s="3">
        <v>0</v>
      </c>
      <c r="P948" s="3">
        <v>0</v>
      </c>
      <c r="Q948" s="3">
        <v>9.6</v>
      </c>
      <c r="R948" s="3">
        <v>169.56</v>
      </c>
      <c r="S948" s="2" t="s">
        <v>79</v>
      </c>
      <c r="T948" s="2" t="s">
        <v>36</v>
      </c>
      <c r="U948" s="2" t="s">
        <v>66</v>
      </c>
      <c r="V948" s="2" t="s">
        <v>1323</v>
      </c>
      <c r="W948" s="3">
        <v>0</v>
      </c>
    </row>
    <row r="949" spans="1:23" x14ac:dyDescent="0.3">
      <c r="A949" s="4" t="s">
        <v>5582</v>
      </c>
      <c r="B949" s="4" t="s">
        <v>2406</v>
      </c>
      <c r="C949" s="4" t="s">
        <v>5583</v>
      </c>
      <c r="D949" s="4" t="s">
        <v>5584</v>
      </c>
      <c r="E949" s="4" t="s">
        <v>5585</v>
      </c>
      <c r="F949" s="4" t="s">
        <v>5586</v>
      </c>
      <c r="G949" s="4" t="s">
        <v>87</v>
      </c>
      <c r="H949" s="4" t="s">
        <v>88</v>
      </c>
      <c r="I949" s="4" t="s">
        <v>31</v>
      </c>
      <c r="J949" s="4" t="s">
        <v>1232</v>
      </c>
      <c r="K949" s="4" t="s">
        <v>77</v>
      </c>
      <c r="L949" s="4">
        <v>1</v>
      </c>
      <c r="M949" s="5">
        <v>34.99</v>
      </c>
      <c r="N949" s="4" t="s">
        <v>78</v>
      </c>
      <c r="O949" s="5">
        <v>3.5</v>
      </c>
      <c r="P949" s="5">
        <v>9.99</v>
      </c>
      <c r="Q949" s="5">
        <v>1.89</v>
      </c>
      <c r="R949" s="5">
        <v>43.37</v>
      </c>
      <c r="S949" s="4" t="s">
        <v>35</v>
      </c>
      <c r="T949" s="4" t="s">
        <v>99</v>
      </c>
      <c r="U949" s="4" t="s">
        <v>66</v>
      </c>
      <c r="V949" s="4" t="s">
        <v>2412</v>
      </c>
      <c r="W949" s="5">
        <v>0</v>
      </c>
    </row>
    <row r="950" spans="1:23" x14ac:dyDescent="0.3">
      <c r="A950" s="2" t="s">
        <v>5587</v>
      </c>
      <c r="B950" s="2" t="s">
        <v>1259</v>
      </c>
      <c r="C950" s="2" t="s">
        <v>5588</v>
      </c>
      <c r="D950" s="2" t="s">
        <v>5425</v>
      </c>
      <c r="E950" s="2" t="s">
        <v>5589</v>
      </c>
      <c r="F950" s="2" t="s">
        <v>5590</v>
      </c>
      <c r="G950" s="2" t="s">
        <v>224</v>
      </c>
      <c r="H950" s="2" t="s">
        <v>225</v>
      </c>
      <c r="I950" s="2" t="s">
        <v>31</v>
      </c>
      <c r="J950" s="2" t="s">
        <v>5591</v>
      </c>
      <c r="K950" s="2" t="s">
        <v>209</v>
      </c>
      <c r="L950" s="2">
        <v>4</v>
      </c>
      <c r="M950" s="3">
        <v>162.96</v>
      </c>
      <c r="N950" s="2" t="s">
        <v>34</v>
      </c>
      <c r="O950" s="3">
        <v>0</v>
      </c>
      <c r="P950" s="3">
        <v>0</v>
      </c>
      <c r="Q950" s="3">
        <v>16.3</v>
      </c>
      <c r="R950" s="3">
        <v>179.26</v>
      </c>
      <c r="S950" s="2" t="s">
        <v>111</v>
      </c>
      <c r="T950" s="2" t="s">
        <v>183</v>
      </c>
      <c r="U950" s="2" t="s">
        <v>66</v>
      </c>
      <c r="V950" s="2" t="s">
        <v>1065</v>
      </c>
      <c r="W950" s="3">
        <v>0</v>
      </c>
    </row>
    <row r="951" spans="1:23" x14ac:dyDescent="0.3">
      <c r="A951" s="4" t="s">
        <v>5592</v>
      </c>
      <c r="B951" s="4" t="s">
        <v>2203</v>
      </c>
      <c r="C951" s="4" t="s">
        <v>5593</v>
      </c>
      <c r="D951" s="4" t="s">
        <v>893</v>
      </c>
      <c r="E951" s="4" t="s">
        <v>5594</v>
      </c>
      <c r="F951" s="4" t="s">
        <v>5595</v>
      </c>
      <c r="G951" s="4" t="s">
        <v>171</v>
      </c>
      <c r="H951" s="4" t="s">
        <v>88</v>
      </c>
      <c r="I951" s="4" t="s">
        <v>31</v>
      </c>
      <c r="J951" s="4" t="s">
        <v>5596</v>
      </c>
      <c r="K951" s="4" t="s">
        <v>143</v>
      </c>
      <c r="L951" s="4">
        <v>2</v>
      </c>
      <c r="M951" s="5">
        <v>239.97</v>
      </c>
      <c r="N951" s="4" t="s">
        <v>34</v>
      </c>
      <c r="O951" s="5">
        <v>0</v>
      </c>
      <c r="P951" s="5">
        <v>0</v>
      </c>
      <c r="Q951" s="5">
        <v>20.399999999999999</v>
      </c>
      <c r="R951" s="5">
        <v>260.37</v>
      </c>
      <c r="S951" s="4" t="s">
        <v>35</v>
      </c>
      <c r="T951" s="4" t="s">
        <v>99</v>
      </c>
      <c r="U951" s="4" t="s">
        <v>66</v>
      </c>
      <c r="V951" s="4" t="s">
        <v>2671</v>
      </c>
      <c r="W951" s="5">
        <v>0</v>
      </c>
    </row>
    <row r="952" spans="1:23" x14ac:dyDescent="0.3">
      <c r="A952" s="2" t="s">
        <v>5597</v>
      </c>
      <c r="B952" s="2" t="s">
        <v>2902</v>
      </c>
      <c r="C952" s="2" t="s">
        <v>5598</v>
      </c>
      <c r="D952" s="2" t="s">
        <v>2047</v>
      </c>
      <c r="E952" s="2" t="s">
        <v>5599</v>
      </c>
      <c r="F952" s="2" t="s">
        <v>5600</v>
      </c>
      <c r="G952" s="2" t="s">
        <v>291</v>
      </c>
      <c r="H952" s="2" t="s">
        <v>292</v>
      </c>
      <c r="I952" s="2" t="s">
        <v>31</v>
      </c>
      <c r="J952" s="2" t="s">
        <v>5601</v>
      </c>
      <c r="K952" s="2" t="s">
        <v>364</v>
      </c>
      <c r="L952" s="2">
        <v>3</v>
      </c>
      <c r="M952" s="3">
        <v>114.96</v>
      </c>
      <c r="N952" s="2" t="s">
        <v>163</v>
      </c>
      <c r="O952" s="3">
        <v>22.99</v>
      </c>
      <c r="P952" s="3">
        <v>0</v>
      </c>
      <c r="Q952" s="3">
        <v>8.2799999999999994</v>
      </c>
      <c r="R952" s="3">
        <v>100.25</v>
      </c>
      <c r="S952" s="2" t="s">
        <v>123</v>
      </c>
      <c r="T952" s="2" t="s">
        <v>99</v>
      </c>
      <c r="U952" s="2" t="s">
        <v>66</v>
      </c>
      <c r="V952" s="2" t="s">
        <v>3851</v>
      </c>
      <c r="W952" s="3">
        <v>0</v>
      </c>
    </row>
    <row r="953" spans="1:23" x14ac:dyDescent="0.3">
      <c r="A953" s="4" t="s">
        <v>5602</v>
      </c>
      <c r="B953" s="4" t="s">
        <v>656</v>
      </c>
      <c r="C953" s="4" t="s">
        <v>5603</v>
      </c>
      <c r="D953" s="4" t="s">
        <v>4449</v>
      </c>
      <c r="E953" s="4" t="s">
        <v>5604</v>
      </c>
      <c r="F953" s="4" t="s">
        <v>5605</v>
      </c>
      <c r="G953" s="4" t="s">
        <v>29</v>
      </c>
      <c r="H953" s="4" t="s">
        <v>30</v>
      </c>
      <c r="I953" s="4" t="s">
        <v>31</v>
      </c>
      <c r="J953" s="4" t="s">
        <v>151</v>
      </c>
      <c r="K953" s="4" t="s">
        <v>110</v>
      </c>
      <c r="L953" s="4">
        <v>1</v>
      </c>
      <c r="M953" s="5">
        <v>39.99</v>
      </c>
      <c r="N953" s="4" t="s">
        <v>78</v>
      </c>
      <c r="O953" s="5">
        <v>4</v>
      </c>
      <c r="P953" s="5">
        <v>7.99</v>
      </c>
      <c r="Q953" s="5">
        <v>3.6</v>
      </c>
      <c r="R953" s="5">
        <v>47.58</v>
      </c>
      <c r="S953" s="4" t="s">
        <v>111</v>
      </c>
      <c r="T953" s="4" t="s">
        <v>99</v>
      </c>
      <c r="U953" s="4" t="s">
        <v>37</v>
      </c>
      <c r="V953" s="4" t="s">
        <v>268</v>
      </c>
      <c r="W953" s="5">
        <v>47.58</v>
      </c>
    </row>
    <row r="954" spans="1:23" x14ac:dyDescent="0.3">
      <c r="A954" s="2" t="s">
        <v>5606</v>
      </c>
      <c r="B954" s="2" t="s">
        <v>1070</v>
      </c>
      <c r="C954" s="2" t="s">
        <v>5607</v>
      </c>
      <c r="D954" s="2" t="s">
        <v>221</v>
      </c>
      <c r="E954" s="2" t="s">
        <v>5608</v>
      </c>
      <c r="F954" s="2" t="s">
        <v>5609</v>
      </c>
      <c r="G954" s="2" t="s">
        <v>131</v>
      </c>
      <c r="H954" s="2" t="s">
        <v>88</v>
      </c>
      <c r="I954" s="2" t="s">
        <v>31</v>
      </c>
      <c r="J954" s="2" t="s">
        <v>283</v>
      </c>
      <c r="K954" s="2" t="s">
        <v>209</v>
      </c>
      <c r="L954" s="2">
        <v>1</v>
      </c>
      <c r="M954" s="3">
        <v>49.99</v>
      </c>
      <c r="N954" s="2" t="s">
        <v>78</v>
      </c>
      <c r="O954" s="3">
        <v>5</v>
      </c>
      <c r="P954" s="3">
        <v>7.99</v>
      </c>
      <c r="Q954" s="3">
        <v>4.5</v>
      </c>
      <c r="R954" s="3">
        <v>57.48</v>
      </c>
      <c r="S954" s="2" t="s">
        <v>35</v>
      </c>
      <c r="T954" s="2" t="s">
        <v>36</v>
      </c>
      <c r="U954" s="2" t="s">
        <v>66</v>
      </c>
      <c r="V954" s="2" t="s">
        <v>1873</v>
      </c>
      <c r="W954" s="3">
        <v>0</v>
      </c>
    </row>
    <row r="955" spans="1:23" x14ac:dyDescent="0.3">
      <c r="A955" s="4" t="s">
        <v>5610</v>
      </c>
      <c r="B955" s="4" t="s">
        <v>716</v>
      </c>
      <c r="C955" s="4" t="s">
        <v>5611</v>
      </c>
      <c r="D955" s="4" t="s">
        <v>5612</v>
      </c>
      <c r="E955" s="4" t="s">
        <v>5613</v>
      </c>
      <c r="F955" s="4" t="s">
        <v>5614</v>
      </c>
      <c r="G955" s="4" t="s">
        <v>180</v>
      </c>
      <c r="H955" s="4" t="s">
        <v>181</v>
      </c>
      <c r="I955" s="4" t="s">
        <v>31</v>
      </c>
      <c r="J955" s="4" t="s">
        <v>5615</v>
      </c>
      <c r="K955" s="4" t="s">
        <v>143</v>
      </c>
      <c r="L955" s="4">
        <v>2</v>
      </c>
      <c r="M955" s="5">
        <v>149.97999999999999</v>
      </c>
      <c r="N955" s="4" t="s">
        <v>34</v>
      </c>
      <c r="O955" s="5">
        <v>0</v>
      </c>
      <c r="P955" s="5">
        <v>0</v>
      </c>
      <c r="Q955" s="5">
        <v>15</v>
      </c>
      <c r="R955" s="5">
        <v>164.98</v>
      </c>
      <c r="S955" s="4" t="s">
        <v>35</v>
      </c>
      <c r="T955" s="4" t="s">
        <v>99</v>
      </c>
      <c r="U955" s="4" t="s">
        <v>37</v>
      </c>
      <c r="V955" s="4" t="s">
        <v>891</v>
      </c>
      <c r="W955" s="5">
        <v>164.98</v>
      </c>
    </row>
    <row r="956" spans="1:23" x14ac:dyDescent="0.3">
      <c r="A956" s="2" t="s">
        <v>5616</v>
      </c>
      <c r="B956" s="2" t="s">
        <v>1070</v>
      </c>
      <c r="C956" s="2" t="s">
        <v>5617</v>
      </c>
      <c r="D956" s="2" t="s">
        <v>3554</v>
      </c>
      <c r="E956" s="2" t="s">
        <v>5618</v>
      </c>
      <c r="F956" s="2" t="s">
        <v>5619</v>
      </c>
      <c r="G956" s="2" t="s">
        <v>692</v>
      </c>
      <c r="H956" s="2" t="s">
        <v>693</v>
      </c>
      <c r="I956" s="2" t="s">
        <v>31</v>
      </c>
      <c r="J956" s="2" t="s">
        <v>5620</v>
      </c>
      <c r="K956" s="2" t="s">
        <v>62</v>
      </c>
      <c r="L956" s="2">
        <v>2</v>
      </c>
      <c r="M956" s="3">
        <v>144.97</v>
      </c>
      <c r="N956" s="2" t="s">
        <v>163</v>
      </c>
      <c r="O956" s="3">
        <v>28.99</v>
      </c>
      <c r="P956" s="3">
        <v>0</v>
      </c>
      <c r="Q956" s="3">
        <v>11.6</v>
      </c>
      <c r="R956" s="3">
        <v>127.58</v>
      </c>
      <c r="S956" s="2" t="s">
        <v>79</v>
      </c>
      <c r="T956" s="2" t="s">
        <v>36</v>
      </c>
      <c r="U956" s="2" t="s">
        <v>66</v>
      </c>
      <c r="V956" s="2" t="s">
        <v>1873</v>
      </c>
      <c r="W956" s="3">
        <v>0</v>
      </c>
    </row>
    <row r="957" spans="1:23" x14ac:dyDescent="0.3">
      <c r="A957" s="4" t="s">
        <v>5621</v>
      </c>
      <c r="B957" s="4" t="s">
        <v>372</v>
      </c>
      <c r="C957" s="4" t="s">
        <v>5622</v>
      </c>
      <c r="D957" s="4" t="s">
        <v>3912</v>
      </c>
      <c r="E957" s="4" t="s">
        <v>5623</v>
      </c>
      <c r="F957" s="4" t="s">
        <v>5624</v>
      </c>
      <c r="G957" s="4" t="s">
        <v>190</v>
      </c>
      <c r="H957" s="4" t="s">
        <v>161</v>
      </c>
      <c r="I957" s="4" t="s">
        <v>31</v>
      </c>
      <c r="J957" s="4" t="s">
        <v>5625</v>
      </c>
      <c r="K957" s="4" t="s">
        <v>122</v>
      </c>
      <c r="L957" s="4">
        <v>3</v>
      </c>
      <c r="M957" s="5">
        <v>223.96</v>
      </c>
      <c r="N957" s="4" t="s">
        <v>34</v>
      </c>
      <c r="O957" s="5">
        <v>0</v>
      </c>
      <c r="P957" s="5">
        <v>0</v>
      </c>
      <c r="Q957" s="5">
        <v>15.68</v>
      </c>
      <c r="R957" s="5">
        <v>239.64</v>
      </c>
      <c r="S957" s="4" t="s">
        <v>35</v>
      </c>
      <c r="T957" s="4" t="s">
        <v>99</v>
      </c>
      <c r="U957" s="4" t="s">
        <v>66</v>
      </c>
      <c r="V957" s="4" t="s">
        <v>536</v>
      </c>
      <c r="W957" s="5">
        <v>0</v>
      </c>
    </row>
    <row r="958" spans="1:23" x14ac:dyDescent="0.3">
      <c r="A958" s="2" t="s">
        <v>5626</v>
      </c>
      <c r="B958" s="2" t="s">
        <v>374</v>
      </c>
      <c r="C958" s="2" t="s">
        <v>5627</v>
      </c>
      <c r="D958" s="2" t="s">
        <v>5628</v>
      </c>
      <c r="E958" s="2" t="s">
        <v>5629</v>
      </c>
      <c r="F958" s="2" t="s">
        <v>5630</v>
      </c>
      <c r="G958" s="2" t="s">
        <v>291</v>
      </c>
      <c r="H958" s="2" t="s">
        <v>292</v>
      </c>
      <c r="I958" s="2" t="s">
        <v>31</v>
      </c>
      <c r="J958" s="2" t="s">
        <v>1148</v>
      </c>
      <c r="K958" s="2" t="s">
        <v>33</v>
      </c>
      <c r="L958" s="2">
        <v>1</v>
      </c>
      <c r="M958" s="3">
        <v>18.989999999999998</v>
      </c>
      <c r="N958" s="2" t="s">
        <v>78</v>
      </c>
      <c r="O958" s="3">
        <v>1.9</v>
      </c>
      <c r="P958" s="3">
        <v>4.99</v>
      </c>
      <c r="Q958" s="3">
        <v>1.54</v>
      </c>
      <c r="R958" s="3">
        <v>23.62</v>
      </c>
      <c r="S958" s="2" t="s">
        <v>35</v>
      </c>
      <c r="T958" s="2" t="s">
        <v>173</v>
      </c>
      <c r="U958" s="2" t="s">
        <v>37</v>
      </c>
      <c r="V958" s="2" t="s">
        <v>585</v>
      </c>
      <c r="W958" s="3">
        <v>23.62</v>
      </c>
    </row>
    <row r="959" spans="1:23" x14ac:dyDescent="0.3">
      <c r="A959" s="4" t="s">
        <v>5631</v>
      </c>
      <c r="B959" s="4" t="s">
        <v>924</v>
      </c>
      <c r="C959" s="4" t="s">
        <v>5632</v>
      </c>
      <c r="D959" s="4" t="s">
        <v>5633</v>
      </c>
      <c r="E959" s="4" t="s">
        <v>5634</v>
      </c>
      <c r="F959" s="4" t="s">
        <v>5635</v>
      </c>
      <c r="G959" s="4" t="s">
        <v>323</v>
      </c>
      <c r="H959" s="4" t="s">
        <v>324</v>
      </c>
      <c r="I959" s="4" t="s">
        <v>31</v>
      </c>
      <c r="J959" s="4" t="s">
        <v>5636</v>
      </c>
      <c r="K959" s="4" t="s">
        <v>143</v>
      </c>
      <c r="L959" s="4">
        <v>5</v>
      </c>
      <c r="M959" s="5">
        <v>700.92</v>
      </c>
      <c r="N959" s="4" t="s">
        <v>63</v>
      </c>
      <c r="O959" s="5">
        <v>175.23</v>
      </c>
      <c r="P959" s="5">
        <v>0</v>
      </c>
      <c r="Q959" s="5">
        <v>52.57</v>
      </c>
      <c r="R959" s="5">
        <v>578.26</v>
      </c>
      <c r="S959" s="4" t="s">
        <v>332</v>
      </c>
      <c r="T959" s="4" t="s">
        <v>99</v>
      </c>
      <c r="U959" s="4" t="s">
        <v>37</v>
      </c>
      <c r="V959" s="4" t="s">
        <v>625</v>
      </c>
      <c r="W959" s="5">
        <v>578.26</v>
      </c>
    </row>
    <row r="960" spans="1:23" x14ac:dyDescent="0.3">
      <c r="A960" s="2" t="s">
        <v>5637</v>
      </c>
      <c r="B960" s="2" t="s">
        <v>917</v>
      </c>
      <c r="C960" s="2" t="s">
        <v>5638</v>
      </c>
      <c r="D960" s="2" t="s">
        <v>5639</v>
      </c>
      <c r="E960" s="2" t="s">
        <v>5640</v>
      </c>
      <c r="F960" s="2" t="s">
        <v>5641</v>
      </c>
      <c r="G960" s="2" t="s">
        <v>74</v>
      </c>
      <c r="H960" s="2" t="s">
        <v>75</v>
      </c>
      <c r="I960" s="2" t="s">
        <v>31</v>
      </c>
      <c r="J960" s="2" t="s">
        <v>5642</v>
      </c>
      <c r="K960" s="2" t="s">
        <v>209</v>
      </c>
      <c r="L960" s="2">
        <v>2</v>
      </c>
      <c r="M960" s="3">
        <v>44.98</v>
      </c>
      <c r="N960" s="2" t="s">
        <v>34</v>
      </c>
      <c r="O960" s="3">
        <v>0</v>
      </c>
      <c r="P960" s="3">
        <v>5.99</v>
      </c>
      <c r="Q960" s="3">
        <v>2.7</v>
      </c>
      <c r="R960" s="3">
        <v>53.67</v>
      </c>
      <c r="S960" s="2" t="s">
        <v>35</v>
      </c>
      <c r="T960" s="2" t="s">
        <v>99</v>
      </c>
      <c r="U960" s="2" t="s">
        <v>66</v>
      </c>
      <c r="V960" s="2" t="s">
        <v>1683</v>
      </c>
      <c r="W960" s="3">
        <v>0</v>
      </c>
    </row>
    <row r="961" spans="1:23" x14ac:dyDescent="0.3">
      <c r="A961" s="4" t="s">
        <v>5643</v>
      </c>
      <c r="B961" s="4" t="s">
        <v>496</v>
      </c>
      <c r="C961" s="4" t="s">
        <v>5644</v>
      </c>
      <c r="D961" s="4" t="s">
        <v>5645</v>
      </c>
      <c r="E961" s="4" t="s">
        <v>5646</v>
      </c>
      <c r="F961" s="4" t="s">
        <v>5647</v>
      </c>
      <c r="G961" s="4" t="s">
        <v>180</v>
      </c>
      <c r="H961" s="4" t="s">
        <v>181</v>
      </c>
      <c r="I961" s="4" t="s">
        <v>31</v>
      </c>
      <c r="J961" s="4" t="s">
        <v>5648</v>
      </c>
      <c r="K961" s="4" t="s">
        <v>122</v>
      </c>
      <c r="L961" s="4">
        <v>2</v>
      </c>
      <c r="M961" s="5">
        <v>89.98</v>
      </c>
      <c r="N961" s="4" t="s">
        <v>34</v>
      </c>
      <c r="O961" s="5">
        <v>0</v>
      </c>
      <c r="P961" s="5">
        <v>0</v>
      </c>
      <c r="Q961" s="5">
        <v>8.1</v>
      </c>
      <c r="R961" s="5">
        <v>98.08</v>
      </c>
      <c r="S961" s="4" t="s">
        <v>111</v>
      </c>
      <c r="T961" s="4" t="s">
        <v>173</v>
      </c>
      <c r="U961" s="4" t="s">
        <v>51</v>
      </c>
      <c r="V961" s="4" t="s">
        <v>2865</v>
      </c>
      <c r="W961" s="5">
        <v>0</v>
      </c>
    </row>
    <row r="962" spans="1:23" x14ac:dyDescent="0.3">
      <c r="A962" s="2" t="s">
        <v>5649</v>
      </c>
      <c r="B962" s="2" t="s">
        <v>245</v>
      </c>
      <c r="C962" s="2" t="s">
        <v>5650</v>
      </c>
      <c r="D962" s="2" t="s">
        <v>4403</v>
      </c>
      <c r="E962" s="2" t="s">
        <v>5651</v>
      </c>
      <c r="F962" s="2" t="s">
        <v>5652</v>
      </c>
      <c r="G962" s="2" t="s">
        <v>29</v>
      </c>
      <c r="H962" s="2" t="s">
        <v>30</v>
      </c>
      <c r="I962" s="2" t="s">
        <v>31</v>
      </c>
      <c r="J962" s="2" t="s">
        <v>5653</v>
      </c>
      <c r="K962" s="2" t="s">
        <v>122</v>
      </c>
      <c r="L962" s="2">
        <v>4</v>
      </c>
      <c r="M962" s="3">
        <v>372.94</v>
      </c>
      <c r="N962" s="2" t="s">
        <v>78</v>
      </c>
      <c r="O962" s="3">
        <v>37.29</v>
      </c>
      <c r="P962" s="3">
        <v>0</v>
      </c>
      <c r="Q962" s="3">
        <v>30.21</v>
      </c>
      <c r="R962" s="3">
        <v>365.86</v>
      </c>
      <c r="S962" s="2" t="s">
        <v>332</v>
      </c>
      <c r="T962" s="2" t="s">
        <v>183</v>
      </c>
      <c r="U962" s="2" t="s">
        <v>66</v>
      </c>
      <c r="V962" s="2" t="s">
        <v>924</v>
      </c>
      <c r="W962" s="3">
        <v>0</v>
      </c>
    </row>
    <row r="963" spans="1:23" x14ac:dyDescent="0.3">
      <c r="A963" s="4" t="s">
        <v>5654</v>
      </c>
      <c r="B963" s="4" t="s">
        <v>1867</v>
      </c>
      <c r="C963" s="4" t="s">
        <v>5655</v>
      </c>
      <c r="D963" s="4" t="s">
        <v>5656</v>
      </c>
      <c r="E963" s="4" t="s">
        <v>5657</v>
      </c>
      <c r="F963" s="4" t="s">
        <v>5658</v>
      </c>
      <c r="G963" s="4" t="s">
        <v>676</v>
      </c>
      <c r="H963" s="4" t="s">
        <v>677</v>
      </c>
      <c r="I963" s="4" t="s">
        <v>31</v>
      </c>
      <c r="J963" s="4" t="s">
        <v>503</v>
      </c>
      <c r="K963" s="4" t="s">
        <v>122</v>
      </c>
      <c r="L963" s="4">
        <v>1</v>
      </c>
      <c r="M963" s="5">
        <v>59.99</v>
      </c>
      <c r="N963" s="4" t="s">
        <v>152</v>
      </c>
      <c r="O963" s="5">
        <v>3</v>
      </c>
      <c r="P963" s="5">
        <v>9.99</v>
      </c>
      <c r="Q963" s="5">
        <v>5.13</v>
      </c>
      <c r="R963" s="5">
        <v>72.11</v>
      </c>
      <c r="S963" s="4" t="s">
        <v>79</v>
      </c>
      <c r="T963" s="4" t="s">
        <v>144</v>
      </c>
      <c r="U963" s="4" t="s">
        <v>66</v>
      </c>
      <c r="V963" s="4" t="s">
        <v>5659</v>
      </c>
      <c r="W963" s="5">
        <v>0</v>
      </c>
    </row>
    <row r="964" spans="1:23" x14ac:dyDescent="0.3">
      <c r="A964" s="2" t="s">
        <v>5660</v>
      </c>
      <c r="B964" s="2" t="s">
        <v>2149</v>
      </c>
      <c r="C964" s="2" t="s">
        <v>5661</v>
      </c>
      <c r="D964" s="2" t="s">
        <v>3673</v>
      </c>
      <c r="E964" s="2" t="s">
        <v>5662</v>
      </c>
      <c r="F964" s="2" t="s">
        <v>5663</v>
      </c>
      <c r="G964" s="2" t="s">
        <v>428</v>
      </c>
      <c r="H964" s="2" t="s">
        <v>429</v>
      </c>
      <c r="I964" s="2" t="s">
        <v>31</v>
      </c>
      <c r="J964" s="2" t="s">
        <v>2576</v>
      </c>
      <c r="K964" s="2" t="s">
        <v>33</v>
      </c>
      <c r="L964" s="2">
        <v>1</v>
      </c>
      <c r="M964" s="3">
        <v>99.98</v>
      </c>
      <c r="N964" s="2" t="s">
        <v>34</v>
      </c>
      <c r="O964" s="3">
        <v>0</v>
      </c>
      <c r="P964" s="3">
        <v>0</v>
      </c>
      <c r="Q964" s="3">
        <v>7</v>
      </c>
      <c r="R964" s="3">
        <v>106.98</v>
      </c>
      <c r="S964" s="2" t="s">
        <v>332</v>
      </c>
      <c r="T964" s="2" t="s">
        <v>99</v>
      </c>
      <c r="U964" s="2" t="s">
        <v>66</v>
      </c>
      <c r="V964" s="2" t="s">
        <v>1867</v>
      </c>
      <c r="W964" s="3">
        <v>0</v>
      </c>
    </row>
    <row r="965" spans="1:23" x14ac:dyDescent="0.3">
      <c r="A965" s="4" t="s">
        <v>5664</v>
      </c>
      <c r="B965" s="4" t="s">
        <v>527</v>
      </c>
      <c r="C965" s="4" t="s">
        <v>5665</v>
      </c>
      <c r="D965" s="4" t="s">
        <v>2035</v>
      </c>
      <c r="E965" s="4" t="s">
        <v>5666</v>
      </c>
      <c r="F965" s="4" t="s">
        <v>5667</v>
      </c>
      <c r="G965" s="4" t="s">
        <v>347</v>
      </c>
      <c r="H965" s="4" t="s">
        <v>60</v>
      </c>
      <c r="I965" s="4" t="s">
        <v>31</v>
      </c>
      <c r="J965" s="4" t="s">
        <v>5668</v>
      </c>
      <c r="K965" s="4" t="s">
        <v>62</v>
      </c>
      <c r="L965" s="4">
        <v>4</v>
      </c>
      <c r="M965" s="5">
        <v>234.95</v>
      </c>
      <c r="N965" s="4" t="s">
        <v>78</v>
      </c>
      <c r="O965" s="5">
        <v>23.5</v>
      </c>
      <c r="P965" s="5">
        <v>0</v>
      </c>
      <c r="Q965" s="5">
        <v>21.14</v>
      </c>
      <c r="R965" s="5">
        <v>232.59</v>
      </c>
      <c r="S965" s="4" t="s">
        <v>123</v>
      </c>
      <c r="T965" s="4" t="s">
        <v>99</v>
      </c>
      <c r="U965" s="4" t="s">
        <v>37</v>
      </c>
      <c r="V965" s="4" t="s">
        <v>2205</v>
      </c>
      <c r="W965" s="5">
        <v>232.59</v>
      </c>
    </row>
    <row r="966" spans="1:23" x14ac:dyDescent="0.3">
      <c r="A966" s="2" t="s">
        <v>5669</v>
      </c>
      <c r="B966" s="2" t="s">
        <v>519</v>
      </c>
      <c r="C966" s="2" t="s">
        <v>5670</v>
      </c>
      <c r="D966" s="2" t="s">
        <v>1511</v>
      </c>
      <c r="E966" s="2" t="s">
        <v>5671</v>
      </c>
      <c r="F966" s="2" t="s">
        <v>5672</v>
      </c>
      <c r="G966" s="2" t="s">
        <v>87</v>
      </c>
      <c r="H966" s="2" t="s">
        <v>88</v>
      </c>
      <c r="I966" s="2" t="s">
        <v>31</v>
      </c>
      <c r="J966" s="2" t="s">
        <v>5673</v>
      </c>
      <c r="K966" s="2" t="s">
        <v>48</v>
      </c>
      <c r="L966" s="2">
        <v>2</v>
      </c>
      <c r="M966" s="3">
        <v>169.97</v>
      </c>
      <c r="N966" s="2" t="s">
        <v>34</v>
      </c>
      <c r="O966" s="3">
        <v>0</v>
      </c>
      <c r="P966" s="3">
        <v>0</v>
      </c>
      <c r="Q966" s="3">
        <v>14.45</v>
      </c>
      <c r="R966" s="3">
        <v>184.42</v>
      </c>
      <c r="S966" s="2" t="s">
        <v>35</v>
      </c>
      <c r="T966" s="2" t="s">
        <v>183</v>
      </c>
      <c r="U966" s="2" t="s">
        <v>66</v>
      </c>
      <c r="V966" s="2" t="s">
        <v>482</v>
      </c>
      <c r="W966" s="3">
        <v>0</v>
      </c>
    </row>
    <row r="967" spans="1:23" x14ac:dyDescent="0.3">
      <c r="A967" s="4" t="s">
        <v>5674</v>
      </c>
      <c r="B967" s="4" t="s">
        <v>1430</v>
      </c>
      <c r="C967" s="4" t="s">
        <v>5675</v>
      </c>
      <c r="D967" s="4" t="s">
        <v>3726</v>
      </c>
      <c r="E967" s="4" t="s">
        <v>5676</v>
      </c>
      <c r="F967" s="4" t="s">
        <v>5677</v>
      </c>
      <c r="G967" s="4" t="s">
        <v>107</v>
      </c>
      <c r="H967" s="4" t="s">
        <v>108</v>
      </c>
      <c r="I967" s="4" t="s">
        <v>31</v>
      </c>
      <c r="J967" s="4" t="s">
        <v>5678</v>
      </c>
      <c r="K967" s="4" t="s">
        <v>110</v>
      </c>
      <c r="L967" s="4">
        <v>2</v>
      </c>
      <c r="M967" s="5">
        <v>75.98</v>
      </c>
      <c r="N967" s="4" t="s">
        <v>78</v>
      </c>
      <c r="O967" s="5">
        <v>7.6</v>
      </c>
      <c r="P967" s="5">
        <v>0</v>
      </c>
      <c r="Q967" s="5">
        <v>4.79</v>
      </c>
      <c r="R967" s="5">
        <v>73.17</v>
      </c>
      <c r="S967" s="4" t="s">
        <v>123</v>
      </c>
      <c r="T967" s="4" t="s">
        <v>36</v>
      </c>
      <c r="U967" s="4" t="s">
        <v>37</v>
      </c>
      <c r="V967" s="4" t="s">
        <v>133</v>
      </c>
      <c r="W967" s="5">
        <v>73.17</v>
      </c>
    </row>
    <row r="968" spans="1:23" x14ac:dyDescent="0.3">
      <c r="A968" s="2" t="s">
        <v>5679</v>
      </c>
      <c r="B968" s="2" t="s">
        <v>1529</v>
      </c>
      <c r="C968" s="2" t="s">
        <v>5680</v>
      </c>
      <c r="D968" s="2" t="s">
        <v>5681</v>
      </c>
      <c r="E968" s="2" t="s">
        <v>5682</v>
      </c>
      <c r="F968" s="2" t="s">
        <v>5683</v>
      </c>
      <c r="G968" s="2" t="s">
        <v>119</v>
      </c>
      <c r="H968" s="2" t="s">
        <v>120</v>
      </c>
      <c r="I968" s="2" t="s">
        <v>31</v>
      </c>
      <c r="J968" s="2" t="s">
        <v>5684</v>
      </c>
      <c r="K968" s="2" t="s">
        <v>209</v>
      </c>
      <c r="L968" s="2">
        <v>2</v>
      </c>
      <c r="M968" s="3">
        <v>112.96</v>
      </c>
      <c r="N968" s="2" t="s">
        <v>34</v>
      </c>
      <c r="O968" s="3">
        <v>0</v>
      </c>
      <c r="P968" s="3">
        <v>0</v>
      </c>
      <c r="Q968" s="3">
        <v>11.3</v>
      </c>
      <c r="R968" s="3">
        <v>124.26</v>
      </c>
      <c r="S968" s="2" t="s">
        <v>35</v>
      </c>
      <c r="T968" s="2" t="s">
        <v>99</v>
      </c>
      <c r="U968" s="2" t="s">
        <v>66</v>
      </c>
      <c r="V968" s="2" t="s">
        <v>5685</v>
      </c>
      <c r="W968" s="3">
        <v>0</v>
      </c>
    </row>
    <row r="969" spans="1:23" x14ac:dyDescent="0.3">
      <c r="A969" s="4" t="s">
        <v>5686</v>
      </c>
      <c r="B969" s="4" t="s">
        <v>1618</v>
      </c>
      <c r="C969" s="4" t="s">
        <v>5687</v>
      </c>
      <c r="D969" s="4" t="s">
        <v>2499</v>
      </c>
      <c r="E969" s="4" t="s">
        <v>5688</v>
      </c>
      <c r="F969" s="4" t="s">
        <v>5689</v>
      </c>
      <c r="G969" s="4" t="s">
        <v>347</v>
      </c>
      <c r="H969" s="4" t="s">
        <v>60</v>
      </c>
      <c r="I969" s="4" t="s">
        <v>31</v>
      </c>
      <c r="J969" s="4" t="s">
        <v>5690</v>
      </c>
      <c r="K969" s="4" t="s">
        <v>33</v>
      </c>
      <c r="L969" s="4">
        <v>2</v>
      </c>
      <c r="M969" s="5">
        <v>85.98</v>
      </c>
      <c r="N969" s="4" t="s">
        <v>49</v>
      </c>
      <c r="O969" s="5">
        <v>12.9</v>
      </c>
      <c r="P969" s="5">
        <v>0</v>
      </c>
      <c r="Q969" s="5">
        <v>4.38</v>
      </c>
      <c r="R969" s="5">
        <v>77.459999999999994</v>
      </c>
      <c r="S969" s="4" t="s">
        <v>35</v>
      </c>
      <c r="T969" s="4" t="s">
        <v>99</v>
      </c>
      <c r="U969" s="4" t="s">
        <v>66</v>
      </c>
      <c r="V969" s="4" t="s">
        <v>1623</v>
      </c>
      <c r="W969" s="5">
        <v>0</v>
      </c>
    </row>
    <row r="970" spans="1:23" x14ac:dyDescent="0.3">
      <c r="A970" s="2" t="s">
        <v>5691</v>
      </c>
      <c r="B970" s="2" t="s">
        <v>470</v>
      </c>
      <c r="C970" s="2" t="s">
        <v>5692</v>
      </c>
      <c r="D970" s="2" t="s">
        <v>1518</v>
      </c>
      <c r="E970" s="2" t="s">
        <v>5693</v>
      </c>
      <c r="F970" s="2" t="s">
        <v>5694</v>
      </c>
      <c r="G970" s="2" t="s">
        <v>282</v>
      </c>
      <c r="H970" s="2" t="s">
        <v>88</v>
      </c>
      <c r="I970" s="2" t="s">
        <v>31</v>
      </c>
      <c r="J970" s="2" t="s">
        <v>61</v>
      </c>
      <c r="K970" s="2" t="s">
        <v>62</v>
      </c>
      <c r="L970" s="2">
        <v>1</v>
      </c>
      <c r="M970" s="3">
        <v>24.99</v>
      </c>
      <c r="N970" s="2" t="s">
        <v>34</v>
      </c>
      <c r="O970" s="3">
        <v>0</v>
      </c>
      <c r="P970" s="3">
        <v>4.99</v>
      </c>
      <c r="Q970" s="3">
        <v>2</v>
      </c>
      <c r="R970" s="3">
        <v>31.98</v>
      </c>
      <c r="S970" s="2" t="s">
        <v>64</v>
      </c>
      <c r="T970" s="2" t="s">
        <v>173</v>
      </c>
      <c r="U970" s="2" t="s">
        <v>51</v>
      </c>
      <c r="V970" s="2" t="s">
        <v>1207</v>
      </c>
      <c r="W970" s="3">
        <v>0</v>
      </c>
    </row>
    <row r="971" spans="1:23" x14ac:dyDescent="0.3">
      <c r="A971" s="4" t="s">
        <v>5695</v>
      </c>
      <c r="B971" s="4" t="s">
        <v>1631</v>
      </c>
      <c r="C971" s="4" t="s">
        <v>5696</v>
      </c>
      <c r="D971" s="4" t="s">
        <v>3133</v>
      </c>
      <c r="E971" s="4" t="s">
        <v>5697</v>
      </c>
      <c r="F971" s="4" t="s">
        <v>5698</v>
      </c>
      <c r="G971" s="4" t="s">
        <v>347</v>
      </c>
      <c r="H971" s="4" t="s">
        <v>60</v>
      </c>
      <c r="I971" s="4" t="s">
        <v>31</v>
      </c>
      <c r="J971" s="4" t="s">
        <v>5699</v>
      </c>
      <c r="K971" s="4" t="s">
        <v>122</v>
      </c>
      <c r="L971" s="4">
        <v>3</v>
      </c>
      <c r="M971" s="5">
        <v>184.96</v>
      </c>
      <c r="N971" s="4" t="s">
        <v>63</v>
      </c>
      <c r="O971" s="5">
        <v>46.24</v>
      </c>
      <c r="P971" s="5">
        <v>0</v>
      </c>
      <c r="Q971" s="5">
        <v>9.7100000000000009</v>
      </c>
      <c r="R971" s="5">
        <v>148.43</v>
      </c>
      <c r="S971" s="4" t="s">
        <v>79</v>
      </c>
      <c r="T971" s="4" t="s">
        <v>65</v>
      </c>
      <c r="U971" s="4" t="s">
        <v>51</v>
      </c>
      <c r="V971" s="4" t="s">
        <v>1055</v>
      </c>
      <c r="W971" s="5">
        <v>0</v>
      </c>
    </row>
    <row r="972" spans="1:23" x14ac:dyDescent="0.3">
      <c r="A972" s="2" t="s">
        <v>5700</v>
      </c>
      <c r="B972" s="2" t="s">
        <v>1259</v>
      </c>
      <c r="C972" s="2" t="s">
        <v>5701</v>
      </c>
      <c r="D972" s="2" t="s">
        <v>5702</v>
      </c>
      <c r="E972" s="2" t="s">
        <v>5703</v>
      </c>
      <c r="F972" s="2" t="s">
        <v>5704</v>
      </c>
      <c r="G972" s="2" t="s">
        <v>251</v>
      </c>
      <c r="H972" s="2" t="s">
        <v>252</v>
      </c>
      <c r="I972" s="2" t="s">
        <v>31</v>
      </c>
      <c r="J972" s="2" t="s">
        <v>694</v>
      </c>
      <c r="K972" s="2" t="s">
        <v>77</v>
      </c>
      <c r="L972" s="2">
        <v>1</v>
      </c>
      <c r="M972" s="3">
        <v>55.98</v>
      </c>
      <c r="N972" s="2" t="s">
        <v>34</v>
      </c>
      <c r="O972" s="3">
        <v>0</v>
      </c>
      <c r="P972" s="3">
        <v>4.99</v>
      </c>
      <c r="Q972" s="3">
        <v>3.92</v>
      </c>
      <c r="R972" s="3">
        <v>64.89</v>
      </c>
      <c r="S972" s="2" t="s">
        <v>64</v>
      </c>
      <c r="T972" s="2" t="s">
        <v>36</v>
      </c>
      <c r="U972" s="2" t="s">
        <v>51</v>
      </c>
      <c r="V972" s="2" t="s">
        <v>1070</v>
      </c>
      <c r="W972" s="3">
        <v>0</v>
      </c>
    </row>
    <row r="973" spans="1:23" x14ac:dyDescent="0.3">
      <c r="A973" s="4" t="s">
        <v>5705</v>
      </c>
      <c r="B973" s="4" t="s">
        <v>309</v>
      </c>
      <c r="C973" s="4" t="s">
        <v>5706</v>
      </c>
      <c r="D973" s="4" t="s">
        <v>5707</v>
      </c>
      <c r="E973" s="4" t="s">
        <v>5708</v>
      </c>
      <c r="F973" s="4" t="s">
        <v>5709</v>
      </c>
      <c r="G973" s="4" t="s">
        <v>160</v>
      </c>
      <c r="H973" s="4" t="s">
        <v>161</v>
      </c>
      <c r="I973" s="4" t="s">
        <v>31</v>
      </c>
      <c r="J973" s="4" t="s">
        <v>61</v>
      </c>
      <c r="K973" s="4" t="s">
        <v>62</v>
      </c>
      <c r="L973" s="4">
        <v>1</v>
      </c>
      <c r="M973" s="5">
        <v>24.99</v>
      </c>
      <c r="N973" s="4" t="s">
        <v>78</v>
      </c>
      <c r="O973" s="5">
        <v>2.5</v>
      </c>
      <c r="P973" s="5">
        <v>7.99</v>
      </c>
      <c r="Q973" s="5">
        <v>1.91</v>
      </c>
      <c r="R973" s="5">
        <v>32.39</v>
      </c>
      <c r="S973" s="4" t="s">
        <v>35</v>
      </c>
      <c r="T973" s="4" t="s">
        <v>50</v>
      </c>
      <c r="U973" s="4" t="s">
        <v>66</v>
      </c>
      <c r="V973" s="4" t="s">
        <v>1471</v>
      </c>
      <c r="W973" s="5">
        <v>0</v>
      </c>
    </row>
    <row r="974" spans="1:23" x14ac:dyDescent="0.3">
      <c r="A974" s="2" t="s">
        <v>5710</v>
      </c>
      <c r="B974" s="2" t="s">
        <v>952</v>
      </c>
      <c r="C974" s="2" t="s">
        <v>5711</v>
      </c>
      <c r="D974" s="2" t="s">
        <v>3726</v>
      </c>
      <c r="E974" s="2" t="s">
        <v>5712</v>
      </c>
      <c r="F974" s="2" t="s">
        <v>5713</v>
      </c>
      <c r="G974" s="2" t="s">
        <v>323</v>
      </c>
      <c r="H974" s="2" t="s">
        <v>324</v>
      </c>
      <c r="I974" s="2" t="s">
        <v>31</v>
      </c>
      <c r="J974" s="2" t="s">
        <v>5714</v>
      </c>
      <c r="K974" s="2" t="s">
        <v>143</v>
      </c>
      <c r="L974" s="2">
        <v>2</v>
      </c>
      <c r="M974" s="3">
        <v>189.98</v>
      </c>
      <c r="N974" s="2" t="s">
        <v>34</v>
      </c>
      <c r="O974" s="3">
        <v>0</v>
      </c>
      <c r="P974" s="3">
        <v>0</v>
      </c>
      <c r="Q974" s="3">
        <v>17.100000000000001</v>
      </c>
      <c r="R974" s="3">
        <v>207.08</v>
      </c>
      <c r="S974" s="2" t="s">
        <v>64</v>
      </c>
      <c r="T974" s="2" t="s">
        <v>173</v>
      </c>
      <c r="U974" s="2" t="s">
        <v>66</v>
      </c>
      <c r="V974" s="2" t="s">
        <v>957</v>
      </c>
      <c r="W974" s="3">
        <v>0</v>
      </c>
    </row>
    <row r="975" spans="1:23" x14ac:dyDescent="0.3">
      <c r="A975" s="4" t="s">
        <v>5715</v>
      </c>
      <c r="B975" s="4" t="s">
        <v>797</v>
      </c>
      <c r="C975" s="4" t="s">
        <v>3666</v>
      </c>
      <c r="D975" s="4" t="s">
        <v>42</v>
      </c>
      <c r="E975" s="4" t="s">
        <v>5716</v>
      </c>
      <c r="F975" s="4" t="s">
        <v>5717</v>
      </c>
      <c r="G975" s="4" t="s">
        <v>140</v>
      </c>
      <c r="H975" s="4" t="s">
        <v>141</v>
      </c>
      <c r="I975" s="4" t="s">
        <v>31</v>
      </c>
      <c r="J975" s="4" t="s">
        <v>191</v>
      </c>
      <c r="K975" s="4" t="s">
        <v>77</v>
      </c>
      <c r="L975" s="4">
        <v>1</v>
      </c>
      <c r="M975" s="5">
        <v>24.99</v>
      </c>
      <c r="N975" s="4" t="s">
        <v>34</v>
      </c>
      <c r="O975" s="5">
        <v>0</v>
      </c>
      <c r="P975" s="5">
        <v>4.99</v>
      </c>
      <c r="Q975" s="5">
        <v>1.75</v>
      </c>
      <c r="R975" s="5">
        <v>31.73</v>
      </c>
      <c r="S975" s="4" t="s">
        <v>64</v>
      </c>
      <c r="T975" s="4" t="s">
        <v>65</v>
      </c>
      <c r="U975" s="4" t="s">
        <v>66</v>
      </c>
      <c r="V975" s="4" t="s">
        <v>1063</v>
      </c>
      <c r="W975" s="5">
        <v>0</v>
      </c>
    </row>
    <row r="976" spans="1:23" x14ac:dyDescent="0.3">
      <c r="A976" s="2" t="s">
        <v>5718</v>
      </c>
      <c r="B976" s="2" t="s">
        <v>1055</v>
      </c>
      <c r="C976" s="2" t="s">
        <v>5719</v>
      </c>
      <c r="D976" s="2" t="s">
        <v>3853</v>
      </c>
      <c r="E976" s="2" t="s">
        <v>5720</v>
      </c>
      <c r="F976" s="2" t="s">
        <v>5721</v>
      </c>
      <c r="G976" s="2" t="s">
        <v>207</v>
      </c>
      <c r="H976" s="2" t="s">
        <v>141</v>
      </c>
      <c r="I976" s="2" t="s">
        <v>31</v>
      </c>
      <c r="J976" s="2" t="s">
        <v>5722</v>
      </c>
      <c r="K976" s="2" t="s">
        <v>77</v>
      </c>
      <c r="L976" s="2">
        <v>2</v>
      </c>
      <c r="M976" s="3">
        <v>75.97</v>
      </c>
      <c r="N976" s="2" t="s">
        <v>34</v>
      </c>
      <c r="O976" s="3">
        <v>0</v>
      </c>
      <c r="P976" s="3">
        <v>0</v>
      </c>
      <c r="Q976" s="3">
        <v>6.08</v>
      </c>
      <c r="R976" s="3">
        <v>82.05</v>
      </c>
      <c r="S976" s="2" t="s">
        <v>123</v>
      </c>
      <c r="T976" s="2" t="s">
        <v>144</v>
      </c>
      <c r="U976" s="2" t="s">
        <v>51</v>
      </c>
      <c r="V976" s="2" t="s">
        <v>1948</v>
      </c>
      <c r="W976" s="3">
        <v>0</v>
      </c>
    </row>
    <row r="977" spans="1:23" x14ac:dyDescent="0.3">
      <c r="A977" s="4" t="s">
        <v>5723</v>
      </c>
      <c r="B977" s="4" t="s">
        <v>527</v>
      </c>
      <c r="C977" s="4" t="s">
        <v>5724</v>
      </c>
      <c r="D977" s="4" t="s">
        <v>5725</v>
      </c>
      <c r="E977" s="4" t="s">
        <v>5726</v>
      </c>
      <c r="F977" s="4" t="s">
        <v>5727</v>
      </c>
      <c r="G977" s="4" t="s">
        <v>323</v>
      </c>
      <c r="H977" s="4" t="s">
        <v>324</v>
      </c>
      <c r="I977" s="4" t="s">
        <v>31</v>
      </c>
      <c r="J977" s="4" t="s">
        <v>577</v>
      </c>
      <c r="K977" s="4" t="s">
        <v>364</v>
      </c>
      <c r="L977" s="4">
        <v>1</v>
      </c>
      <c r="M977" s="5">
        <v>19.989999999999998</v>
      </c>
      <c r="N977" s="4" t="s">
        <v>34</v>
      </c>
      <c r="O977" s="5">
        <v>0</v>
      </c>
      <c r="P977" s="5">
        <v>4.99</v>
      </c>
      <c r="Q977" s="5">
        <v>1.2</v>
      </c>
      <c r="R977" s="5">
        <v>26.18</v>
      </c>
      <c r="S977" s="4" t="s">
        <v>332</v>
      </c>
      <c r="T977" s="4" t="s">
        <v>173</v>
      </c>
      <c r="U977" s="4" t="s">
        <v>66</v>
      </c>
      <c r="V977" s="4" t="s">
        <v>570</v>
      </c>
      <c r="W977" s="5">
        <v>0</v>
      </c>
    </row>
    <row r="978" spans="1:23" x14ac:dyDescent="0.3">
      <c r="A978" s="2" t="s">
        <v>5728</v>
      </c>
      <c r="B978" s="2" t="s">
        <v>1631</v>
      </c>
      <c r="C978" s="2" t="s">
        <v>5729</v>
      </c>
      <c r="D978" s="2" t="s">
        <v>3902</v>
      </c>
      <c r="E978" s="2" t="s">
        <v>5730</v>
      </c>
      <c r="F978" s="2" t="s">
        <v>5731</v>
      </c>
      <c r="G978" s="2" t="s">
        <v>802</v>
      </c>
      <c r="H978" s="2" t="s">
        <v>88</v>
      </c>
      <c r="I978" s="2" t="s">
        <v>31</v>
      </c>
      <c r="J978" s="2" t="s">
        <v>5732</v>
      </c>
      <c r="K978" s="2" t="s">
        <v>143</v>
      </c>
      <c r="L978" s="2">
        <v>4</v>
      </c>
      <c r="M978" s="3">
        <v>384.95</v>
      </c>
      <c r="N978" s="2" t="s">
        <v>78</v>
      </c>
      <c r="O978" s="3">
        <v>38.5</v>
      </c>
      <c r="P978" s="3">
        <v>0</v>
      </c>
      <c r="Q978" s="3">
        <v>29.45</v>
      </c>
      <c r="R978" s="3">
        <v>375.9</v>
      </c>
      <c r="S978" s="2" t="s">
        <v>35</v>
      </c>
      <c r="T978" s="2" t="s">
        <v>36</v>
      </c>
      <c r="U978" s="2" t="s">
        <v>66</v>
      </c>
      <c r="V978" s="2" t="s">
        <v>2805</v>
      </c>
      <c r="W978" s="3">
        <v>0</v>
      </c>
    </row>
    <row r="979" spans="1:23" x14ac:dyDescent="0.3">
      <c r="A979" s="4" t="s">
        <v>5733</v>
      </c>
      <c r="B979" s="4" t="s">
        <v>2950</v>
      </c>
      <c r="C979" s="4" t="s">
        <v>5734</v>
      </c>
      <c r="D979" s="4" t="s">
        <v>5735</v>
      </c>
      <c r="E979" s="4" t="s">
        <v>5736</v>
      </c>
      <c r="F979" s="4" t="s">
        <v>5737</v>
      </c>
      <c r="G979" s="4" t="s">
        <v>640</v>
      </c>
      <c r="H979" s="4" t="s">
        <v>161</v>
      </c>
      <c r="I979" s="4" t="s">
        <v>31</v>
      </c>
      <c r="J979" s="4" t="s">
        <v>2721</v>
      </c>
      <c r="K979" s="4" t="s">
        <v>679</v>
      </c>
      <c r="L979" s="4">
        <v>1</v>
      </c>
      <c r="M979" s="5">
        <v>29.98</v>
      </c>
      <c r="N979" s="4" t="s">
        <v>78</v>
      </c>
      <c r="O979" s="5">
        <v>3</v>
      </c>
      <c r="P979" s="5">
        <v>4.99</v>
      </c>
      <c r="Q979" s="5">
        <v>1.62</v>
      </c>
      <c r="R979" s="5">
        <v>33.590000000000003</v>
      </c>
      <c r="S979" s="4" t="s">
        <v>332</v>
      </c>
      <c r="T979" s="4" t="s">
        <v>99</v>
      </c>
      <c r="U979" s="4" t="s">
        <v>37</v>
      </c>
      <c r="V979" s="4" t="s">
        <v>3042</v>
      </c>
      <c r="W979" s="5">
        <v>33.590000000000003</v>
      </c>
    </row>
    <row r="980" spans="1:23" x14ac:dyDescent="0.3">
      <c r="A980" s="2" t="s">
        <v>5738</v>
      </c>
      <c r="B980" s="2" t="s">
        <v>3746</v>
      </c>
      <c r="C980" s="2" t="s">
        <v>5739</v>
      </c>
      <c r="D980" s="2" t="s">
        <v>3700</v>
      </c>
      <c r="E980" s="2" t="s">
        <v>5740</v>
      </c>
      <c r="F980" s="2" t="s">
        <v>5741</v>
      </c>
      <c r="G980" s="2" t="s">
        <v>802</v>
      </c>
      <c r="H980" s="2" t="s">
        <v>88</v>
      </c>
      <c r="I980" s="2" t="s">
        <v>31</v>
      </c>
      <c r="J980" s="2" t="s">
        <v>1786</v>
      </c>
      <c r="K980" s="2" t="s">
        <v>122</v>
      </c>
      <c r="L980" s="2">
        <v>2</v>
      </c>
      <c r="M980" s="3">
        <v>102.98</v>
      </c>
      <c r="N980" s="2" t="s">
        <v>78</v>
      </c>
      <c r="O980" s="3">
        <v>10.3</v>
      </c>
      <c r="P980" s="3">
        <v>0</v>
      </c>
      <c r="Q980" s="3">
        <v>7.88</v>
      </c>
      <c r="R980" s="3">
        <v>100.56</v>
      </c>
      <c r="S980" s="2" t="s">
        <v>123</v>
      </c>
      <c r="T980" s="2" t="s">
        <v>173</v>
      </c>
      <c r="U980" s="2" t="s">
        <v>66</v>
      </c>
      <c r="V980" s="2" t="s">
        <v>2957</v>
      </c>
      <c r="W980" s="3">
        <v>0</v>
      </c>
    </row>
    <row r="981" spans="1:23" x14ac:dyDescent="0.3">
      <c r="A981" s="4" t="s">
        <v>5742</v>
      </c>
      <c r="B981" s="4" t="s">
        <v>1948</v>
      </c>
      <c r="C981" s="4" t="s">
        <v>5743</v>
      </c>
      <c r="D981" s="4" t="s">
        <v>5744</v>
      </c>
      <c r="E981" s="4" t="s">
        <v>5745</v>
      </c>
      <c r="F981" s="4" t="s">
        <v>5746</v>
      </c>
      <c r="G981" s="4" t="s">
        <v>131</v>
      </c>
      <c r="H981" s="4" t="s">
        <v>88</v>
      </c>
      <c r="I981" s="4" t="s">
        <v>31</v>
      </c>
      <c r="J981" s="4" t="s">
        <v>1054</v>
      </c>
      <c r="K981" s="4" t="s">
        <v>364</v>
      </c>
      <c r="L981" s="4">
        <v>1</v>
      </c>
      <c r="M981" s="5">
        <v>44.99</v>
      </c>
      <c r="N981" s="4" t="s">
        <v>163</v>
      </c>
      <c r="O981" s="5">
        <v>9</v>
      </c>
      <c r="P981" s="5">
        <v>7.99</v>
      </c>
      <c r="Q981" s="5">
        <v>3.06</v>
      </c>
      <c r="R981" s="5">
        <v>47.04</v>
      </c>
      <c r="S981" s="4" t="s">
        <v>111</v>
      </c>
      <c r="T981" s="4" t="s">
        <v>173</v>
      </c>
      <c r="U981" s="4" t="s">
        <v>66</v>
      </c>
      <c r="V981" s="4" t="s">
        <v>286</v>
      </c>
      <c r="W981" s="5">
        <v>0</v>
      </c>
    </row>
    <row r="982" spans="1:23" x14ac:dyDescent="0.3">
      <c r="A982" s="2" t="s">
        <v>5747</v>
      </c>
      <c r="B982" s="2" t="s">
        <v>1170</v>
      </c>
      <c r="C982" s="2" t="s">
        <v>5748</v>
      </c>
      <c r="D982" s="2" t="s">
        <v>5749</v>
      </c>
      <c r="E982" s="2" t="s">
        <v>5750</v>
      </c>
      <c r="F982" s="2" t="s">
        <v>5751</v>
      </c>
      <c r="G982" s="2" t="s">
        <v>224</v>
      </c>
      <c r="H982" s="2" t="s">
        <v>225</v>
      </c>
      <c r="I982" s="2" t="s">
        <v>31</v>
      </c>
      <c r="J982" s="2" t="s">
        <v>371</v>
      </c>
      <c r="K982" s="2" t="s">
        <v>122</v>
      </c>
      <c r="L982" s="2">
        <v>1</v>
      </c>
      <c r="M982" s="3">
        <v>109.99</v>
      </c>
      <c r="N982" s="2" t="s">
        <v>49</v>
      </c>
      <c r="O982" s="3">
        <v>16.5</v>
      </c>
      <c r="P982" s="3">
        <v>0</v>
      </c>
      <c r="Q982" s="3">
        <v>5.61</v>
      </c>
      <c r="R982" s="3">
        <v>99.1</v>
      </c>
      <c r="S982" s="2" t="s">
        <v>35</v>
      </c>
      <c r="T982" s="2" t="s">
        <v>99</v>
      </c>
      <c r="U982" s="2" t="s">
        <v>66</v>
      </c>
      <c r="V982" s="2" t="s">
        <v>2285</v>
      </c>
      <c r="W982" s="3">
        <v>0</v>
      </c>
    </row>
    <row r="983" spans="1:23" x14ac:dyDescent="0.3">
      <c r="A983" s="4" t="s">
        <v>5752</v>
      </c>
      <c r="B983" s="4" t="s">
        <v>382</v>
      </c>
      <c r="C983" s="4" t="s">
        <v>5753</v>
      </c>
      <c r="D983" s="4" t="s">
        <v>637</v>
      </c>
      <c r="E983" s="4" t="s">
        <v>5754</v>
      </c>
      <c r="F983" s="4" t="s">
        <v>5755</v>
      </c>
      <c r="G983" s="4" t="s">
        <v>282</v>
      </c>
      <c r="H983" s="4" t="s">
        <v>88</v>
      </c>
      <c r="I983" s="4" t="s">
        <v>31</v>
      </c>
      <c r="J983" s="4" t="s">
        <v>387</v>
      </c>
      <c r="K983" s="4" t="s">
        <v>33</v>
      </c>
      <c r="L983" s="4">
        <v>1</v>
      </c>
      <c r="M983" s="5">
        <v>35.99</v>
      </c>
      <c r="N983" s="4" t="s">
        <v>152</v>
      </c>
      <c r="O983" s="5">
        <v>1.8</v>
      </c>
      <c r="P983" s="5">
        <v>5.99</v>
      </c>
      <c r="Q983" s="5">
        <v>3.08</v>
      </c>
      <c r="R983" s="5">
        <v>43.26</v>
      </c>
      <c r="S983" s="4" t="s">
        <v>332</v>
      </c>
      <c r="T983" s="4" t="s">
        <v>36</v>
      </c>
      <c r="U983" s="4" t="s">
        <v>66</v>
      </c>
      <c r="V983" s="4" t="s">
        <v>333</v>
      </c>
      <c r="W983" s="5">
        <v>0</v>
      </c>
    </row>
    <row r="984" spans="1:23" x14ac:dyDescent="0.3">
      <c r="A984" s="2" t="s">
        <v>5756</v>
      </c>
      <c r="B984" s="2" t="s">
        <v>296</v>
      </c>
      <c r="C984" s="2" t="s">
        <v>5757</v>
      </c>
      <c r="D984" s="2" t="s">
        <v>5419</v>
      </c>
      <c r="E984" s="2" t="s">
        <v>5758</v>
      </c>
      <c r="F984" s="2" t="s">
        <v>5759</v>
      </c>
      <c r="G984" s="2" t="s">
        <v>242</v>
      </c>
      <c r="H984" s="2" t="s">
        <v>243</v>
      </c>
      <c r="I984" s="2" t="s">
        <v>31</v>
      </c>
      <c r="J984" s="2" t="s">
        <v>5760</v>
      </c>
      <c r="K984" s="2" t="s">
        <v>209</v>
      </c>
      <c r="L984" s="2">
        <v>2</v>
      </c>
      <c r="M984" s="3">
        <v>92.98</v>
      </c>
      <c r="N984" s="2" t="s">
        <v>152</v>
      </c>
      <c r="O984" s="3">
        <v>4.6500000000000004</v>
      </c>
      <c r="P984" s="3">
        <v>0</v>
      </c>
      <c r="Q984" s="3">
        <v>7.51</v>
      </c>
      <c r="R984" s="3">
        <v>95.84</v>
      </c>
      <c r="S984" s="2" t="s">
        <v>79</v>
      </c>
      <c r="T984" s="2" t="s">
        <v>99</v>
      </c>
      <c r="U984" s="2" t="s">
        <v>37</v>
      </c>
      <c r="V984" s="2" t="s">
        <v>202</v>
      </c>
      <c r="W984" s="3">
        <v>95.84</v>
      </c>
    </row>
    <row r="985" spans="1:23" x14ac:dyDescent="0.3">
      <c r="A985" s="4" t="s">
        <v>5761</v>
      </c>
      <c r="B985" s="4" t="s">
        <v>478</v>
      </c>
      <c r="C985" s="4" t="s">
        <v>5762</v>
      </c>
      <c r="D985" s="4" t="s">
        <v>1926</v>
      </c>
      <c r="E985" s="4" t="s">
        <v>5763</v>
      </c>
      <c r="F985" s="4" t="s">
        <v>5764</v>
      </c>
      <c r="G985" s="4" t="s">
        <v>676</v>
      </c>
      <c r="H985" s="4" t="s">
        <v>677</v>
      </c>
      <c r="I985" s="4" t="s">
        <v>31</v>
      </c>
      <c r="J985" s="4" t="s">
        <v>5765</v>
      </c>
      <c r="K985" s="4" t="s">
        <v>33</v>
      </c>
      <c r="L985" s="4">
        <v>2</v>
      </c>
      <c r="M985" s="5">
        <v>105.97</v>
      </c>
      <c r="N985" s="4" t="s">
        <v>34</v>
      </c>
      <c r="O985" s="5">
        <v>0</v>
      </c>
      <c r="P985" s="5">
        <v>0</v>
      </c>
      <c r="Q985" s="5">
        <v>7.42</v>
      </c>
      <c r="R985" s="5">
        <v>113.39</v>
      </c>
      <c r="S985" s="4" t="s">
        <v>35</v>
      </c>
      <c r="T985" s="4" t="s">
        <v>99</v>
      </c>
      <c r="U985" s="4" t="s">
        <v>66</v>
      </c>
      <c r="V985" s="4" t="s">
        <v>482</v>
      </c>
      <c r="W985" s="5">
        <v>0</v>
      </c>
    </row>
    <row r="986" spans="1:23" x14ac:dyDescent="0.3">
      <c r="A986" s="2" t="s">
        <v>5766</v>
      </c>
      <c r="B986" s="2" t="s">
        <v>284</v>
      </c>
      <c r="C986" s="2" t="s">
        <v>5767</v>
      </c>
      <c r="D986" s="2" t="s">
        <v>1709</v>
      </c>
      <c r="E986" s="2" t="s">
        <v>5768</v>
      </c>
      <c r="F986" s="2" t="s">
        <v>5769</v>
      </c>
      <c r="G986" s="2" t="s">
        <v>224</v>
      </c>
      <c r="H986" s="2" t="s">
        <v>225</v>
      </c>
      <c r="I986" s="2" t="s">
        <v>31</v>
      </c>
      <c r="J986" s="2" t="s">
        <v>5770</v>
      </c>
      <c r="K986" s="2" t="s">
        <v>143</v>
      </c>
      <c r="L986" s="2">
        <v>3</v>
      </c>
      <c r="M986" s="3">
        <v>209.96</v>
      </c>
      <c r="N986" s="2" t="s">
        <v>152</v>
      </c>
      <c r="O986" s="3">
        <v>10.5</v>
      </c>
      <c r="P986" s="3">
        <v>0</v>
      </c>
      <c r="Q986" s="3">
        <v>16.95</v>
      </c>
      <c r="R986" s="3">
        <v>216.41</v>
      </c>
      <c r="S986" s="2" t="s">
        <v>332</v>
      </c>
      <c r="T986" s="2" t="s">
        <v>99</v>
      </c>
      <c r="U986" s="2" t="s">
        <v>66</v>
      </c>
      <c r="V986" s="2" t="s">
        <v>2616</v>
      </c>
      <c r="W986" s="3">
        <v>0</v>
      </c>
    </row>
    <row r="987" spans="1:23" x14ac:dyDescent="0.3">
      <c r="A987" s="4" t="s">
        <v>5771</v>
      </c>
      <c r="B987" s="4" t="s">
        <v>67</v>
      </c>
      <c r="C987" s="4" t="s">
        <v>5772</v>
      </c>
      <c r="D987" s="4" t="s">
        <v>4504</v>
      </c>
      <c r="E987" s="4" t="s">
        <v>5773</v>
      </c>
      <c r="F987" s="4" t="s">
        <v>5774</v>
      </c>
      <c r="G987" s="4" t="s">
        <v>45</v>
      </c>
      <c r="H987" s="4" t="s">
        <v>46</v>
      </c>
      <c r="I987" s="4" t="s">
        <v>31</v>
      </c>
      <c r="J987" s="4" t="s">
        <v>5775</v>
      </c>
      <c r="K987" s="4" t="s">
        <v>209</v>
      </c>
      <c r="L987" s="4">
        <v>3</v>
      </c>
      <c r="M987" s="5">
        <v>89.97</v>
      </c>
      <c r="N987" s="4" t="s">
        <v>34</v>
      </c>
      <c r="O987" s="5">
        <v>0</v>
      </c>
      <c r="P987" s="5">
        <v>0</v>
      </c>
      <c r="Q987" s="5">
        <v>9</v>
      </c>
      <c r="R987" s="5">
        <v>98.97</v>
      </c>
      <c r="S987" s="4" t="s">
        <v>332</v>
      </c>
      <c r="T987" s="4" t="s">
        <v>36</v>
      </c>
      <c r="U987" s="4" t="s">
        <v>66</v>
      </c>
      <c r="V987" s="4" t="s">
        <v>496</v>
      </c>
      <c r="W987" s="5">
        <v>0</v>
      </c>
    </row>
    <row r="988" spans="1:23" x14ac:dyDescent="0.3">
      <c r="A988" s="2" t="s">
        <v>5776</v>
      </c>
      <c r="B988" s="2" t="s">
        <v>439</v>
      </c>
      <c r="C988" s="2" t="s">
        <v>5777</v>
      </c>
      <c r="D988" s="2" t="s">
        <v>2080</v>
      </c>
      <c r="E988" s="2" t="s">
        <v>5778</v>
      </c>
      <c r="F988" s="2" t="s">
        <v>5779</v>
      </c>
      <c r="G988" s="2" t="s">
        <v>640</v>
      </c>
      <c r="H988" s="2" t="s">
        <v>161</v>
      </c>
      <c r="I988" s="2" t="s">
        <v>31</v>
      </c>
      <c r="J988" s="2" t="s">
        <v>533</v>
      </c>
      <c r="K988" s="2" t="s">
        <v>209</v>
      </c>
      <c r="L988" s="2">
        <v>1</v>
      </c>
      <c r="M988" s="3">
        <v>239.98</v>
      </c>
      <c r="N988" s="2" t="s">
        <v>34</v>
      </c>
      <c r="O988" s="3">
        <v>0</v>
      </c>
      <c r="P988" s="3">
        <v>0</v>
      </c>
      <c r="Q988" s="3">
        <v>20.399999999999999</v>
      </c>
      <c r="R988" s="3">
        <v>260.38</v>
      </c>
      <c r="S988" s="2" t="s">
        <v>437</v>
      </c>
      <c r="T988" s="2" t="s">
        <v>144</v>
      </c>
      <c r="U988" s="2" t="s">
        <v>37</v>
      </c>
      <c r="V988" s="2" t="s">
        <v>1976</v>
      </c>
      <c r="W988" s="3">
        <v>260.38</v>
      </c>
    </row>
    <row r="989" spans="1:23" x14ac:dyDescent="0.3">
      <c r="A989" s="4" t="s">
        <v>5780</v>
      </c>
      <c r="B989" s="4" t="s">
        <v>4974</v>
      </c>
      <c r="C989" s="4" t="s">
        <v>5781</v>
      </c>
      <c r="D989" s="4" t="s">
        <v>5782</v>
      </c>
      <c r="E989" s="4" t="s">
        <v>5783</v>
      </c>
      <c r="F989" s="4" t="s">
        <v>5784</v>
      </c>
      <c r="G989" s="4" t="s">
        <v>224</v>
      </c>
      <c r="H989" s="4" t="s">
        <v>225</v>
      </c>
      <c r="I989" s="4" t="s">
        <v>31</v>
      </c>
      <c r="J989" s="4" t="s">
        <v>1175</v>
      </c>
      <c r="K989" s="4" t="s">
        <v>143</v>
      </c>
      <c r="L989" s="4">
        <v>1</v>
      </c>
      <c r="M989" s="5">
        <v>54.99</v>
      </c>
      <c r="N989" s="4" t="s">
        <v>34</v>
      </c>
      <c r="O989" s="5">
        <v>0</v>
      </c>
      <c r="P989" s="5">
        <v>9.99</v>
      </c>
      <c r="Q989" s="5">
        <v>4.4000000000000004</v>
      </c>
      <c r="R989" s="5">
        <v>69.38</v>
      </c>
      <c r="S989" s="4" t="s">
        <v>123</v>
      </c>
      <c r="T989" s="4" t="s">
        <v>144</v>
      </c>
      <c r="U989" s="4" t="s">
        <v>66</v>
      </c>
      <c r="V989" s="4" t="s">
        <v>804</v>
      </c>
      <c r="W989" s="5">
        <v>0</v>
      </c>
    </row>
    <row r="990" spans="1:23" x14ac:dyDescent="0.3">
      <c r="A990" s="2" t="s">
        <v>5785</v>
      </c>
      <c r="B990" s="2" t="s">
        <v>2130</v>
      </c>
      <c r="C990" s="2" t="s">
        <v>5786</v>
      </c>
      <c r="D990" s="2" t="s">
        <v>2917</v>
      </c>
      <c r="E990" s="2" t="s">
        <v>5787</v>
      </c>
      <c r="F990" s="2" t="s">
        <v>5788</v>
      </c>
      <c r="G990" s="2" t="s">
        <v>428</v>
      </c>
      <c r="H990" s="2" t="s">
        <v>429</v>
      </c>
      <c r="I990" s="2" t="s">
        <v>31</v>
      </c>
      <c r="J990" s="2" t="s">
        <v>283</v>
      </c>
      <c r="K990" s="2" t="s">
        <v>209</v>
      </c>
      <c r="L990" s="2">
        <v>1</v>
      </c>
      <c r="M990" s="3">
        <v>49.99</v>
      </c>
      <c r="N990" s="2" t="s">
        <v>78</v>
      </c>
      <c r="O990" s="3">
        <v>5</v>
      </c>
      <c r="P990" s="3">
        <v>9.99</v>
      </c>
      <c r="Q990" s="3">
        <v>4.5</v>
      </c>
      <c r="R990" s="3">
        <v>59.48</v>
      </c>
      <c r="S990" s="2" t="s">
        <v>35</v>
      </c>
      <c r="T990" s="2" t="s">
        <v>183</v>
      </c>
      <c r="U990" s="2" t="s">
        <v>66</v>
      </c>
      <c r="V990" s="2" t="s">
        <v>2285</v>
      </c>
      <c r="W990" s="3">
        <v>0</v>
      </c>
    </row>
    <row r="991" spans="1:23" x14ac:dyDescent="0.3">
      <c r="A991" s="4" t="s">
        <v>5789</v>
      </c>
      <c r="B991" s="4" t="s">
        <v>701</v>
      </c>
      <c r="C991" s="4" t="s">
        <v>5790</v>
      </c>
      <c r="D991" s="4" t="s">
        <v>5791</v>
      </c>
      <c r="E991" s="4" t="s">
        <v>5792</v>
      </c>
      <c r="F991" s="4" t="s">
        <v>5793</v>
      </c>
      <c r="G991" s="4" t="s">
        <v>180</v>
      </c>
      <c r="H991" s="4" t="s">
        <v>181</v>
      </c>
      <c r="I991" s="4" t="s">
        <v>31</v>
      </c>
      <c r="J991" s="4" t="s">
        <v>5794</v>
      </c>
      <c r="K991" s="4" t="s">
        <v>143</v>
      </c>
      <c r="L991" s="4">
        <v>2</v>
      </c>
      <c r="M991" s="5">
        <v>309.97000000000003</v>
      </c>
      <c r="N991" s="4" t="s">
        <v>34</v>
      </c>
      <c r="O991" s="5">
        <v>0</v>
      </c>
      <c r="P991" s="5">
        <v>0</v>
      </c>
      <c r="Q991" s="5">
        <v>27.9</v>
      </c>
      <c r="R991" s="5">
        <v>337.87</v>
      </c>
      <c r="S991" s="4" t="s">
        <v>64</v>
      </c>
      <c r="T991" s="4" t="s">
        <v>36</v>
      </c>
      <c r="U991" s="4" t="s">
        <v>37</v>
      </c>
      <c r="V991" s="4" t="s">
        <v>849</v>
      </c>
      <c r="W991" s="5">
        <v>337.87</v>
      </c>
    </row>
    <row r="992" spans="1:23" x14ac:dyDescent="0.3">
      <c r="A992" s="2" t="s">
        <v>5795</v>
      </c>
      <c r="B992" s="2" t="s">
        <v>1334</v>
      </c>
      <c r="C992" s="2" t="s">
        <v>5796</v>
      </c>
      <c r="D992" s="2" t="s">
        <v>5797</v>
      </c>
      <c r="E992" s="2" t="s">
        <v>5798</v>
      </c>
      <c r="F992" s="2" t="s">
        <v>5799</v>
      </c>
      <c r="G992" s="2" t="s">
        <v>282</v>
      </c>
      <c r="H992" s="2" t="s">
        <v>88</v>
      </c>
      <c r="I992" s="2" t="s">
        <v>31</v>
      </c>
      <c r="J992" s="2" t="s">
        <v>5800</v>
      </c>
      <c r="K992" s="2" t="s">
        <v>122</v>
      </c>
      <c r="L992" s="2">
        <v>2</v>
      </c>
      <c r="M992" s="3">
        <v>97.97</v>
      </c>
      <c r="N992" s="2" t="s">
        <v>34</v>
      </c>
      <c r="O992" s="3">
        <v>0</v>
      </c>
      <c r="P992" s="3">
        <v>0</v>
      </c>
      <c r="Q992" s="3">
        <v>8.82</v>
      </c>
      <c r="R992" s="3">
        <v>106.79</v>
      </c>
      <c r="S992" s="2" t="s">
        <v>123</v>
      </c>
      <c r="T992" s="2" t="s">
        <v>99</v>
      </c>
      <c r="U992" s="2" t="s">
        <v>66</v>
      </c>
      <c r="V992" s="2" t="s">
        <v>572</v>
      </c>
      <c r="W992" s="3">
        <v>0</v>
      </c>
    </row>
    <row r="993" spans="1:23" x14ac:dyDescent="0.3">
      <c r="A993" s="4" t="s">
        <v>5801</v>
      </c>
      <c r="B993" s="4" t="s">
        <v>145</v>
      </c>
      <c r="C993" s="4" t="s">
        <v>5802</v>
      </c>
      <c r="D993" s="4" t="s">
        <v>5803</v>
      </c>
      <c r="E993" s="4" t="s">
        <v>5804</v>
      </c>
      <c r="F993" s="4" t="s">
        <v>5805</v>
      </c>
      <c r="G993" s="4" t="s">
        <v>190</v>
      </c>
      <c r="H993" s="4" t="s">
        <v>161</v>
      </c>
      <c r="I993" s="4" t="s">
        <v>31</v>
      </c>
      <c r="J993" s="4" t="s">
        <v>387</v>
      </c>
      <c r="K993" s="4" t="s">
        <v>33</v>
      </c>
      <c r="L993" s="4">
        <v>1</v>
      </c>
      <c r="M993" s="5">
        <v>35.99</v>
      </c>
      <c r="N993" s="4" t="s">
        <v>34</v>
      </c>
      <c r="O993" s="5">
        <v>0</v>
      </c>
      <c r="P993" s="5">
        <v>9.99</v>
      </c>
      <c r="Q993" s="5">
        <v>3.24</v>
      </c>
      <c r="R993" s="5">
        <v>49.22</v>
      </c>
      <c r="S993" s="4" t="s">
        <v>332</v>
      </c>
      <c r="T993" s="4" t="s">
        <v>183</v>
      </c>
      <c r="U993" s="4" t="s">
        <v>317</v>
      </c>
      <c r="V993" s="4"/>
      <c r="W993" s="5">
        <v>0</v>
      </c>
    </row>
    <row r="994" spans="1:23" x14ac:dyDescent="0.3">
      <c r="A994" s="2" t="s">
        <v>5806</v>
      </c>
      <c r="B994" s="2" t="s">
        <v>349</v>
      </c>
      <c r="C994" s="2" t="s">
        <v>5807</v>
      </c>
      <c r="D994" s="2" t="s">
        <v>2649</v>
      </c>
      <c r="E994" s="2" t="s">
        <v>4734</v>
      </c>
      <c r="F994" s="2" t="s">
        <v>5808</v>
      </c>
      <c r="G994" s="2" t="s">
        <v>692</v>
      </c>
      <c r="H994" s="2" t="s">
        <v>693</v>
      </c>
      <c r="I994" s="2" t="s">
        <v>31</v>
      </c>
      <c r="J994" s="2" t="s">
        <v>1175</v>
      </c>
      <c r="K994" s="2" t="s">
        <v>143</v>
      </c>
      <c r="L994" s="2">
        <v>1</v>
      </c>
      <c r="M994" s="3">
        <v>54.99</v>
      </c>
      <c r="N994" s="2" t="s">
        <v>78</v>
      </c>
      <c r="O994" s="3">
        <v>5.5</v>
      </c>
      <c r="P994" s="3">
        <v>9.99</v>
      </c>
      <c r="Q994" s="3">
        <v>2.97</v>
      </c>
      <c r="R994" s="3">
        <v>62.45</v>
      </c>
      <c r="S994" s="2" t="s">
        <v>35</v>
      </c>
      <c r="T994" s="2" t="s">
        <v>173</v>
      </c>
      <c r="U994" s="2" t="s">
        <v>66</v>
      </c>
      <c r="V994" s="2" t="s">
        <v>296</v>
      </c>
      <c r="W994" s="3">
        <v>0</v>
      </c>
    </row>
    <row r="995" spans="1:23" x14ac:dyDescent="0.3">
      <c r="A995" s="4" t="s">
        <v>5809</v>
      </c>
      <c r="B995" s="4" t="s">
        <v>470</v>
      </c>
      <c r="C995" s="4" t="s">
        <v>5810</v>
      </c>
      <c r="D995" s="4" t="s">
        <v>4773</v>
      </c>
      <c r="E995" s="4" t="s">
        <v>5811</v>
      </c>
      <c r="F995" s="4" t="s">
        <v>5812</v>
      </c>
      <c r="G995" s="4" t="s">
        <v>802</v>
      </c>
      <c r="H995" s="4" t="s">
        <v>88</v>
      </c>
      <c r="I995" s="4" t="s">
        <v>31</v>
      </c>
      <c r="J995" s="4" t="s">
        <v>316</v>
      </c>
      <c r="K995" s="4" t="s">
        <v>48</v>
      </c>
      <c r="L995" s="4">
        <v>1</v>
      </c>
      <c r="M995" s="5">
        <v>34.99</v>
      </c>
      <c r="N995" s="4" t="s">
        <v>49</v>
      </c>
      <c r="O995" s="5">
        <v>5.25</v>
      </c>
      <c r="P995" s="5">
        <v>7.99</v>
      </c>
      <c r="Q995" s="5">
        <v>2.68</v>
      </c>
      <c r="R995" s="5">
        <v>40.409999999999997</v>
      </c>
      <c r="S995" s="4" t="s">
        <v>123</v>
      </c>
      <c r="T995" s="4" t="s">
        <v>99</v>
      </c>
      <c r="U995" s="4" t="s">
        <v>66</v>
      </c>
      <c r="V995" s="4" t="s">
        <v>194</v>
      </c>
      <c r="W995" s="5">
        <v>0</v>
      </c>
    </row>
    <row r="996" spans="1:23" x14ac:dyDescent="0.3">
      <c r="A996" s="2" t="s">
        <v>5813</v>
      </c>
      <c r="B996" s="2" t="s">
        <v>992</v>
      </c>
      <c r="C996" s="2" t="s">
        <v>5814</v>
      </c>
      <c r="D996" s="2" t="s">
        <v>5815</v>
      </c>
      <c r="E996" s="2" t="s">
        <v>5816</v>
      </c>
      <c r="F996" s="2" t="s">
        <v>5817</v>
      </c>
      <c r="G996" s="2" t="s">
        <v>59</v>
      </c>
      <c r="H996" s="2" t="s">
        <v>60</v>
      </c>
      <c r="I996" s="2" t="s">
        <v>31</v>
      </c>
      <c r="J996" s="2" t="s">
        <v>3130</v>
      </c>
      <c r="K996" s="2" t="s">
        <v>209</v>
      </c>
      <c r="L996" s="2">
        <v>1</v>
      </c>
      <c r="M996" s="3">
        <v>359.97</v>
      </c>
      <c r="N996" s="2" t="s">
        <v>63</v>
      </c>
      <c r="O996" s="3">
        <v>89.99</v>
      </c>
      <c r="P996" s="3">
        <v>0</v>
      </c>
      <c r="Q996" s="3">
        <v>22.95</v>
      </c>
      <c r="R996" s="3">
        <v>292.93</v>
      </c>
      <c r="S996" s="2" t="s">
        <v>64</v>
      </c>
      <c r="T996" s="2" t="s">
        <v>99</v>
      </c>
      <c r="U996" s="2" t="s">
        <v>66</v>
      </c>
      <c r="V996" s="2" t="s">
        <v>303</v>
      </c>
      <c r="W996" s="3">
        <v>0</v>
      </c>
    </row>
    <row r="997" spans="1:23" x14ac:dyDescent="0.3">
      <c r="A997" s="4" t="s">
        <v>5818</v>
      </c>
      <c r="B997" s="4" t="s">
        <v>1640</v>
      </c>
      <c r="C997" s="4" t="s">
        <v>5819</v>
      </c>
      <c r="D997" s="4" t="s">
        <v>3642</v>
      </c>
      <c r="E997" s="4" t="s">
        <v>5820</v>
      </c>
      <c r="F997" s="4" t="s">
        <v>5821</v>
      </c>
      <c r="G997" s="4" t="s">
        <v>224</v>
      </c>
      <c r="H997" s="4" t="s">
        <v>225</v>
      </c>
      <c r="I997" s="4" t="s">
        <v>31</v>
      </c>
      <c r="J997" s="4" t="s">
        <v>2576</v>
      </c>
      <c r="K997" s="4" t="s">
        <v>33</v>
      </c>
      <c r="L997" s="4">
        <v>1</v>
      </c>
      <c r="M997" s="5">
        <v>99.98</v>
      </c>
      <c r="N997" s="4" t="s">
        <v>152</v>
      </c>
      <c r="O997" s="5">
        <v>5</v>
      </c>
      <c r="P997" s="5">
        <v>0</v>
      </c>
      <c r="Q997" s="5">
        <v>9.5</v>
      </c>
      <c r="R997" s="5">
        <v>104.48</v>
      </c>
      <c r="S997" s="4" t="s">
        <v>332</v>
      </c>
      <c r="T997" s="4" t="s">
        <v>325</v>
      </c>
      <c r="U997" s="4" t="s">
        <v>66</v>
      </c>
      <c r="V997" s="4" t="s">
        <v>2278</v>
      </c>
      <c r="W997" s="5">
        <v>0</v>
      </c>
    </row>
    <row r="998" spans="1:23" x14ac:dyDescent="0.3">
      <c r="A998" s="2" t="s">
        <v>5822</v>
      </c>
      <c r="B998" s="2" t="s">
        <v>3274</v>
      </c>
      <c r="C998" s="2" t="s">
        <v>5165</v>
      </c>
      <c r="D998" s="2" t="s">
        <v>5160</v>
      </c>
      <c r="E998" s="2" t="s">
        <v>5823</v>
      </c>
      <c r="F998" s="2" t="s">
        <v>5824</v>
      </c>
      <c r="G998" s="2" t="s">
        <v>291</v>
      </c>
      <c r="H998" s="2" t="s">
        <v>292</v>
      </c>
      <c r="I998" s="2" t="s">
        <v>31</v>
      </c>
      <c r="J998" s="2" t="s">
        <v>371</v>
      </c>
      <c r="K998" s="2" t="s">
        <v>122</v>
      </c>
      <c r="L998" s="2">
        <v>1</v>
      </c>
      <c r="M998" s="3">
        <v>109.99</v>
      </c>
      <c r="N998" s="2" t="s">
        <v>63</v>
      </c>
      <c r="O998" s="3">
        <v>27.5</v>
      </c>
      <c r="P998" s="3">
        <v>0</v>
      </c>
      <c r="Q998" s="3">
        <v>4.95</v>
      </c>
      <c r="R998" s="3">
        <v>87.44</v>
      </c>
      <c r="S998" s="2" t="s">
        <v>123</v>
      </c>
      <c r="T998" s="2" t="s">
        <v>183</v>
      </c>
      <c r="U998" s="2" t="s">
        <v>66</v>
      </c>
      <c r="V998" s="2" t="s">
        <v>505</v>
      </c>
      <c r="W998" s="3">
        <v>0</v>
      </c>
    </row>
    <row r="999" spans="1:23" x14ac:dyDescent="0.3">
      <c r="A999" s="4" t="s">
        <v>5825</v>
      </c>
      <c r="B999" s="4" t="s">
        <v>922</v>
      </c>
      <c r="C999" s="4" t="s">
        <v>5826</v>
      </c>
      <c r="D999" s="4" t="s">
        <v>4889</v>
      </c>
      <c r="E999" s="4" t="s">
        <v>5827</v>
      </c>
      <c r="F999" s="4" t="s">
        <v>5828</v>
      </c>
      <c r="G999" s="4" t="s">
        <v>87</v>
      </c>
      <c r="H999" s="4" t="s">
        <v>88</v>
      </c>
      <c r="I999" s="4" t="s">
        <v>31</v>
      </c>
      <c r="J999" s="4" t="s">
        <v>172</v>
      </c>
      <c r="K999" s="4" t="s">
        <v>122</v>
      </c>
      <c r="L999" s="4">
        <v>1</v>
      </c>
      <c r="M999" s="5">
        <v>69.989999999999995</v>
      </c>
      <c r="N999" s="4" t="s">
        <v>78</v>
      </c>
      <c r="O999" s="5">
        <v>7</v>
      </c>
      <c r="P999" s="5">
        <v>4.99</v>
      </c>
      <c r="Q999" s="5">
        <v>5.67</v>
      </c>
      <c r="R999" s="5">
        <v>73.650000000000006</v>
      </c>
      <c r="S999" s="4" t="s">
        <v>123</v>
      </c>
      <c r="T999" s="4" t="s">
        <v>183</v>
      </c>
      <c r="U999" s="4" t="s">
        <v>100</v>
      </c>
      <c r="V999" s="4"/>
      <c r="W999" s="5">
        <v>0</v>
      </c>
    </row>
    <row r="1000" spans="1:23" x14ac:dyDescent="0.3">
      <c r="A1000" s="2" t="s">
        <v>5829</v>
      </c>
      <c r="B1000" s="2" t="s">
        <v>67</v>
      </c>
      <c r="C1000" s="2" t="s">
        <v>5830</v>
      </c>
      <c r="D1000" s="2" t="s">
        <v>5831</v>
      </c>
      <c r="E1000" s="2" t="s">
        <v>5832</v>
      </c>
      <c r="F1000" s="2" t="s">
        <v>5833</v>
      </c>
      <c r="G1000" s="2" t="s">
        <v>140</v>
      </c>
      <c r="H1000" s="2" t="s">
        <v>141</v>
      </c>
      <c r="I1000" s="2" t="s">
        <v>31</v>
      </c>
      <c r="J1000" s="2" t="s">
        <v>5834</v>
      </c>
      <c r="K1000" s="2" t="s">
        <v>143</v>
      </c>
      <c r="L1000" s="2">
        <v>2</v>
      </c>
      <c r="M1000" s="3">
        <v>87.98</v>
      </c>
      <c r="N1000" s="2" t="s">
        <v>34</v>
      </c>
      <c r="O1000" s="3">
        <v>0</v>
      </c>
      <c r="P1000" s="3">
        <v>0</v>
      </c>
      <c r="Q1000" s="3">
        <v>7.48</v>
      </c>
      <c r="R1000" s="3">
        <v>95.46</v>
      </c>
      <c r="S1000" s="2" t="s">
        <v>123</v>
      </c>
      <c r="T1000" s="2" t="s">
        <v>36</v>
      </c>
      <c r="U1000" s="2" t="s">
        <v>66</v>
      </c>
      <c r="V1000" s="2" t="s">
        <v>270</v>
      </c>
      <c r="W1000" s="3">
        <v>0</v>
      </c>
    </row>
    <row r="1001" spans="1:23" x14ac:dyDescent="0.3">
      <c r="A1001" s="4" t="s">
        <v>5835</v>
      </c>
      <c r="B1001" s="4" t="s">
        <v>202</v>
      </c>
      <c r="C1001" s="4" t="s">
        <v>5836</v>
      </c>
      <c r="D1001" s="4" t="s">
        <v>5837</v>
      </c>
      <c r="E1001" s="4" t="s">
        <v>5838</v>
      </c>
      <c r="F1001" s="4" t="s">
        <v>5839</v>
      </c>
      <c r="G1001" s="4" t="s">
        <v>74</v>
      </c>
      <c r="H1001" s="4" t="s">
        <v>75</v>
      </c>
      <c r="I1001" s="4" t="s">
        <v>31</v>
      </c>
      <c r="J1001" s="4" t="s">
        <v>1054</v>
      </c>
      <c r="K1001" s="4" t="s">
        <v>364</v>
      </c>
      <c r="L1001" s="4">
        <v>1</v>
      </c>
      <c r="M1001" s="5">
        <v>44.99</v>
      </c>
      <c r="N1001" s="4" t="s">
        <v>78</v>
      </c>
      <c r="O1001" s="5">
        <v>4.5</v>
      </c>
      <c r="P1001" s="5">
        <v>9.99</v>
      </c>
      <c r="Q1001" s="5">
        <v>3.64</v>
      </c>
      <c r="R1001" s="5">
        <v>54.12</v>
      </c>
      <c r="S1001" s="4" t="s">
        <v>64</v>
      </c>
      <c r="T1001" s="4" t="s">
        <v>36</v>
      </c>
      <c r="U1001" s="4" t="s">
        <v>66</v>
      </c>
      <c r="V1001" s="4" t="s">
        <v>3421</v>
      </c>
      <c r="W1001" s="5">
        <v>0</v>
      </c>
    </row>
  </sheetData>
  <autoFilter ref="A1:W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89ED-9F62-4EE2-8ED2-6A8301E6DB8A}">
  <sheetPr>
    <tabColor theme="9"/>
  </sheetPr>
  <dimension ref="A1:Z1001"/>
  <sheetViews>
    <sheetView tabSelected="1" topLeftCell="U1" workbookViewId="0">
      <pane ySplit="1" topLeftCell="A2" activePane="bottomLeft" state="frozen"/>
      <selection pane="bottomLeft" activeCell="Y1" sqref="Y1"/>
    </sheetView>
  </sheetViews>
  <sheetFormatPr defaultRowHeight="14.4" x14ac:dyDescent="0.3"/>
  <cols>
    <col min="1" max="1" width="12.88671875" bestFit="1" customWidth="1"/>
    <col min="2" max="2" width="15.109375" bestFit="1" customWidth="1"/>
    <col min="3" max="3" width="15.21875" bestFit="1" customWidth="1"/>
    <col min="4" max="4" width="19.5546875" bestFit="1" customWidth="1"/>
    <col min="5" max="5" width="30.44140625" bestFit="1" customWidth="1"/>
    <col min="6" max="6" width="13.33203125" bestFit="1" customWidth="1"/>
    <col min="7" max="7" width="11.44140625" bestFit="1" customWidth="1"/>
    <col min="8" max="8" width="10" bestFit="1" customWidth="1"/>
    <col min="9" max="9" width="12.5546875" bestFit="1" customWidth="1"/>
    <col min="10" max="10" width="115.88671875" bestFit="1" customWidth="1"/>
    <col min="11" max="11" width="20.88671875" bestFit="1" customWidth="1"/>
    <col min="12" max="12" width="15" bestFit="1" customWidth="1"/>
    <col min="13" max="13" width="15.6640625" bestFit="1" customWidth="1"/>
    <col min="14" max="14" width="18.44140625" bestFit="1" customWidth="1"/>
    <col min="15" max="15" width="23.6640625" bestFit="1" customWidth="1"/>
    <col min="16" max="16" width="16" bestFit="1" customWidth="1"/>
    <col min="17" max="17" width="11.44140625" bestFit="1" customWidth="1"/>
    <col min="18" max="18" width="18.44140625" bestFit="1" customWidth="1"/>
    <col min="19" max="19" width="20.109375" bestFit="1" customWidth="1"/>
    <col min="20" max="20" width="17.88671875" bestFit="1" customWidth="1"/>
    <col min="21" max="21" width="20.6640625" bestFit="1" customWidth="1"/>
    <col min="22" max="22" width="19" bestFit="1" customWidth="1"/>
    <col min="23" max="23" width="22.109375" bestFit="1" customWidth="1"/>
    <col min="24" max="24" width="11.88671875" bestFit="1" customWidth="1"/>
    <col min="26" max="26" width="12" customWidth="1"/>
  </cols>
  <sheetData>
    <row r="1" spans="1:26" ht="19.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6" t="s">
        <v>5845</v>
      </c>
      <c r="Y1" s="6" t="s">
        <v>5846</v>
      </c>
      <c r="Z1" s="6" t="s">
        <v>5847</v>
      </c>
    </row>
    <row r="2" spans="1:26" x14ac:dyDescent="0.3">
      <c r="A2" s="2" t="s">
        <v>23</v>
      </c>
      <c r="B2" s="8" t="s">
        <v>24</v>
      </c>
      <c r="C2" s="2" t="s">
        <v>25</v>
      </c>
      <c r="D2" s="2" t="s">
        <v>26</v>
      </c>
      <c r="E2" s="2" t="s">
        <v>27</v>
      </c>
      <c r="F2" s="2" t="s">
        <v>28</v>
      </c>
      <c r="G2" s="2" t="s">
        <v>29</v>
      </c>
      <c r="H2" s="2" t="s">
        <v>30</v>
      </c>
      <c r="I2" s="2" t="s">
        <v>31</v>
      </c>
      <c r="J2" s="2" t="s">
        <v>32</v>
      </c>
      <c r="K2" s="2" t="s">
        <v>33</v>
      </c>
      <c r="L2" s="2">
        <v>3</v>
      </c>
      <c r="M2" s="3">
        <v>115.97</v>
      </c>
      <c r="N2" s="2" t="s">
        <v>34</v>
      </c>
      <c r="O2" s="3">
        <v>0</v>
      </c>
      <c r="P2" s="3">
        <v>0</v>
      </c>
      <c r="Q2" s="3">
        <v>8.1199999999999992</v>
      </c>
      <c r="R2" s="3">
        <v>124.09</v>
      </c>
      <c r="S2" s="2" t="s">
        <v>35</v>
      </c>
      <c r="T2" s="2" t="s">
        <v>36</v>
      </c>
      <c r="U2" s="2" t="s">
        <v>37</v>
      </c>
      <c r="V2" s="2" t="s">
        <v>38</v>
      </c>
      <c r="W2" s="3">
        <v>124.09</v>
      </c>
      <c r="X2" t="str">
        <f>TEXT(B2,"MMMM")</f>
        <v>February</v>
      </c>
      <c r="Y2" t="str">
        <f>IF(MONTH(B2)&lt;=3,"Q1",IF(MONTH(B2)&lt;=6,"Q2",IF(MONTH(B2)&lt;=9,"Q3","Q4")))</f>
        <v>Q1</v>
      </c>
      <c r="Z2" s="7">
        <f>M2-O2</f>
        <v>115.97</v>
      </c>
    </row>
    <row r="3" spans="1:26" x14ac:dyDescent="0.3">
      <c r="A3" s="4" t="s">
        <v>39</v>
      </c>
      <c r="B3" s="9" t="s">
        <v>40</v>
      </c>
      <c r="C3" s="4" t="s">
        <v>41</v>
      </c>
      <c r="D3" s="4" t="s">
        <v>42</v>
      </c>
      <c r="E3" s="4" t="s">
        <v>43</v>
      </c>
      <c r="F3" s="4" t="s">
        <v>44</v>
      </c>
      <c r="G3" s="4" t="s">
        <v>45</v>
      </c>
      <c r="H3" s="4" t="s">
        <v>46</v>
      </c>
      <c r="I3" s="4" t="s">
        <v>31</v>
      </c>
      <c r="J3" s="4" t="s">
        <v>47</v>
      </c>
      <c r="K3" s="4" t="s">
        <v>48</v>
      </c>
      <c r="L3" s="4">
        <v>1</v>
      </c>
      <c r="M3" s="5">
        <v>42.99</v>
      </c>
      <c r="N3" s="4" t="s">
        <v>49</v>
      </c>
      <c r="O3" s="5">
        <v>6.45</v>
      </c>
      <c r="P3" s="5">
        <v>7.99</v>
      </c>
      <c r="Q3" s="5">
        <v>2.92</v>
      </c>
      <c r="R3" s="5">
        <v>47.45</v>
      </c>
      <c r="S3" s="4" t="s">
        <v>35</v>
      </c>
      <c r="T3" s="4" t="s">
        <v>50</v>
      </c>
      <c r="U3" s="4" t="s">
        <v>51</v>
      </c>
      <c r="V3" s="4" t="s">
        <v>52</v>
      </c>
      <c r="W3" s="5">
        <v>0</v>
      </c>
      <c r="X3" t="str">
        <f t="shared" ref="X3:X66" si="0">TEXT(B3,"MMMM")</f>
        <v>December</v>
      </c>
      <c r="Y3" t="str">
        <f t="shared" ref="Y3:Y66" si="1">IF(MONTH(B3)&lt;=3,"Q1",IF(MONTH(B3)&lt;=6,"Q2",IF(MONTH(B3)&lt;=9,"Q3","Q4")))</f>
        <v>Q4</v>
      </c>
      <c r="Z3" s="7">
        <f t="shared" ref="Z3:Z66" si="2">M3-O3</f>
        <v>36.54</v>
      </c>
    </row>
    <row r="4" spans="1:26" x14ac:dyDescent="0.3">
      <c r="A4" s="2" t="s">
        <v>53</v>
      </c>
      <c r="B4" s="8" t="s">
        <v>54</v>
      </c>
      <c r="C4" s="2" t="s">
        <v>55</v>
      </c>
      <c r="D4" s="2" t="s">
        <v>56</v>
      </c>
      <c r="E4" s="2" t="s">
        <v>57</v>
      </c>
      <c r="F4" s="2" t="s">
        <v>58</v>
      </c>
      <c r="G4" s="2" t="s">
        <v>59</v>
      </c>
      <c r="H4" s="2" t="s">
        <v>60</v>
      </c>
      <c r="I4" s="2" t="s">
        <v>31</v>
      </c>
      <c r="J4" s="2" t="s">
        <v>61</v>
      </c>
      <c r="K4" s="2" t="s">
        <v>62</v>
      </c>
      <c r="L4" s="2">
        <v>1</v>
      </c>
      <c r="M4" s="3">
        <v>24.99</v>
      </c>
      <c r="N4" s="2" t="s">
        <v>63</v>
      </c>
      <c r="O4" s="3">
        <v>6.25</v>
      </c>
      <c r="P4" s="3">
        <v>7.99</v>
      </c>
      <c r="Q4" s="3">
        <v>1.87</v>
      </c>
      <c r="R4" s="3">
        <v>28.6</v>
      </c>
      <c r="S4" s="2" t="s">
        <v>64</v>
      </c>
      <c r="T4" s="2" t="s">
        <v>65</v>
      </c>
      <c r="U4" s="2" t="s">
        <v>66</v>
      </c>
      <c r="V4" s="2" t="s">
        <v>67</v>
      </c>
      <c r="W4" s="3">
        <v>0</v>
      </c>
      <c r="X4" t="str">
        <f t="shared" si="0"/>
        <v>July</v>
      </c>
      <c r="Y4" t="str">
        <f t="shared" si="1"/>
        <v>Q3</v>
      </c>
      <c r="Z4" s="7">
        <f t="shared" si="2"/>
        <v>18.739999999999998</v>
      </c>
    </row>
    <row r="5" spans="1:26" x14ac:dyDescent="0.3">
      <c r="A5" s="4" t="s">
        <v>68</v>
      </c>
      <c r="B5" s="9" t="s">
        <v>69</v>
      </c>
      <c r="C5" s="4" t="s">
        <v>70</v>
      </c>
      <c r="D5" s="4" t="s">
        <v>71</v>
      </c>
      <c r="E5" s="4" t="s">
        <v>72</v>
      </c>
      <c r="F5" s="4" t="s">
        <v>73</v>
      </c>
      <c r="G5" s="4" t="s">
        <v>74</v>
      </c>
      <c r="H5" s="4" t="s">
        <v>75</v>
      </c>
      <c r="I5" s="4" t="s">
        <v>31</v>
      </c>
      <c r="J5" s="4" t="s">
        <v>76</v>
      </c>
      <c r="K5" s="4" t="s">
        <v>77</v>
      </c>
      <c r="L5" s="4">
        <v>2</v>
      </c>
      <c r="M5" s="5">
        <v>102.98</v>
      </c>
      <c r="N5" s="4" t="s">
        <v>78</v>
      </c>
      <c r="O5" s="5">
        <v>10.3</v>
      </c>
      <c r="P5" s="5">
        <v>0</v>
      </c>
      <c r="Q5" s="5">
        <v>9.27</v>
      </c>
      <c r="R5" s="5">
        <v>101.95</v>
      </c>
      <c r="S5" s="4" t="s">
        <v>79</v>
      </c>
      <c r="T5" s="4" t="s">
        <v>36</v>
      </c>
      <c r="U5" s="4" t="s">
        <v>66</v>
      </c>
      <c r="V5" s="4" t="s">
        <v>80</v>
      </c>
      <c r="W5" s="5">
        <v>0</v>
      </c>
      <c r="X5" t="str">
        <f t="shared" si="0"/>
        <v>June</v>
      </c>
      <c r="Y5" t="str">
        <f t="shared" si="1"/>
        <v>Q2</v>
      </c>
      <c r="Z5" s="7">
        <f t="shared" si="2"/>
        <v>92.68</v>
      </c>
    </row>
    <row r="6" spans="1:26" x14ac:dyDescent="0.3">
      <c r="A6" s="2" t="s">
        <v>81</v>
      </c>
      <c r="B6" s="8" t="s">
        <v>82</v>
      </c>
      <c r="C6" s="2" t="s">
        <v>83</v>
      </c>
      <c r="D6" s="2" t="s">
        <v>84</v>
      </c>
      <c r="E6" s="2" t="s">
        <v>85</v>
      </c>
      <c r="F6" s="2" t="s">
        <v>86</v>
      </c>
      <c r="G6" s="2" t="s">
        <v>87</v>
      </c>
      <c r="H6" s="2" t="s">
        <v>88</v>
      </c>
      <c r="I6" s="2" t="s">
        <v>31</v>
      </c>
      <c r="J6" s="2" t="s">
        <v>89</v>
      </c>
      <c r="K6" s="2" t="s">
        <v>48</v>
      </c>
      <c r="L6" s="2">
        <v>3</v>
      </c>
      <c r="M6" s="3">
        <v>229.95</v>
      </c>
      <c r="N6" s="2" t="s">
        <v>34</v>
      </c>
      <c r="O6" s="3">
        <v>0</v>
      </c>
      <c r="P6" s="3">
        <v>0</v>
      </c>
      <c r="Q6" s="3">
        <v>16.100000000000001</v>
      </c>
      <c r="R6" s="3">
        <v>246.05</v>
      </c>
      <c r="S6" s="2" t="s">
        <v>79</v>
      </c>
      <c r="T6" s="2" t="s">
        <v>36</v>
      </c>
      <c r="U6" s="2" t="s">
        <v>51</v>
      </c>
      <c r="V6" s="2" t="s">
        <v>90</v>
      </c>
      <c r="W6" s="3">
        <v>0</v>
      </c>
      <c r="X6" t="str">
        <f t="shared" si="0"/>
        <v>May</v>
      </c>
      <c r="Y6" t="str">
        <f t="shared" si="1"/>
        <v>Q2</v>
      </c>
      <c r="Z6" s="7">
        <f t="shared" si="2"/>
        <v>229.95</v>
      </c>
    </row>
    <row r="7" spans="1:26" x14ac:dyDescent="0.3">
      <c r="A7" s="4" t="s">
        <v>91</v>
      </c>
      <c r="B7" s="9" t="s">
        <v>92</v>
      </c>
      <c r="C7" s="4" t="s">
        <v>93</v>
      </c>
      <c r="D7" s="4" t="s">
        <v>94</v>
      </c>
      <c r="E7" s="4" t="s">
        <v>95</v>
      </c>
      <c r="F7" s="4" t="s">
        <v>96</v>
      </c>
      <c r="G7" s="4" t="s">
        <v>87</v>
      </c>
      <c r="H7" s="4" t="s">
        <v>88</v>
      </c>
      <c r="I7" s="4" t="s">
        <v>31</v>
      </c>
      <c r="J7" s="4" t="s">
        <v>97</v>
      </c>
      <c r="K7" s="4" t="s">
        <v>33</v>
      </c>
      <c r="L7" s="4">
        <v>2</v>
      </c>
      <c r="M7" s="5">
        <v>75.98</v>
      </c>
      <c r="N7" s="4" t="s">
        <v>78</v>
      </c>
      <c r="O7" s="5">
        <v>7.6</v>
      </c>
      <c r="P7" s="5">
        <v>0</v>
      </c>
      <c r="Q7" s="5">
        <v>4.79</v>
      </c>
      <c r="R7" s="5">
        <v>73.17</v>
      </c>
      <c r="S7" s="4" t="s">
        <v>98</v>
      </c>
      <c r="T7" s="4" t="s">
        <v>99</v>
      </c>
      <c r="U7" s="4" t="s">
        <v>100</v>
      </c>
      <c r="V7" s="4"/>
      <c r="W7" s="5">
        <v>0</v>
      </c>
      <c r="X7" t="str">
        <f t="shared" si="0"/>
        <v>August</v>
      </c>
      <c r="Y7" t="str">
        <f t="shared" si="1"/>
        <v>Q3</v>
      </c>
      <c r="Z7" s="7">
        <f t="shared" si="2"/>
        <v>68.38000000000001</v>
      </c>
    </row>
    <row r="8" spans="1:26" x14ac:dyDescent="0.3">
      <c r="A8" s="2" t="s">
        <v>101</v>
      </c>
      <c r="B8" s="8" t="s">
        <v>102</v>
      </c>
      <c r="C8" s="2" t="s">
        <v>103</v>
      </c>
      <c r="D8" s="2" t="s">
        <v>104</v>
      </c>
      <c r="E8" s="2" t="s">
        <v>105</v>
      </c>
      <c r="F8" s="2" t="s">
        <v>106</v>
      </c>
      <c r="G8" s="2" t="s">
        <v>107</v>
      </c>
      <c r="H8" s="2" t="s">
        <v>108</v>
      </c>
      <c r="I8" s="2" t="s">
        <v>31</v>
      </c>
      <c r="J8" s="2" t="s">
        <v>109</v>
      </c>
      <c r="K8" s="2" t="s">
        <v>110</v>
      </c>
      <c r="L8" s="2">
        <v>1</v>
      </c>
      <c r="M8" s="3">
        <v>68.97</v>
      </c>
      <c r="N8" s="2" t="s">
        <v>63</v>
      </c>
      <c r="O8" s="3">
        <v>17.239999999999998</v>
      </c>
      <c r="P8" s="3">
        <v>7.99</v>
      </c>
      <c r="Q8" s="3">
        <v>4.66</v>
      </c>
      <c r="R8" s="3">
        <v>64.38</v>
      </c>
      <c r="S8" s="2" t="s">
        <v>111</v>
      </c>
      <c r="T8" s="2" t="s">
        <v>99</v>
      </c>
      <c r="U8" s="2" t="s">
        <v>66</v>
      </c>
      <c r="V8" s="2" t="s">
        <v>112</v>
      </c>
      <c r="W8" s="3">
        <v>0</v>
      </c>
      <c r="X8" t="str">
        <f t="shared" si="0"/>
        <v>January</v>
      </c>
      <c r="Y8" t="str">
        <f t="shared" si="1"/>
        <v>Q1</v>
      </c>
      <c r="Z8" s="7">
        <f t="shared" si="2"/>
        <v>51.730000000000004</v>
      </c>
    </row>
    <row r="9" spans="1:26" x14ac:dyDescent="0.3">
      <c r="A9" s="4" t="s">
        <v>113</v>
      </c>
      <c r="B9" s="9" t="s">
        <v>114</v>
      </c>
      <c r="C9" s="4" t="s">
        <v>115</v>
      </c>
      <c r="D9" s="4" t="s">
        <v>116</v>
      </c>
      <c r="E9" s="4" t="s">
        <v>117</v>
      </c>
      <c r="F9" s="4" t="s">
        <v>118</v>
      </c>
      <c r="G9" s="4" t="s">
        <v>119</v>
      </c>
      <c r="H9" s="4" t="s">
        <v>120</v>
      </c>
      <c r="I9" s="4" t="s">
        <v>31</v>
      </c>
      <c r="J9" s="4" t="s">
        <v>121</v>
      </c>
      <c r="K9" s="4" t="s">
        <v>122</v>
      </c>
      <c r="L9" s="4">
        <v>3</v>
      </c>
      <c r="M9" s="5">
        <v>339.95</v>
      </c>
      <c r="N9" s="4" t="s">
        <v>78</v>
      </c>
      <c r="O9" s="5">
        <v>33.99</v>
      </c>
      <c r="P9" s="5">
        <v>0</v>
      </c>
      <c r="Q9" s="5">
        <v>30.6</v>
      </c>
      <c r="R9" s="5">
        <v>336.56</v>
      </c>
      <c r="S9" s="4" t="s">
        <v>123</v>
      </c>
      <c r="T9" s="4" t="s">
        <v>99</v>
      </c>
      <c r="U9" s="4" t="s">
        <v>51</v>
      </c>
      <c r="V9" s="4" t="s">
        <v>124</v>
      </c>
      <c r="W9" s="5">
        <v>0</v>
      </c>
      <c r="X9" t="str">
        <f t="shared" si="0"/>
        <v>October</v>
      </c>
      <c r="Y9" t="str">
        <f t="shared" si="1"/>
        <v>Q4</v>
      </c>
      <c r="Z9" s="7">
        <f t="shared" si="2"/>
        <v>305.95999999999998</v>
      </c>
    </row>
    <row r="10" spans="1:26" x14ac:dyDescent="0.3">
      <c r="A10" s="2" t="s">
        <v>125</v>
      </c>
      <c r="B10" s="8" t="s">
        <v>126</v>
      </c>
      <c r="C10" s="2" t="s">
        <v>127</v>
      </c>
      <c r="D10" s="2" t="s">
        <v>128</v>
      </c>
      <c r="E10" s="2" t="s">
        <v>129</v>
      </c>
      <c r="F10" s="2" t="s">
        <v>130</v>
      </c>
      <c r="G10" s="2" t="s">
        <v>131</v>
      </c>
      <c r="H10" s="2" t="s">
        <v>88</v>
      </c>
      <c r="I10" s="2" t="s">
        <v>31</v>
      </c>
      <c r="J10" s="2" t="s">
        <v>132</v>
      </c>
      <c r="K10" s="2" t="s">
        <v>48</v>
      </c>
      <c r="L10" s="2">
        <v>1</v>
      </c>
      <c r="M10" s="3">
        <v>129.97999999999999</v>
      </c>
      <c r="N10" s="2" t="s">
        <v>34</v>
      </c>
      <c r="O10" s="3">
        <v>0</v>
      </c>
      <c r="P10" s="3">
        <v>0</v>
      </c>
      <c r="Q10" s="3">
        <v>7.8</v>
      </c>
      <c r="R10" s="3">
        <v>137.78</v>
      </c>
      <c r="S10" s="2" t="s">
        <v>35</v>
      </c>
      <c r="T10" s="2" t="s">
        <v>36</v>
      </c>
      <c r="U10" s="2" t="s">
        <v>66</v>
      </c>
      <c r="V10" s="2" t="s">
        <v>133</v>
      </c>
      <c r="W10" s="3">
        <v>0</v>
      </c>
      <c r="X10" t="str">
        <f t="shared" si="0"/>
        <v>December</v>
      </c>
      <c r="Y10" t="str">
        <f t="shared" si="1"/>
        <v>Q4</v>
      </c>
      <c r="Z10" s="7">
        <f t="shared" si="2"/>
        <v>129.97999999999999</v>
      </c>
    </row>
    <row r="11" spans="1:26" x14ac:dyDescent="0.3">
      <c r="A11" s="4" t="s">
        <v>134</v>
      </c>
      <c r="B11" s="9" t="s">
        <v>135</v>
      </c>
      <c r="C11" s="4" t="s">
        <v>136</v>
      </c>
      <c r="D11" s="4" t="s">
        <v>137</v>
      </c>
      <c r="E11" s="4" t="s">
        <v>138</v>
      </c>
      <c r="F11" s="4" t="s">
        <v>139</v>
      </c>
      <c r="G11" s="4" t="s">
        <v>140</v>
      </c>
      <c r="H11" s="4" t="s">
        <v>141</v>
      </c>
      <c r="I11" s="4" t="s">
        <v>31</v>
      </c>
      <c r="J11" s="4" t="s">
        <v>142</v>
      </c>
      <c r="K11" s="4" t="s">
        <v>143</v>
      </c>
      <c r="L11" s="4">
        <v>1</v>
      </c>
      <c r="M11" s="5">
        <v>159.97999999999999</v>
      </c>
      <c r="N11" s="4" t="s">
        <v>49</v>
      </c>
      <c r="O11" s="5">
        <v>24</v>
      </c>
      <c r="P11" s="5">
        <v>0</v>
      </c>
      <c r="Q11" s="5">
        <v>9.52</v>
      </c>
      <c r="R11" s="5">
        <v>145.5</v>
      </c>
      <c r="S11" s="4" t="s">
        <v>79</v>
      </c>
      <c r="T11" s="4" t="s">
        <v>144</v>
      </c>
      <c r="U11" s="4" t="s">
        <v>66</v>
      </c>
      <c r="V11" s="4" t="s">
        <v>145</v>
      </c>
      <c r="W11" s="5">
        <v>0</v>
      </c>
      <c r="X11" t="str">
        <f t="shared" si="0"/>
        <v>August</v>
      </c>
      <c r="Y11" t="str">
        <f t="shared" si="1"/>
        <v>Q3</v>
      </c>
      <c r="Z11" s="7">
        <f t="shared" si="2"/>
        <v>135.97999999999999</v>
      </c>
    </row>
    <row r="12" spans="1:26" x14ac:dyDescent="0.3">
      <c r="A12" s="2" t="s">
        <v>146</v>
      </c>
      <c r="B12" s="8" t="s">
        <v>102</v>
      </c>
      <c r="C12" s="2" t="s">
        <v>147</v>
      </c>
      <c r="D12" s="2" t="s">
        <v>148</v>
      </c>
      <c r="E12" s="2" t="s">
        <v>149</v>
      </c>
      <c r="F12" s="2" t="s">
        <v>150</v>
      </c>
      <c r="G12" s="2" t="s">
        <v>45</v>
      </c>
      <c r="H12" s="2" t="s">
        <v>46</v>
      </c>
      <c r="I12" s="2" t="s">
        <v>31</v>
      </c>
      <c r="J12" s="2" t="s">
        <v>151</v>
      </c>
      <c r="K12" s="2" t="s">
        <v>110</v>
      </c>
      <c r="L12" s="2">
        <v>1</v>
      </c>
      <c r="M12" s="3">
        <v>39.99</v>
      </c>
      <c r="N12" s="2" t="s">
        <v>152</v>
      </c>
      <c r="O12" s="3">
        <v>2</v>
      </c>
      <c r="P12" s="3">
        <v>5.99</v>
      </c>
      <c r="Q12" s="3">
        <v>2.2799999999999998</v>
      </c>
      <c r="R12" s="3">
        <v>46.26</v>
      </c>
      <c r="S12" s="2" t="s">
        <v>35</v>
      </c>
      <c r="T12" s="2" t="s">
        <v>36</v>
      </c>
      <c r="U12" s="2" t="s">
        <v>66</v>
      </c>
      <c r="V12" s="2" t="s">
        <v>153</v>
      </c>
      <c r="W12" s="3">
        <v>0</v>
      </c>
      <c r="X12" t="str">
        <f t="shared" si="0"/>
        <v>January</v>
      </c>
      <c r="Y12" t="str">
        <f t="shared" si="1"/>
        <v>Q1</v>
      </c>
      <c r="Z12" s="7">
        <f t="shared" si="2"/>
        <v>37.99</v>
      </c>
    </row>
    <row r="13" spans="1:26" x14ac:dyDescent="0.3">
      <c r="A13" s="4" t="s">
        <v>154</v>
      </c>
      <c r="B13" s="9" t="s">
        <v>155</v>
      </c>
      <c r="C13" s="4" t="s">
        <v>156</v>
      </c>
      <c r="D13" s="4" t="s">
        <v>157</v>
      </c>
      <c r="E13" s="4" t="s">
        <v>158</v>
      </c>
      <c r="F13" s="4" t="s">
        <v>159</v>
      </c>
      <c r="G13" s="4" t="s">
        <v>160</v>
      </c>
      <c r="H13" s="4" t="s">
        <v>161</v>
      </c>
      <c r="I13" s="4" t="s">
        <v>31</v>
      </c>
      <c r="J13" s="4" t="s">
        <v>162</v>
      </c>
      <c r="K13" s="4" t="s">
        <v>62</v>
      </c>
      <c r="L13" s="4">
        <v>2</v>
      </c>
      <c r="M13" s="5">
        <v>69.98</v>
      </c>
      <c r="N13" s="4" t="s">
        <v>163</v>
      </c>
      <c r="O13" s="5">
        <v>14</v>
      </c>
      <c r="P13" s="5">
        <v>9.99</v>
      </c>
      <c r="Q13" s="5">
        <v>3.92</v>
      </c>
      <c r="R13" s="5">
        <v>69.89</v>
      </c>
      <c r="S13" s="4" t="s">
        <v>35</v>
      </c>
      <c r="T13" s="4" t="s">
        <v>36</v>
      </c>
      <c r="U13" s="4" t="s">
        <v>51</v>
      </c>
      <c r="V13" s="4" t="s">
        <v>164</v>
      </c>
      <c r="W13" s="5">
        <v>0</v>
      </c>
      <c r="X13" t="str">
        <f t="shared" si="0"/>
        <v>February</v>
      </c>
      <c r="Y13" t="str">
        <f t="shared" si="1"/>
        <v>Q1</v>
      </c>
      <c r="Z13" s="7">
        <f t="shared" si="2"/>
        <v>55.980000000000004</v>
      </c>
    </row>
    <row r="14" spans="1:26" x14ac:dyDescent="0.3">
      <c r="A14" s="2" t="s">
        <v>165</v>
      </c>
      <c r="B14" s="8" t="s">
        <v>166</v>
      </c>
      <c r="C14" s="2" t="s">
        <v>167</v>
      </c>
      <c r="D14" s="2" t="s">
        <v>168</v>
      </c>
      <c r="E14" s="2" t="s">
        <v>169</v>
      </c>
      <c r="F14" s="2" t="s">
        <v>170</v>
      </c>
      <c r="G14" s="2" t="s">
        <v>171</v>
      </c>
      <c r="H14" s="2" t="s">
        <v>88</v>
      </c>
      <c r="I14" s="2" t="s">
        <v>31</v>
      </c>
      <c r="J14" s="2" t="s">
        <v>172</v>
      </c>
      <c r="K14" s="2" t="s">
        <v>122</v>
      </c>
      <c r="L14" s="2">
        <v>1</v>
      </c>
      <c r="M14" s="3">
        <v>69.989999999999995</v>
      </c>
      <c r="N14" s="2" t="s">
        <v>163</v>
      </c>
      <c r="O14" s="3">
        <v>14</v>
      </c>
      <c r="P14" s="3">
        <v>5.99</v>
      </c>
      <c r="Q14" s="3">
        <v>4.76</v>
      </c>
      <c r="R14" s="3">
        <v>66.739999999999995</v>
      </c>
      <c r="S14" s="2" t="s">
        <v>35</v>
      </c>
      <c r="T14" s="2" t="s">
        <v>173</v>
      </c>
      <c r="U14" s="2" t="s">
        <v>66</v>
      </c>
      <c r="V14" s="2" t="s">
        <v>52</v>
      </c>
      <c r="W14" s="3">
        <v>0</v>
      </c>
      <c r="X14" t="str">
        <f t="shared" si="0"/>
        <v>November</v>
      </c>
      <c r="Y14" t="str">
        <f t="shared" si="1"/>
        <v>Q4</v>
      </c>
      <c r="Z14" s="7">
        <f t="shared" si="2"/>
        <v>55.989999999999995</v>
      </c>
    </row>
    <row r="15" spans="1:26" x14ac:dyDescent="0.3">
      <c r="A15" s="4" t="s">
        <v>174</v>
      </c>
      <c r="B15" s="9" t="s">
        <v>175</v>
      </c>
      <c r="C15" s="4" t="s">
        <v>176</v>
      </c>
      <c r="D15" s="4" t="s">
        <v>177</v>
      </c>
      <c r="E15" s="4" t="s">
        <v>178</v>
      </c>
      <c r="F15" s="4" t="s">
        <v>179</v>
      </c>
      <c r="G15" s="4" t="s">
        <v>180</v>
      </c>
      <c r="H15" s="4" t="s">
        <v>181</v>
      </c>
      <c r="I15" s="4" t="s">
        <v>31</v>
      </c>
      <c r="J15" s="4" t="s">
        <v>182</v>
      </c>
      <c r="K15" s="4" t="s">
        <v>62</v>
      </c>
      <c r="L15" s="4">
        <v>2</v>
      </c>
      <c r="M15" s="5">
        <v>154.97</v>
      </c>
      <c r="N15" s="4" t="s">
        <v>34</v>
      </c>
      <c r="O15" s="5">
        <v>0</v>
      </c>
      <c r="P15" s="5">
        <v>0</v>
      </c>
      <c r="Q15" s="5">
        <v>13.17</v>
      </c>
      <c r="R15" s="5">
        <v>168.14</v>
      </c>
      <c r="S15" s="4" t="s">
        <v>35</v>
      </c>
      <c r="T15" s="4" t="s">
        <v>183</v>
      </c>
      <c r="U15" s="4" t="s">
        <v>100</v>
      </c>
      <c r="V15" s="4"/>
      <c r="W15" s="5">
        <v>0</v>
      </c>
      <c r="X15" t="str">
        <f t="shared" si="0"/>
        <v>July</v>
      </c>
      <c r="Y15" t="str">
        <f t="shared" si="1"/>
        <v>Q3</v>
      </c>
      <c r="Z15" s="7">
        <f t="shared" si="2"/>
        <v>154.97</v>
      </c>
    </row>
    <row r="16" spans="1:26" x14ac:dyDescent="0.3">
      <c r="A16" s="2" t="s">
        <v>184</v>
      </c>
      <c r="B16" s="8" t="s">
        <v>185</v>
      </c>
      <c r="C16" s="2" t="s">
        <v>186</v>
      </c>
      <c r="D16" s="2" t="s">
        <v>187</v>
      </c>
      <c r="E16" s="2" t="s">
        <v>188</v>
      </c>
      <c r="F16" s="2" t="s">
        <v>189</v>
      </c>
      <c r="G16" s="2" t="s">
        <v>190</v>
      </c>
      <c r="H16" s="2" t="s">
        <v>161</v>
      </c>
      <c r="I16" s="2" t="s">
        <v>31</v>
      </c>
      <c r="J16" s="2" t="s">
        <v>191</v>
      </c>
      <c r="K16" s="2" t="s">
        <v>77</v>
      </c>
      <c r="L16" s="2">
        <v>1</v>
      </c>
      <c r="M16" s="3">
        <v>24.99</v>
      </c>
      <c r="N16" s="2" t="s">
        <v>152</v>
      </c>
      <c r="O16" s="3">
        <v>1.25</v>
      </c>
      <c r="P16" s="3">
        <v>9.99</v>
      </c>
      <c r="Q16" s="3">
        <v>2.14</v>
      </c>
      <c r="R16" s="3">
        <v>35.869999999999997</v>
      </c>
      <c r="S16" s="2" t="s">
        <v>79</v>
      </c>
      <c r="T16" s="2" t="s">
        <v>173</v>
      </c>
      <c r="U16" s="2" t="s">
        <v>66</v>
      </c>
      <c r="V16" s="2" t="s">
        <v>192</v>
      </c>
      <c r="W16" s="3">
        <v>0</v>
      </c>
      <c r="X16" t="str">
        <f t="shared" si="0"/>
        <v>July</v>
      </c>
      <c r="Y16" t="str">
        <f t="shared" si="1"/>
        <v>Q3</v>
      </c>
      <c r="Z16" s="7">
        <f t="shared" si="2"/>
        <v>23.74</v>
      </c>
    </row>
    <row r="17" spans="1:26" x14ac:dyDescent="0.3">
      <c r="A17" s="4" t="s">
        <v>193</v>
      </c>
      <c r="B17" s="9" t="s">
        <v>194</v>
      </c>
      <c r="C17" s="4" t="s">
        <v>195</v>
      </c>
      <c r="D17" s="4" t="s">
        <v>196</v>
      </c>
      <c r="E17" s="4" t="s">
        <v>197</v>
      </c>
      <c r="F17" s="4" t="s">
        <v>198</v>
      </c>
      <c r="G17" s="4" t="s">
        <v>180</v>
      </c>
      <c r="H17" s="4" t="s">
        <v>181</v>
      </c>
      <c r="I17" s="4" t="s">
        <v>31</v>
      </c>
      <c r="J17" s="4" t="s">
        <v>199</v>
      </c>
      <c r="K17" s="4" t="s">
        <v>122</v>
      </c>
      <c r="L17" s="4">
        <v>4</v>
      </c>
      <c r="M17" s="5">
        <v>172.96</v>
      </c>
      <c r="N17" s="4" t="s">
        <v>78</v>
      </c>
      <c r="O17" s="5">
        <v>17.3</v>
      </c>
      <c r="P17" s="5">
        <v>0</v>
      </c>
      <c r="Q17" s="5">
        <v>10.9</v>
      </c>
      <c r="R17" s="5">
        <v>166.56</v>
      </c>
      <c r="S17" s="4" t="s">
        <v>64</v>
      </c>
      <c r="T17" s="4" t="s">
        <v>99</v>
      </c>
      <c r="U17" s="4" t="s">
        <v>66</v>
      </c>
      <c r="V17" s="4" t="s">
        <v>200</v>
      </c>
      <c r="W17" s="5">
        <v>0</v>
      </c>
      <c r="X17" t="str">
        <f t="shared" si="0"/>
        <v>December</v>
      </c>
      <c r="Y17" t="str">
        <f t="shared" si="1"/>
        <v>Q4</v>
      </c>
      <c r="Z17" s="7">
        <f t="shared" si="2"/>
        <v>155.66</v>
      </c>
    </row>
    <row r="18" spans="1:26" x14ac:dyDescent="0.3">
      <c r="A18" s="2" t="s">
        <v>201</v>
      </c>
      <c r="B18" s="8" t="s">
        <v>202</v>
      </c>
      <c r="C18" s="2" t="s">
        <v>203</v>
      </c>
      <c r="D18" s="2" t="s">
        <v>204</v>
      </c>
      <c r="E18" s="2" t="s">
        <v>205</v>
      </c>
      <c r="F18" s="2" t="s">
        <v>206</v>
      </c>
      <c r="G18" s="2" t="s">
        <v>207</v>
      </c>
      <c r="H18" s="2" t="s">
        <v>141</v>
      </c>
      <c r="I18" s="2" t="s">
        <v>31</v>
      </c>
      <c r="J18" s="2" t="s">
        <v>208</v>
      </c>
      <c r="K18" s="2" t="s">
        <v>209</v>
      </c>
      <c r="L18" s="2">
        <v>5</v>
      </c>
      <c r="M18" s="3">
        <v>459.91</v>
      </c>
      <c r="N18" s="2" t="s">
        <v>34</v>
      </c>
      <c r="O18" s="3">
        <v>0</v>
      </c>
      <c r="P18" s="3">
        <v>0</v>
      </c>
      <c r="Q18" s="3">
        <v>39.090000000000003</v>
      </c>
      <c r="R18" s="3">
        <v>499</v>
      </c>
      <c r="S18" s="2" t="s">
        <v>111</v>
      </c>
      <c r="T18" s="2" t="s">
        <v>144</v>
      </c>
      <c r="U18" s="2" t="s">
        <v>37</v>
      </c>
      <c r="V18" s="2" t="s">
        <v>210</v>
      </c>
      <c r="W18" s="3">
        <v>499</v>
      </c>
      <c r="X18" t="str">
        <f t="shared" si="0"/>
        <v>August</v>
      </c>
      <c r="Y18" t="str">
        <f t="shared" si="1"/>
        <v>Q3</v>
      </c>
      <c r="Z18" s="7">
        <f t="shared" si="2"/>
        <v>459.91</v>
      </c>
    </row>
    <row r="19" spans="1:26" x14ac:dyDescent="0.3">
      <c r="A19" s="4" t="s">
        <v>211</v>
      </c>
      <c r="B19" s="9" t="s">
        <v>212</v>
      </c>
      <c r="C19" s="4" t="s">
        <v>213</v>
      </c>
      <c r="D19" s="4" t="s">
        <v>214</v>
      </c>
      <c r="E19" s="4" t="s">
        <v>215</v>
      </c>
      <c r="F19" s="4" t="s">
        <v>216</v>
      </c>
      <c r="G19" s="4" t="s">
        <v>87</v>
      </c>
      <c r="H19" s="4" t="s">
        <v>88</v>
      </c>
      <c r="I19" s="4" t="s">
        <v>31</v>
      </c>
      <c r="J19" s="4" t="s">
        <v>217</v>
      </c>
      <c r="K19" s="4" t="s">
        <v>110</v>
      </c>
      <c r="L19" s="4">
        <v>1</v>
      </c>
      <c r="M19" s="5">
        <v>22.99</v>
      </c>
      <c r="N19" s="4" t="s">
        <v>78</v>
      </c>
      <c r="O19" s="5">
        <v>2.2999999999999998</v>
      </c>
      <c r="P19" s="5">
        <v>5.99</v>
      </c>
      <c r="Q19" s="5">
        <v>2.0699999999999998</v>
      </c>
      <c r="R19" s="5">
        <v>28.75</v>
      </c>
      <c r="S19" s="4" t="s">
        <v>64</v>
      </c>
      <c r="T19" s="4" t="s">
        <v>99</v>
      </c>
      <c r="U19" s="4" t="s">
        <v>100</v>
      </c>
      <c r="V19" s="4"/>
      <c r="W19" s="5">
        <v>0</v>
      </c>
      <c r="X19" t="str">
        <f t="shared" si="0"/>
        <v>March</v>
      </c>
      <c r="Y19" t="str">
        <f t="shared" si="1"/>
        <v>Q1</v>
      </c>
      <c r="Z19" s="7">
        <f t="shared" si="2"/>
        <v>20.689999999999998</v>
      </c>
    </row>
    <row r="20" spans="1:26" x14ac:dyDescent="0.3">
      <c r="A20" s="2" t="s">
        <v>218</v>
      </c>
      <c r="B20" s="8" t="s">
        <v>219</v>
      </c>
      <c r="C20" s="2" t="s">
        <v>220</v>
      </c>
      <c r="D20" s="2" t="s">
        <v>221</v>
      </c>
      <c r="E20" s="2" t="s">
        <v>222</v>
      </c>
      <c r="F20" s="2" t="s">
        <v>223</v>
      </c>
      <c r="G20" s="2" t="s">
        <v>224</v>
      </c>
      <c r="H20" s="2" t="s">
        <v>225</v>
      </c>
      <c r="I20" s="2" t="s">
        <v>31</v>
      </c>
      <c r="J20" s="2" t="s">
        <v>226</v>
      </c>
      <c r="K20" s="2" t="s">
        <v>110</v>
      </c>
      <c r="L20" s="2">
        <v>3</v>
      </c>
      <c r="M20" s="3">
        <v>250.96</v>
      </c>
      <c r="N20" s="2" t="s">
        <v>34</v>
      </c>
      <c r="O20" s="3">
        <v>0</v>
      </c>
      <c r="P20" s="3">
        <v>0</v>
      </c>
      <c r="Q20" s="3">
        <v>15.06</v>
      </c>
      <c r="R20" s="3">
        <v>266.02</v>
      </c>
      <c r="S20" s="2" t="s">
        <v>35</v>
      </c>
      <c r="T20" s="2" t="s">
        <v>65</v>
      </c>
      <c r="U20" s="2" t="s">
        <v>66</v>
      </c>
      <c r="V20" s="2" t="s">
        <v>227</v>
      </c>
      <c r="W20" s="3">
        <v>0</v>
      </c>
      <c r="X20" t="str">
        <f t="shared" si="0"/>
        <v>May</v>
      </c>
      <c r="Y20" t="str">
        <f t="shared" si="1"/>
        <v>Q2</v>
      </c>
      <c r="Z20" s="7">
        <f t="shared" si="2"/>
        <v>250.96</v>
      </c>
    </row>
    <row r="21" spans="1:26" x14ac:dyDescent="0.3">
      <c r="A21" s="4" t="s">
        <v>228</v>
      </c>
      <c r="B21" s="9" t="s">
        <v>229</v>
      </c>
      <c r="C21" s="4" t="s">
        <v>230</v>
      </c>
      <c r="D21" s="4" t="s">
        <v>231</v>
      </c>
      <c r="E21" s="4" t="s">
        <v>232</v>
      </c>
      <c r="F21" s="4" t="s">
        <v>233</v>
      </c>
      <c r="G21" s="4" t="s">
        <v>140</v>
      </c>
      <c r="H21" s="4" t="s">
        <v>141</v>
      </c>
      <c r="I21" s="4" t="s">
        <v>31</v>
      </c>
      <c r="J21" s="4" t="s">
        <v>234</v>
      </c>
      <c r="K21" s="4" t="s">
        <v>62</v>
      </c>
      <c r="L21" s="4">
        <v>1</v>
      </c>
      <c r="M21" s="5">
        <v>49.98</v>
      </c>
      <c r="N21" s="4" t="s">
        <v>34</v>
      </c>
      <c r="O21" s="5">
        <v>0</v>
      </c>
      <c r="P21" s="5">
        <v>7.99</v>
      </c>
      <c r="Q21" s="5">
        <v>3.5</v>
      </c>
      <c r="R21" s="5">
        <v>61.47</v>
      </c>
      <c r="S21" s="4" t="s">
        <v>64</v>
      </c>
      <c r="T21" s="4" t="s">
        <v>36</v>
      </c>
      <c r="U21" s="4" t="s">
        <v>51</v>
      </c>
      <c r="V21" s="4" t="s">
        <v>235</v>
      </c>
      <c r="W21" s="5">
        <v>0</v>
      </c>
      <c r="X21" t="str">
        <f t="shared" si="0"/>
        <v>April</v>
      </c>
      <c r="Y21" t="str">
        <f t="shared" si="1"/>
        <v>Q2</v>
      </c>
      <c r="Z21" s="7">
        <f t="shared" si="2"/>
        <v>49.98</v>
      </c>
    </row>
    <row r="22" spans="1:26" x14ac:dyDescent="0.3">
      <c r="A22" s="2" t="s">
        <v>236</v>
      </c>
      <c r="B22" s="8" t="s">
        <v>237</v>
      </c>
      <c r="C22" s="2" t="s">
        <v>238</v>
      </c>
      <c r="D22" s="2" t="s">
        <v>239</v>
      </c>
      <c r="E22" s="2" t="s">
        <v>240</v>
      </c>
      <c r="F22" s="2" t="s">
        <v>241</v>
      </c>
      <c r="G22" s="2" t="s">
        <v>242</v>
      </c>
      <c r="H22" s="2" t="s">
        <v>243</v>
      </c>
      <c r="I22" s="2" t="s">
        <v>31</v>
      </c>
      <c r="J22" s="2" t="s">
        <v>244</v>
      </c>
      <c r="K22" s="2" t="s">
        <v>48</v>
      </c>
      <c r="L22" s="2">
        <v>4</v>
      </c>
      <c r="M22" s="3">
        <v>255.93</v>
      </c>
      <c r="N22" s="2" t="s">
        <v>34</v>
      </c>
      <c r="O22" s="3">
        <v>0</v>
      </c>
      <c r="P22" s="3">
        <v>0</v>
      </c>
      <c r="Q22" s="3">
        <v>21.75</v>
      </c>
      <c r="R22" s="3">
        <v>277.68</v>
      </c>
      <c r="S22" s="2" t="s">
        <v>111</v>
      </c>
      <c r="T22" s="2" t="s">
        <v>65</v>
      </c>
      <c r="U22" s="2" t="s">
        <v>66</v>
      </c>
      <c r="V22" s="2" t="s">
        <v>245</v>
      </c>
      <c r="W22" s="3">
        <v>0</v>
      </c>
      <c r="X22" t="str">
        <f t="shared" si="0"/>
        <v>October</v>
      </c>
      <c r="Y22" t="str">
        <f t="shared" si="1"/>
        <v>Q4</v>
      </c>
      <c r="Z22" s="7">
        <f t="shared" si="2"/>
        <v>255.93</v>
      </c>
    </row>
    <row r="23" spans="1:26" x14ac:dyDescent="0.3">
      <c r="A23" s="4" t="s">
        <v>246</v>
      </c>
      <c r="B23" s="9" t="s">
        <v>90</v>
      </c>
      <c r="C23" s="4" t="s">
        <v>247</v>
      </c>
      <c r="D23" s="4" t="s">
        <v>248</v>
      </c>
      <c r="E23" s="4" t="s">
        <v>249</v>
      </c>
      <c r="F23" s="4" t="s">
        <v>250</v>
      </c>
      <c r="G23" s="4" t="s">
        <v>251</v>
      </c>
      <c r="H23" s="4" t="s">
        <v>252</v>
      </c>
      <c r="I23" s="4" t="s">
        <v>31</v>
      </c>
      <c r="J23" s="4" t="s">
        <v>253</v>
      </c>
      <c r="K23" s="4" t="s">
        <v>209</v>
      </c>
      <c r="L23" s="4">
        <v>1</v>
      </c>
      <c r="M23" s="5">
        <v>89.97</v>
      </c>
      <c r="N23" s="4" t="s">
        <v>78</v>
      </c>
      <c r="O23" s="5">
        <v>9</v>
      </c>
      <c r="P23" s="5">
        <v>0</v>
      </c>
      <c r="Q23" s="5">
        <v>6.48</v>
      </c>
      <c r="R23" s="5">
        <v>87.45</v>
      </c>
      <c r="S23" s="4" t="s">
        <v>64</v>
      </c>
      <c r="T23" s="4" t="s">
        <v>99</v>
      </c>
      <c r="U23" s="4" t="s">
        <v>37</v>
      </c>
      <c r="V23" s="4" t="s">
        <v>254</v>
      </c>
      <c r="W23" s="5">
        <v>87.45</v>
      </c>
      <c r="X23" t="str">
        <f t="shared" si="0"/>
        <v>May</v>
      </c>
      <c r="Y23" t="str">
        <f t="shared" si="1"/>
        <v>Q2</v>
      </c>
      <c r="Z23" s="7">
        <f t="shared" si="2"/>
        <v>80.97</v>
      </c>
    </row>
    <row r="24" spans="1:26" x14ac:dyDescent="0.3">
      <c r="A24" s="2" t="s">
        <v>255</v>
      </c>
      <c r="B24" s="8" t="s">
        <v>256</v>
      </c>
      <c r="C24" s="2" t="s">
        <v>257</v>
      </c>
      <c r="D24" s="2" t="s">
        <v>258</v>
      </c>
      <c r="E24" s="2" t="s">
        <v>259</v>
      </c>
      <c r="F24" s="2" t="s">
        <v>260</v>
      </c>
      <c r="G24" s="2" t="s">
        <v>87</v>
      </c>
      <c r="H24" s="2" t="s">
        <v>88</v>
      </c>
      <c r="I24" s="2" t="s">
        <v>31</v>
      </c>
      <c r="J24" s="2" t="s">
        <v>47</v>
      </c>
      <c r="K24" s="2" t="s">
        <v>48</v>
      </c>
      <c r="L24" s="2">
        <v>1</v>
      </c>
      <c r="M24" s="3">
        <v>42.99</v>
      </c>
      <c r="N24" s="2" t="s">
        <v>152</v>
      </c>
      <c r="O24" s="3">
        <v>2.15</v>
      </c>
      <c r="P24" s="3">
        <v>4.99</v>
      </c>
      <c r="Q24" s="3">
        <v>3.47</v>
      </c>
      <c r="R24" s="3">
        <v>49.3</v>
      </c>
      <c r="S24" s="2" t="s">
        <v>111</v>
      </c>
      <c r="T24" s="2" t="s">
        <v>99</v>
      </c>
      <c r="U24" s="2" t="s">
        <v>66</v>
      </c>
      <c r="V24" s="2" t="s">
        <v>261</v>
      </c>
      <c r="W24" s="3">
        <v>0</v>
      </c>
      <c r="X24" t="str">
        <f t="shared" si="0"/>
        <v>June</v>
      </c>
      <c r="Y24" t="str">
        <f t="shared" si="1"/>
        <v>Q2</v>
      </c>
      <c r="Z24" s="7">
        <f t="shared" si="2"/>
        <v>40.840000000000003</v>
      </c>
    </row>
    <row r="25" spans="1:26" x14ac:dyDescent="0.3">
      <c r="A25" s="4" t="s">
        <v>262</v>
      </c>
      <c r="B25" s="9" t="s">
        <v>210</v>
      </c>
      <c r="C25" s="4" t="s">
        <v>263</v>
      </c>
      <c r="D25" s="4" t="s">
        <v>264</v>
      </c>
      <c r="E25" s="4" t="s">
        <v>265</v>
      </c>
      <c r="F25" s="4" t="s">
        <v>266</v>
      </c>
      <c r="G25" s="4" t="s">
        <v>119</v>
      </c>
      <c r="H25" s="4" t="s">
        <v>120</v>
      </c>
      <c r="I25" s="4" t="s">
        <v>31</v>
      </c>
      <c r="J25" s="4" t="s">
        <v>267</v>
      </c>
      <c r="K25" s="4" t="s">
        <v>62</v>
      </c>
      <c r="L25" s="4">
        <v>1</v>
      </c>
      <c r="M25" s="5">
        <v>54.99</v>
      </c>
      <c r="N25" s="4" t="s">
        <v>78</v>
      </c>
      <c r="O25" s="5">
        <v>5.5</v>
      </c>
      <c r="P25" s="5">
        <v>7.99</v>
      </c>
      <c r="Q25" s="5">
        <v>4.95</v>
      </c>
      <c r="R25" s="5">
        <v>62.43</v>
      </c>
      <c r="S25" s="4" t="s">
        <v>123</v>
      </c>
      <c r="T25" s="4" t="s">
        <v>173</v>
      </c>
      <c r="U25" s="4" t="s">
        <v>66</v>
      </c>
      <c r="V25" s="4" t="s">
        <v>268</v>
      </c>
      <c r="W25" s="5">
        <v>0</v>
      </c>
      <c r="X25" t="str">
        <f t="shared" si="0"/>
        <v>August</v>
      </c>
      <c r="Y25" t="str">
        <f t="shared" si="1"/>
        <v>Q3</v>
      </c>
      <c r="Z25" s="7">
        <f t="shared" si="2"/>
        <v>49.49</v>
      </c>
    </row>
    <row r="26" spans="1:26" x14ac:dyDescent="0.3">
      <c r="A26" s="2" t="s">
        <v>269</v>
      </c>
      <c r="B26" s="8" t="s">
        <v>270</v>
      </c>
      <c r="C26" s="2" t="s">
        <v>271</v>
      </c>
      <c r="D26" s="2" t="s">
        <v>272</v>
      </c>
      <c r="E26" s="2" t="s">
        <v>273</v>
      </c>
      <c r="F26" s="2" t="s">
        <v>274</v>
      </c>
      <c r="G26" s="2" t="s">
        <v>59</v>
      </c>
      <c r="H26" s="2" t="s">
        <v>60</v>
      </c>
      <c r="I26" s="2" t="s">
        <v>31</v>
      </c>
      <c r="J26" s="2" t="s">
        <v>275</v>
      </c>
      <c r="K26" s="2" t="s">
        <v>77</v>
      </c>
      <c r="L26" s="2">
        <v>3</v>
      </c>
      <c r="M26" s="3">
        <v>159.96</v>
      </c>
      <c r="N26" s="2" t="s">
        <v>163</v>
      </c>
      <c r="O26" s="3">
        <v>31.99</v>
      </c>
      <c r="P26" s="3">
        <v>0</v>
      </c>
      <c r="Q26" s="3">
        <v>10.88</v>
      </c>
      <c r="R26" s="3">
        <v>138.85</v>
      </c>
      <c r="S26" s="2" t="s">
        <v>64</v>
      </c>
      <c r="T26" s="2" t="s">
        <v>173</v>
      </c>
      <c r="U26" s="2" t="s">
        <v>66</v>
      </c>
      <c r="V26" s="2" t="s">
        <v>135</v>
      </c>
      <c r="W26" s="3">
        <v>0</v>
      </c>
      <c r="X26" t="str">
        <f t="shared" si="0"/>
        <v>July</v>
      </c>
      <c r="Y26" t="str">
        <f t="shared" si="1"/>
        <v>Q3</v>
      </c>
      <c r="Z26" s="7">
        <f t="shared" si="2"/>
        <v>127.97000000000001</v>
      </c>
    </row>
    <row r="27" spans="1:26" x14ac:dyDescent="0.3">
      <c r="A27" s="4" t="s">
        <v>276</v>
      </c>
      <c r="B27" s="9" t="s">
        <v>277</v>
      </c>
      <c r="C27" s="4" t="s">
        <v>278</v>
      </c>
      <c r="D27" s="4" t="s">
        <v>279</v>
      </c>
      <c r="E27" s="4" t="s">
        <v>280</v>
      </c>
      <c r="F27" s="4" t="s">
        <v>281</v>
      </c>
      <c r="G27" s="4" t="s">
        <v>282</v>
      </c>
      <c r="H27" s="4" t="s">
        <v>88</v>
      </c>
      <c r="I27" s="4" t="s">
        <v>31</v>
      </c>
      <c r="J27" s="4" t="s">
        <v>283</v>
      </c>
      <c r="K27" s="4" t="s">
        <v>209</v>
      </c>
      <c r="L27" s="4">
        <v>1</v>
      </c>
      <c r="M27" s="5">
        <v>49.99</v>
      </c>
      <c r="N27" s="4" t="s">
        <v>163</v>
      </c>
      <c r="O27" s="5">
        <v>10</v>
      </c>
      <c r="P27" s="5">
        <v>4.99</v>
      </c>
      <c r="Q27" s="5">
        <v>3.4</v>
      </c>
      <c r="R27" s="5">
        <v>48.38</v>
      </c>
      <c r="S27" s="4" t="s">
        <v>123</v>
      </c>
      <c r="T27" s="4" t="s">
        <v>36</v>
      </c>
      <c r="U27" s="4" t="s">
        <v>66</v>
      </c>
      <c r="V27" s="4" t="s">
        <v>284</v>
      </c>
      <c r="W27" s="5">
        <v>0</v>
      </c>
      <c r="X27" t="str">
        <f t="shared" si="0"/>
        <v>March</v>
      </c>
      <c r="Y27" t="str">
        <f t="shared" si="1"/>
        <v>Q1</v>
      </c>
      <c r="Z27" s="7">
        <f t="shared" si="2"/>
        <v>39.99</v>
      </c>
    </row>
    <row r="28" spans="1:26" x14ac:dyDescent="0.3">
      <c r="A28" s="2" t="s">
        <v>285</v>
      </c>
      <c r="B28" s="8" t="s">
        <v>286</v>
      </c>
      <c r="C28" s="2" t="s">
        <v>287</v>
      </c>
      <c r="D28" s="2" t="s">
        <v>288</v>
      </c>
      <c r="E28" s="2" t="s">
        <v>289</v>
      </c>
      <c r="F28" s="2" t="s">
        <v>290</v>
      </c>
      <c r="G28" s="2" t="s">
        <v>291</v>
      </c>
      <c r="H28" s="2" t="s">
        <v>292</v>
      </c>
      <c r="I28" s="2" t="s">
        <v>31</v>
      </c>
      <c r="J28" s="2" t="s">
        <v>293</v>
      </c>
      <c r="K28" s="2" t="s">
        <v>122</v>
      </c>
      <c r="L28" s="2">
        <v>1</v>
      </c>
      <c r="M28" s="3">
        <v>149.97999999999999</v>
      </c>
      <c r="N28" s="2" t="s">
        <v>63</v>
      </c>
      <c r="O28" s="3">
        <v>37.49</v>
      </c>
      <c r="P28" s="3">
        <v>0</v>
      </c>
      <c r="Q28" s="3">
        <v>9.56</v>
      </c>
      <c r="R28" s="3">
        <v>122.05</v>
      </c>
      <c r="S28" s="2" t="s">
        <v>35</v>
      </c>
      <c r="T28" s="2" t="s">
        <v>99</v>
      </c>
      <c r="U28" s="2" t="s">
        <v>66</v>
      </c>
      <c r="V28" s="2" t="s">
        <v>294</v>
      </c>
      <c r="W28" s="3">
        <v>0</v>
      </c>
      <c r="X28" t="str">
        <f t="shared" si="0"/>
        <v>October</v>
      </c>
      <c r="Y28" t="str">
        <f t="shared" si="1"/>
        <v>Q4</v>
      </c>
      <c r="Z28" s="7">
        <f t="shared" si="2"/>
        <v>112.48999999999998</v>
      </c>
    </row>
    <row r="29" spans="1:26" x14ac:dyDescent="0.3">
      <c r="A29" s="4" t="s">
        <v>295</v>
      </c>
      <c r="B29" s="9" t="s">
        <v>296</v>
      </c>
      <c r="C29" s="4" t="s">
        <v>297</v>
      </c>
      <c r="D29" s="4" t="s">
        <v>298</v>
      </c>
      <c r="E29" s="4" t="s">
        <v>299</v>
      </c>
      <c r="F29" s="4" t="s">
        <v>300</v>
      </c>
      <c r="G29" s="4" t="s">
        <v>59</v>
      </c>
      <c r="H29" s="4" t="s">
        <v>60</v>
      </c>
      <c r="I29" s="4" t="s">
        <v>31</v>
      </c>
      <c r="J29" s="4" t="s">
        <v>301</v>
      </c>
      <c r="K29" s="4" t="s">
        <v>62</v>
      </c>
      <c r="L29" s="4">
        <v>3</v>
      </c>
      <c r="M29" s="5">
        <v>179.95</v>
      </c>
      <c r="N29" s="4" t="s">
        <v>163</v>
      </c>
      <c r="O29" s="5">
        <v>35.99</v>
      </c>
      <c r="P29" s="5">
        <v>0</v>
      </c>
      <c r="Q29" s="5">
        <v>12.24</v>
      </c>
      <c r="R29" s="5">
        <v>156.19999999999999</v>
      </c>
      <c r="S29" s="4" t="s">
        <v>35</v>
      </c>
      <c r="T29" s="4" t="s">
        <v>99</v>
      </c>
      <c r="U29" s="4" t="s">
        <v>66</v>
      </c>
      <c r="V29" s="4" t="s">
        <v>210</v>
      </c>
      <c r="W29" s="5">
        <v>0</v>
      </c>
      <c r="X29" t="str">
        <f t="shared" si="0"/>
        <v>August</v>
      </c>
      <c r="Y29" t="str">
        <f t="shared" si="1"/>
        <v>Q3</v>
      </c>
      <c r="Z29" s="7">
        <f t="shared" si="2"/>
        <v>143.95999999999998</v>
      </c>
    </row>
    <row r="30" spans="1:26" x14ac:dyDescent="0.3">
      <c r="A30" s="2" t="s">
        <v>302</v>
      </c>
      <c r="B30" s="8" t="s">
        <v>303</v>
      </c>
      <c r="C30" s="2" t="s">
        <v>304</v>
      </c>
      <c r="D30" s="2" t="s">
        <v>305</v>
      </c>
      <c r="E30" s="2" t="s">
        <v>306</v>
      </c>
      <c r="F30" s="2" t="s">
        <v>307</v>
      </c>
      <c r="G30" s="2" t="s">
        <v>180</v>
      </c>
      <c r="H30" s="2" t="s">
        <v>181</v>
      </c>
      <c r="I30" s="2" t="s">
        <v>31</v>
      </c>
      <c r="J30" s="2" t="s">
        <v>308</v>
      </c>
      <c r="K30" s="2" t="s">
        <v>62</v>
      </c>
      <c r="L30" s="2">
        <v>1</v>
      </c>
      <c r="M30" s="3">
        <v>29.99</v>
      </c>
      <c r="N30" s="2" t="s">
        <v>34</v>
      </c>
      <c r="O30" s="3">
        <v>0</v>
      </c>
      <c r="P30" s="3">
        <v>5.99</v>
      </c>
      <c r="Q30" s="3">
        <v>2.1</v>
      </c>
      <c r="R30" s="3">
        <v>38.08</v>
      </c>
      <c r="S30" s="2" t="s">
        <v>123</v>
      </c>
      <c r="T30" s="2" t="s">
        <v>99</v>
      </c>
      <c r="U30" s="2" t="s">
        <v>66</v>
      </c>
      <c r="V30" s="2" t="s">
        <v>309</v>
      </c>
      <c r="W30" s="3">
        <v>0</v>
      </c>
      <c r="X30" t="str">
        <f t="shared" si="0"/>
        <v>April</v>
      </c>
      <c r="Y30" t="str">
        <f t="shared" si="1"/>
        <v>Q2</v>
      </c>
      <c r="Z30" s="7">
        <f t="shared" si="2"/>
        <v>29.99</v>
      </c>
    </row>
    <row r="31" spans="1:26" x14ac:dyDescent="0.3">
      <c r="A31" s="4" t="s">
        <v>310</v>
      </c>
      <c r="B31" s="9" t="s">
        <v>311</v>
      </c>
      <c r="C31" s="4" t="s">
        <v>312</v>
      </c>
      <c r="D31" s="4" t="s">
        <v>313</v>
      </c>
      <c r="E31" s="4" t="s">
        <v>314</v>
      </c>
      <c r="F31" s="4" t="s">
        <v>315</v>
      </c>
      <c r="G31" s="4" t="s">
        <v>119</v>
      </c>
      <c r="H31" s="4" t="s">
        <v>120</v>
      </c>
      <c r="I31" s="4" t="s">
        <v>31</v>
      </c>
      <c r="J31" s="4" t="s">
        <v>316</v>
      </c>
      <c r="K31" s="4" t="s">
        <v>48</v>
      </c>
      <c r="L31" s="4">
        <v>1</v>
      </c>
      <c r="M31" s="5">
        <v>34.99</v>
      </c>
      <c r="N31" s="4" t="s">
        <v>34</v>
      </c>
      <c r="O31" s="5">
        <v>0</v>
      </c>
      <c r="P31" s="5">
        <v>9.99</v>
      </c>
      <c r="Q31" s="5">
        <v>2.97</v>
      </c>
      <c r="R31" s="5">
        <v>47.95</v>
      </c>
      <c r="S31" s="4" t="s">
        <v>35</v>
      </c>
      <c r="T31" s="4" t="s">
        <v>99</v>
      </c>
      <c r="U31" s="4" t="s">
        <v>317</v>
      </c>
      <c r="V31" s="4"/>
      <c r="W31" s="5">
        <v>0</v>
      </c>
      <c r="X31" t="str">
        <f t="shared" si="0"/>
        <v>June</v>
      </c>
      <c r="Y31" t="str">
        <f t="shared" si="1"/>
        <v>Q2</v>
      </c>
      <c r="Z31" s="7">
        <f t="shared" si="2"/>
        <v>34.99</v>
      </c>
    </row>
    <row r="32" spans="1:26" x14ac:dyDescent="0.3">
      <c r="A32" s="2" t="s">
        <v>318</v>
      </c>
      <c r="B32" s="8" t="s">
        <v>175</v>
      </c>
      <c r="C32" s="2" t="s">
        <v>319</v>
      </c>
      <c r="D32" s="2" t="s">
        <v>320</v>
      </c>
      <c r="E32" s="2" t="s">
        <v>321</v>
      </c>
      <c r="F32" s="2" t="s">
        <v>322</v>
      </c>
      <c r="G32" s="2" t="s">
        <v>323</v>
      </c>
      <c r="H32" s="2" t="s">
        <v>324</v>
      </c>
      <c r="I32" s="2" t="s">
        <v>31</v>
      </c>
      <c r="J32" s="2" t="s">
        <v>191</v>
      </c>
      <c r="K32" s="2" t="s">
        <v>77</v>
      </c>
      <c r="L32" s="2">
        <v>1</v>
      </c>
      <c r="M32" s="3">
        <v>24.99</v>
      </c>
      <c r="N32" s="2" t="s">
        <v>49</v>
      </c>
      <c r="O32" s="3">
        <v>3.75</v>
      </c>
      <c r="P32" s="3">
        <v>5.99</v>
      </c>
      <c r="Q32" s="3">
        <v>1.81</v>
      </c>
      <c r="R32" s="3">
        <v>29.04</v>
      </c>
      <c r="S32" s="2" t="s">
        <v>79</v>
      </c>
      <c r="T32" s="2" t="s">
        <v>325</v>
      </c>
      <c r="U32" s="2" t="s">
        <v>37</v>
      </c>
      <c r="V32" s="2" t="s">
        <v>326</v>
      </c>
      <c r="W32" s="3">
        <v>29.04</v>
      </c>
      <c r="X32" t="str">
        <f t="shared" si="0"/>
        <v>July</v>
      </c>
      <c r="Y32" t="str">
        <f t="shared" si="1"/>
        <v>Q3</v>
      </c>
      <c r="Z32" s="7">
        <f t="shared" si="2"/>
        <v>21.24</v>
      </c>
    </row>
    <row r="33" spans="1:26" x14ac:dyDescent="0.3">
      <c r="A33" s="4" t="s">
        <v>327</v>
      </c>
      <c r="B33" s="9" t="s">
        <v>328</v>
      </c>
      <c r="C33" s="4" t="s">
        <v>329</v>
      </c>
      <c r="D33" s="4" t="s">
        <v>221</v>
      </c>
      <c r="E33" s="4" t="s">
        <v>330</v>
      </c>
      <c r="F33" s="4" t="s">
        <v>331</v>
      </c>
      <c r="G33" s="4" t="s">
        <v>140</v>
      </c>
      <c r="H33" s="4" t="s">
        <v>141</v>
      </c>
      <c r="I33" s="4" t="s">
        <v>31</v>
      </c>
      <c r="J33" s="4" t="s">
        <v>172</v>
      </c>
      <c r="K33" s="4" t="s">
        <v>122</v>
      </c>
      <c r="L33" s="4">
        <v>1</v>
      </c>
      <c r="M33" s="5">
        <v>69.989999999999995</v>
      </c>
      <c r="N33" s="4" t="s">
        <v>78</v>
      </c>
      <c r="O33" s="5">
        <v>7</v>
      </c>
      <c r="P33" s="5">
        <v>9.99</v>
      </c>
      <c r="Q33" s="5">
        <v>5.04</v>
      </c>
      <c r="R33" s="5">
        <v>78.02</v>
      </c>
      <c r="S33" s="4" t="s">
        <v>332</v>
      </c>
      <c r="T33" s="4" t="s">
        <v>183</v>
      </c>
      <c r="U33" s="4" t="s">
        <v>66</v>
      </c>
      <c r="V33" s="4" t="s">
        <v>333</v>
      </c>
      <c r="W33" s="5">
        <v>0</v>
      </c>
      <c r="X33" t="str">
        <f t="shared" si="0"/>
        <v>April</v>
      </c>
      <c r="Y33" t="str">
        <f t="shared" si="1"/>
        <v>Q2</v>
      </c>
      <c r="Z33" s="7">
        <f t="shared" si="2"/>
        <v>62.989999999999995</v>
      </c>
    </row>
    <row r="34" spans="1:26" x14ac:dyDescent="0.3">
      <c r="A34" s="2" t="s">
        <v>334</v>
      </c>
      <c r="B34" s="8" t="s">
        <v>335</v>
      </c>
      <c r="C34" s="2" t="s">
        <v>336</v>
      </c>
      <c r="D34" s="2" t="s">
        <v>337</v>
      </c>
      <c r="E34" s="2" t="s">
        <v>338</v>
      </c>
      <c r="F34" s="2" t="s">
        <v>339</v>
      </c>
      <c r="G34" s="2" t="s">
        <v>160</v>
      </c>
      <c r="H34" s="2" t="s">
        <v>161</v>
      </c>
      <c r="I34" s="2" t="s">
        <v>31</v>
      </c>
      <c r="J34" s="2" t="s">
        <v>340</v>
      </c>
      <c r="K34" s="2" t="s">
        <v>209</v>
      </c>
      <c r="L34" s="2">
        <v>1</v>
      </c>
      <c r="M34" s="3">
        <v>269.97000000000003</v>
      </c>
      <c r="N34" s="2" t="s">
        <v>34</v>
      </c>
      <c r="O34" s="3">
        <v>0</v>
      </c>
      <c r="P34" s="3">
        <v>0</v>
      </c>
      <c r="Q34" s="3">
        <v>16.2</v>
      </c>
      <c r="R34" s="3">
        <v>286.17</v>
      </c>
      <c r="S34" s="2" t="s">
        <v>64</v>
      </c>
      <c r="T34" s="2" t="s">
        <v>99</v>
      </c>
      <c r="U34" s="2" t="s">
        <v>100</v>
      </c>
      <c r="V34" s="2"/>
      <c r="W34" s="3">
        <v>0</v>
      </c>
      <c r="X34" t="str">
        <f t="shared" si="0"/>
        <v>September</v>
      </c>
      <c r="Y34" t="str">
        <f t="shared" si="1"/>
        <v>Q3</v>
      </c>
      <c r="Z34" s="7">
        <f t="shared" si="2"/>
        <v>269.97000000000003</v>
      </c>
    </row>
    <row r="35" spans="1:26" x14ac:dyDescent="0.3">
      <c r="A35" s="4" t="s">
        <v>341</v>
      </c>
      <c r="B35" s="9" t="s">
        <v>342</v>
      </c>
      <c r="C35" s="4" t="s">
        <v>343</v>
      </c>
      <c r="D35" s="4" t="s">
        <v>344</v>
      </c>
      <c r="E35" s="4" t="s">
        <v>345</v>
      </c>
      <c r="F35" s="4" t="s">
        <v>346</v>
      </c>
      <c r="G35" s="4" t="s">
        <v>347</v>
      </c>
      <c r="H35" s="4" t="s">
        <v>60</v>
      </c>
      <c r="I35" s="4" t="s">
        <v>31</v>
      </c>
      <c r="J35" s="4" t="s">
        <v>348</v>
      </c>
      <c r="K35" s="4" t="s">
        <v>33</v>
      </c>
      <c r="L35" s="4">
        <v>5</v>
      </c>
      <c r="M35" s="5">
        <v>271.93</v>
      </c>
      <c r="N35" s="4" t="s">
        <v>49</v>
      </c>
      <c r="O35" s="5">
        <v>40.79</v>
      </c>
      <c r="P35" s="5">
        <v>0</v>
      </c>
      <c r="Q35" s="5">
        <v>19.649999999999999</v>
      </c>
      <c r="R35" s="5">
        <v>250.79</v>
      </c>
      <c r="S35" s="4" t="s">
        <v>79</v>
      </c>
      <c r="T35" s="4" t="s">
        <v>99</v>
      </c>
      <c r="U35" s="4" t="s">
        <v>66</v>
      </c>
      <c r="V35" s="4" t="s">
        <v>349</v>
      </c>
      <c r="W35" s="5">
        <v>0</v>
      </c>
      <c r="X35" t="str">
        <f t="shared" si="0"/>
        <v>August</v>
      </c>
      <c r="Y35" t="str">
        <f t="shared" si="1"/>
        <v>Q3</v>
      </c>
      <c r="Z35" s="7">
        <f t="shared" si="2"/>
        <v>231.14000000000001</v>
      </c>
    </row>
    <row r="36" spans="1:26" x14ac:dyDescent="0.3">
      <c r="A36" s="2" t="s">
        <v>350</v>
      </c>
      <c r="B36" s="8" t="s">
        <v>351</v>
      </c>
      <c r="C36" s="2" t="s">
        <v>352</v>
      </c>
      <c r="D36" s="2" t="s">
        <v>353</v>
      </c>
      <c r="E36" s="2" t="s">
        <v>354</v>
      </c>
      <c r="F36" s="2" t="s">
        <v>355</v>
      </c>
      <c r="G36" s="2" t="s">
        <v>242</v>
      </c>
      <c r="H36" s="2" t="s">
        <v>243</v>
      </c>
      <c r="I36" s="2" t="s">
        <v>31</v>
      </c>
      <c r="J36" s="2" t="s">
        <v>356</v>
      </c>
      <c r="K36" s="2" t="s">
        <v>209</v>
      </c>
      <c r="L36" s="2">
        <v>2</v>
      </c>
      <c r="M36" s="3">
        <v>109.98</v>
      </c>
      <c r="N36" s="2" t="s">
        <v>49</v>
      </c>
      <c r="O36" s="3">
        <v>16.5</v>
      </c>
      <c r="P36" s="3">
        <v>0</v>
      </c>
      <c r="Q36" s="3">
        <v>7.95</v>
      </c>
      <c r="R36" s="3">
        <v>101.43</v>
      </c>
      <c r="S36" s="2" t="s">
        <v>35</v>
      </c>
      <c r="T36" s="2" t="s">
        <v>50</v>
      </c>
      <c r="U36" s="2" t="s">
        <v>100</v>
      </c>
      <c r="V36" s="2"/>
      <c r="W36" s="3">
        <v>0</v>
      </c>
      <c r="X36" t="str">
        <f t="shared" si="0"/>
        <v>June</v>
      </c>
      <c r="Y36" t="str">
        <f t="shared" si="1"/>
        <v>Q2</v>
      </c>
      <c r="Z36" s="7">
        <f t="shared" si="2"/>
        <v>93.48</v>
      </c>
    </row>
    <row r="37" spans="1:26" x14ac:dyDescent="0.3">
      <c r="A37" s="4" t="s">
        <v>357</v>
      </c>
      <c r="B37" s="9" t="s">
        <v>358</v>
      </c>
      <c r="C37" s="4" t="s">
        <v>359</v>
      </c>
      <c r="D37" s="4" t="s">
        <v>360</v>
      </c>
      <c r="E37" s="4" t="s">
        <v>361</v>
      </c>
      <c r="F37" s="4" t="s">
        <v>362</v>
      </c>
      <c r="G37" s="4" t="s">
        <v>107</v>
      </c>
      <c r="H37" s="4" t="s">
        <v>108</v>
      </c>
      <c r="I37" s="4" t="s">
        <v>31</v>
      </c>
      <c r="J37" s="4" t="s">
        <v>363</v>
      </c>
      <c r="K37" s="4" t="s">
        <v>364</v>
      </c>
      <c r="L37" s="4">
        <v>2</v>
      </c>
      <c r="M37" s="5">
        <v>104.97</v>
      </c>
      <c r="N37" s="4" t="s">
        <v>34</v>
      </c>
      <c r="O37" s="5">
        <v>0</v>
      </c>
      <c r="P37" s="5">
        <v>0</v>
      </c>
      <c r="Q37" s="5">
        <v>6.3</v>
      </c>
      <c r="R37" s="5">
        <v>111.27</v>
      </c>
      <c r="S37" s="4" t="s">
        <v>35</v>
      </c>
      <c r="T37" s="4" t="s">
        <v>173</v>
      </c>
      <c r="U37" s="4" t="s">
        <v>100</v>
      </c>
      <c r="V37" s="4"/>
      <c r="W37" s="5">
        <v>0</v>
      </c>
      <c r="X37" t="str">
        <f t="shared" si="0"/>
        <v>October</v>
      </c>
      <c r="Y37" t="str">
        <f t="shared" si="1"/>
        <v>Q4</v>
      </c>
      <c r="Z37" s="7">
        <f t="shared" si="2"/>
        <v>104.97</v>
      </c>
    </row>
    <row r="38" spans="1:26" x14ac:dyDescent="0.3">
      <c r="A38" s="2" t="s">
        <v>365</v>
      </c>
      <c r="B38" s="8" t="s">
        <v>366</v>
      </c>
      <c r="C38" s="2" t="s">
        <v>367</v>
      </c>
      <c r="D38" s="2" t="s">
        <v>368</v>
      </c>
      <c r="E38" s="2" t="s">
        <v>369</v>
      </c>
      <c r="F38" s="2" t="s">
        <v>370</v>
      </c>
      <c r="G38" s="2" t="s">
        <v>323</v>
      </c>
      <c r="H38" s="2" t="s">
        <v>324</v>
      </c>
      <c r="I38" s="2" t="s">
        <v>31</v>
      </c>
      <c r="J38" s="2" t="s">
        <v>371</v>
      </c>
      <c r="K38" s="2" t="s">
        <v>122</v>
      </c>
      <c r="L38" s="2">
        <v>1</v>
      </c>
      <c r="M38" s="3">
        <v>109.99</v>
      </c>
      <c r="N38" s="2" t="s">
        <v>152</v>
      </c>
      <c r="O38" s="3">
        <v>5.5</v>
      </c>
      <c r="P38" s="3">
        <v>0</v>
      </c>
      <c r="Q38" s="3">
        <v>10.45</v>
      </c>
      <c r="R38" s="3">
        <v>114.94</v>
      </c>
      <c r="S38" s="2" t="s">
        <v>111</v>
      </c>
      <c r="T38" s="2" t="s">
        <v>36</v>
      </c>
      <c r="U38" s="2" t="s">
        <v>37</v>
      </c>
      <c r="V38" s="2" t="s">
        <v>372</v>
      </c>
      <c r="W38" s="3">
        <v>114.94</v>
      </c>
      <c r="X38" t="str">
        <f t="shared" si="0"/>
        <v>March</v>
      </c>
      <c r="Y38" t="str">
        <f t="shared" si="1"/>
        <v>Q1</v>
      </c>
      <c r="Z38" s="7">
        <f t="shared" si="2"/>
        <v>104.49</v>
      </c>
    </row>
    <row r="39" spans="1:26" x14ac:dyDescent="0.3">
      <c r="A39" s="4" t="s">
        <v>373</v>
      </c>
      <c r="B39" s="9" t="s">
        <v>374</v>
      </c>
      <c r="C39" s="4" t="s">
        <v>375</v>
      </c>
      <c r="D39" s="4" t="s">
        <v>376</v>
      </c>
      <c r="E39" s="4" t="s">
        <v>377</v>
      </c>
      <c r="F39" s="4" t="s">
        <v>378</v>
      </c>
      <c r="G39" s="4" t="s">
        <v>347</v>
      </c>
      <c r="H39" s="4" t="s">
        <v>60</v>
      </c>
      <c r="I39" s="4" t="s">
        <v>31</v>
      </c>
      <c r="J39" s="4" t="s">
        <v>379</v>
      </c>
      <c r="K39" s="4" t="s">
        <v>209</v>
      </c>
      <c r="L39" s="4">
        <v>1</v>
      </c>
      <c r="M39" s="5">
        <v>89.99</v>
      </c>
      <c r="N39" s="4" t="s">
        <v>34</v>
      </c>
      <c r="O39" s="5">
        <v>0</v>
      </c>
      <c r="P39" s="5">
        <v>0</v>
      </c>
      <c r="Q39" s="5">
        <v>7.65</v>
      </c>
      <c r="R39" s="5">
        <v>97.64</v>
      </c>
      <c r="S39" s="4" t="s">
        <v>64</v>
      </c>
      <c r="T39" s="4" t="s">
        <v>99</v>
      </c>
      <c r="U39" s="4" t="s">
        <v>51</v>
      </c>
      <c r="V39" s="4" t="s">
        <v>380</v>
      </c>
      <c r="W39" s="5">
        <v>0</v>
      </c>
      <c r="X39" t="str">
        <f t="shared" si="0"/>
        <v>July</v>
      </c>
      <c r="Y39" t="str">
        <f t="shared" si="1"/>
        <v>Q3</v>
      </c>
      <c r="Z39" s="7">
        <f t="shared" si="2"/>
        <v>89.99</v>
      </c>
    </row>
    <row r="40" spans="1:26" x14ac:dyDescent="0.3">
      <c r="A40" s="2" t="s">
        <v>381</v>
      </c>
      <c r="B40" s="8" t="s">
        <v>382</v>
      </c>
      <c r="C40" s="2" t="s">
        <v>383</v>
      </c>
      <c r="D40" s="2" t="s">
        <v>384</v>
      </c>
      <c r="E40" s="2" t="s">
        <v>385</v>
      </c>
      <c r="F40" s="2" t="s">
        <v>386</v>
      </c>
      <c r="G40" s="2" t="s">
        <v>131</v>
      </c>
      <c r="H40" s="2" t="s">
        <v>88</v>
      </c>
      <c r="I40" s="2" t="s">
        <v>31</v>
      </c>
      <c r="J40" s="2" t="s">
        <v>387</v>
      </c>
      <c r="K40" s="2" t="s">
        <v>33</v>
      </c>
      <c r="L40" s="2">
        <v>1</v>
      </c>
      <c r="M40" s="3">
        <v>35.99</v>
      </c>
      <c r="N40" s="2" t="s">
        <v>34</v>
      </c>
      <c r="O40" s="3">
        <v>0</v>
      </c>
      <c r="P40" s="3">
        <v>5.99</v>
      </c>
      <c r="Q40" s="3">
        <v>2.52</v>
      </c>
      <c r="R40" s="3">
        <v>44.5</v>
      </c>
      <c r="S40" s="2" t="s">
        <v>35</v>
      </c>
      <c r="T40" s="2" t="s">
        <v>173</v>
      </c>
      <c r="U40" s="2" t="s">
        <v>37</v>
      </c>
      <c r="V40" s="2" t="s">
        <v>333</v>
      </c>
      <c r="W40" s="3">
        <v>44.5</v>
      </c>
      <c r="X40" t="str">
        <f t="shared" si="0"/>
        <v>April</v>
      </c>
      <c r="Y40" t="str">
        <f t="shared" si="1"/>
        <v>Q2</v>
      </c>
      <c r="Z40" s="7">
        <f t="shared" si="2"/>
        <v>35.99</v>
      </c>
    </row>
    <row r="41" spans="1:26" x14ac:dyDescent="0.3">
      <c r="A41" s="4" t="s">
        <v>388</v>
      </c>
      <c r="B41" s="9" t="s">
        <v>389</v>
      </c>
      <c r="C41" s="4" t="s">
        <v>390</v>
      </c>
      <c r="D41" s="4" t="s">
        <v>391</v>
      </c>
      <c r="E41" s="4" t="s">
        <v>392</v>
      </c>
      <c r="F41" s="4" t="s">
        <v>393</v>
      </c>
      <c r="G41" s="4" t="s">
        <v>394</v>
      </c>
      <c r="H41" s="4" t="s">
        <v>395</v>
      </c>
      <c r="I41" s="4" t="s">
        <v>31</v>
      </c>
      <c r="J41" s="4" t="s">
        <v>396</v>
      </c>
      <c r="K41" s="4" t="s">
        <v>122</v>
      </c>
      <c r="L41" s="4">
        <v>2</v>
      </c>
      <c r="M41" s="5">
        <v>379.96</v>
      </c>
      <c r="N41" s="4" t="s">
        <v>34</v>
      </c>
      <c r="O41" s="5">
        <v>0</v>
      </c>
      <c r="P41" s="5">
        <v>0</v>
      </c>
      <c r="Q41" s="5">
        <v>38</v>
      </c>
      <c r="R41" s="5">
        <v>417.96</v>
      </c>
      <c r="S41" s="4" t="s">
        <v>111</v>
      </c>
      <c r="T41" s="4" t="s">
        <v>173</v>
      </c>
      <c r="U41" s="4" t="s">
        <v>66</v>
      </c>
      <c r="V41" s="4" t="s">
        <v>397</v>
      </c>
      <c r="W41" s="5">
        <v>0</v>
      </c>
      <c r="X41" t="str">
        <f t="shared" si="0"/>
        <v>October</v>
      </c>
      <c r="Y41" t="str">
        <f t="shared" si="1"/>
        <v>Q4</v>
      </c>
      <c r="Z41" s="7">
        <f t="shared" si="2"/>
        <v>379.96</v>
      </c>
    </row>
    <row r="42" spans="1:26" x14ac:dyDescent="0.3">
      <c r="A42" s="2" t="s">
        <v>398</v>
      </c>
      <c r="B42" s="8" t="s">
        <v>166</v>
      </c>
      <c r="C42" s="2" t="s">
        <v>399</v>
      </c>
      <c r="D42" s="2" t="s">
        <v>400</v>
      </c>
      <c r="E42" s="2" t="s">
        <v>401</v>
      </c>
      <c r="F42" s="2" t="s">
        <v>402</v>
      </c>
      <c r="G42" s="2" t="s">
        <v>403</v>
      </c>
      <c r="H42" s="2" t="s">
        <v>404</v>
      </c>
      <c r="I42" s="2" t="s">
        <v>31</v>
      </c>
      <c r="J42" s="2" t="s">
        <v>405</v>
      </c>
      <c r="K42" s="2" t="s">
        <v>48</v>
      </c>
      <c r="L42" s="2">
        <v>2</v>
      </c>
      <c r="M42" s="3">
        <v>94.98</v>
      </c>
      <c r="N42" s="2" t="s">
        <v>34</v>
      </c>
      <c r="O42" s="3">
        <v>0</v>
      </c>
      <c r="P42" s="3">
        <v>0</v>
      </c>
      <c r="Q42" s="3">
        <v>6.65</v>
      </c>
      <c r="R42" s="3">
        <v>101.63</v>
      </c>
      <c r="S42" s="2" t="s">
        <v>35</v>
      </c>
      <c r="T42" s="2" t="s">
        <v>36</v>
      </c>
      <c r="U42" s="2" t="s">
        <v>66</v>
      </c>
      <c r="V42" s="2" t="s">
        <v>406</v>
      </c>
      <c r="W42" s="3">
        <v>0</v>
      </c>
      <c r="X42" t="str">
        <f t="shared" si="0"/>
        <v>November</v>
      </c>
      <c r="Y42" t="str">
        <f t="shared" si="1"/>
        <v>Q4</v>
      </c>
      <c r="Z42" s="7">
        <f t="shared" si="2"/>
        <v>94.98</v>
      </c>
    </row>
    <row r="43" spans="1:26" x14ac:dyDescent="0.3">
      <c r="A43" s="4" t="s">
        <v>407</v>
      </c>
      <c r="B43" s="9" t="s">
        <v>408</v>
      </c>
      <c r="C43" s="4" t="s">
        <v>409</v>
      </c>
      <c r="D43" s="4" t="s">
        <v>410</v>
      </c>
      <c r="E43" s="4" t="s">
        <v>411</v>
      </c>
      <c r="F43" s="4" t="s">
        <v>412</v>
      </c>
      <c r="G43" s="4" t="s">
        <v>242</v>
      </c>
      <c r="H43" s="4" t="s">
        <v>243</v>
      </c>
      <c r="I43" s="4" t="s">
        <v>31</v>
      </c>
      <c r="J43" s="4" t="s">
        <v>61</v>
      </c>
      <c r="K43" s="4" t="s">
        <v>62</v>
      </c>
      <c r="L43" s="4">
        <v>1</v>
      </c>
      <c r="M43" s="5">
        <v>24.99</v>
      </c>
      <c r="N43" s="4" t="s">
        <v>152</v>
      </c>
      <c r="O43" s="5">
        <v>1.25</v>
      </c>
      <c r="P43" s="5">
        <v>9.99</v>
      </c>
      <c r="Q43" s="5">
        <v>1.9</v>
      </c>
      <c r="R43" s="5">
        <v>35.630000000000003</v>
      </c>
      <c r="S43" s="4" t="s">
        <v>64</v>
      </c>
      <c r="T43" s="4" t="s">
        <v>99</v>
      </c>
      <c r="U43" s="4" t="s">
        <v>66</v>
      </c>
      <c r="V43" s="4" t="s">
        <v>413</v>
      </c>
      <c r="W43" s="5">
        <v>0</v>
      </c>
      <c r="X43" t="str">
        <f t="shared" si="0"/>
        <v>July</v>
      </c>
      <c r="Y43" t="str">
        <f t="shared" si="1"/>
        <v>Q3</v>
      </c>
      <c r="Z43" s="7">
        <f t="shared" si="2"/>
        <v>23.74</v>
      </c>
    </row>
    <row r="44" spans="1:26" x14ac:dyDescent="0.3">
      <c r="A44" s="2" t="s">
        <v>414</v>
      </c>
      <c r="B44" s="8" t="s">
        <v>415</v>
      </c>
      <c r="C44" s="2" t="s">
        <v>416</v>
      </c>
      <c r="D44" s="2" t="s">
        <v>417</v>
      </c>
      <c r="E44" s="2" t="s">
        <v>418</v>
      </c>
      <c r="F44" s="2" t="s">
        <v>419</v>
      </c>
      <c r="G44" s="2" t="s">
        <v>160</v>
      </c>
      <c r="H44" s="2" t="s">
        <v>161</v>
      </c>
      <c r="I44" s="2" t="s">
        <v>31</v>
      </c>
      <c r="J44" s="2" t="s">
        <v>420</v>
      </c>
      <c r="K44" s="2" t="s">
        <v>110</v>
      </c>
      <c r="L44" s="2">
        <v>2</v>
      </c>
      <c r="M44" s="3">
        <v>152.97999999999999</v>
      </c>
      <c r="N44" s="2" t="s">
        <v>78</v>
      </c>
      <c r="O44" s="3">
        <v>15.3</v>
      </c>
      <c r="P44" s="3">
        <v>0</v>
      </c>
      <c r="Q44" s="3">
        <v>13.77</v>
      </c>
      <c r="R44" s="3">
        <v>151.44999999999999</v>
      </c>
      <c r="S44" s="2" t="s">
        <v>111</v>
      </c>
      <c r="T44" s="2" t="s">
        <v>99</v>
      </c>
      <c r="U44" s="2" t="s">
        <v>66</v>
      </c>
      <c r="V44" s="2" t="s">
        <v>421</v>
      </c>
      <c r="W44" s="3">
        <v>0</v>
      </c>
      <c r="X44" t="str">
        <f t="shared" si="0"/>
        <v>June</v>
      </c>
      <c r="Y44" t="str">
        <f t="shared" si="1"/>
        <v>Q2</v>
      </c>
      <c r="Z44" s="7">
        <f t="shared" si="2"/>
        <v>137.67999999999998</v>
      </c>
    </row>
    <row r="45" spans="1:26" x14ac:dyDescent="0.3">
      <c r="A45" s="4" t="s">
        <v>422</v>
      </c>
      <c r="B45" s="9" t="s">
        <v>423</v>
      </c>
      <c r="C45" s="4" t="s">
        <v>424</v>
      </c>
      <c r="D45" s="4" t="s">
        <v>425</v>
      </c>
      <c r="E45" s="4" t="s">
        <v>426</v>
      </c>
      <c r="F45" s="4" t="s">
        <v>427</v>
      </c>
      <c r="G45" s="4" t="s">
        <v>428</v>
      </c>
      <c r="H45" s="4" t="s">
        <v>429</v>
      </c>
      <c r="I45" s="4" t="s">
        <v>31</v>
      </c>
      <c r="J45" s="4" t="s">
        <v>283</v>
      </c>
      <c r="K45" s="4" t="s">
        <v>209</v>
      </c>
      <c r="L45" s="4">
        <v>1</v>
      </c>
      <c r="M45" s="5">
        <v>49.99</v>
      </c>
      <c r="N45" s="4" t="s">
        <v>78</v>
      </c>
      <c r="O45" s="5">
        <v>5</v>
      </c>
      <c r="P45" s="5">
        <v>7.99</v>
      </c>
      <c r="Q45" s="5">
        <v>3.82</v>
      </c>
      <c r="R45" s="5">
        <v>56.8</v>
      </c>
      <c r="S45" s="4" t="s">
        <v>35</v>
      </c>
      <c r="T45" s="4" t="s">
        <v>144</v>
      </c>
      <c r="U45" s="4" t="s">
        <v>317</v>
      </c>
      <c r="V45" s="4"/>
      <c r="W45" s="5">
        <v>0</v>
      </c>
      <c r="X45" t="str">
        <f t="shared" si="0"/>
        <v>November</v>
      </c>
      <c r="Y45" t="str">
        <f t="shared" si="1"/>
        <v>Q4</v>
      </c>
      <c r="Z45" s="7">
        <f t="shared" si="2"/>
        <v>44.99</v>
      </c>
    </row>
    <row r="46" spans="1:26" x14ac:dyDescent="0.3">
      <c r="A46" s="2" t="s">
        <v>430</v>
      </c>
      <c r="B46" s="8" t="s">
        <v>431</v>
      </c>
      <c r="C46" s="2" t="s">
        <v>432</v>
      </c>
      <c r="D46" s="2" t="s">
        <v>433</v>
      </c>
      <c r="E46" s="2" t="s">
        <v>434</v>
      </c>
      <c r="F46" s="2" t="s">
        <v>435</v>
      </c>
      <c r="G46" s="2" t="s">
        <v>180</v>
      </c>
      <c r="H46" s="2" t="s">
        <v>181</v>
      </c>
      <c r="I46" s="2" t="s">
        <v>31</v>
      </c>
      <c r="J46" s="2" t="s">
        <v>436</v>
      </c>
      <c r="K46" s="2" t="s">
        <v>110</v>
      </c>
      <c r="L46" s="2">
        <v>3</v>
      </c>
      <c r="M46" s="3">
        <v>532.94000000000005</v>
      </c>
      <c r="N46" s="2" t="s">
        <v>152</v>
      </c>
      <c r="O46" s="3">
        <v>26.65</v>
      </c>
      <c r="P46" s="3">
        <v>0</v>
      </c>
      <c r="Q46" s="3">
        <v>45.57</v>
      </c>
      <c r="R46" s="3">
        <v>551.86</v>
      </c>
      <c r="S46" s="2" t="s">
        <v>437</v>
      </c>
      <c r="T46" s="2" t="s">
        <v>325</v>
      </c>
      <c r="U46" s="2" t="s">
        <v>66</v>
      </c>
      <c r="V46" s="2" t="s">
        <v>261</v>
      </c>
      <c r="W46" s="3">
        <v>0</v>
      </c>
      <c r="X46" t="str">
        <f t="shared" si="0"/>
        <v>June</v>
      </c>
      <c r="Y46" t="str">
        <f t="shared" si="1"/>
        <v>Q2</v>
      </c>
      <c r="Z46" s="7">
        <f t="shared" si="2"/>
        <v>506.29000000000008</v>
      </c>
    </row>
    <row r="47" spans="1:26" x14ac:dyDescent="0.3">
      <c r="A47" s="4" t="s">
        <v>438</v>
      </c>
      <c r="B47" s="9" t="s">
        <v>439</v>
      </c>
      <c r="C47" s="4" t="s">
        <v>440</v>
      </c>
      <c r="D47" s="4" t="s">
        <v>441</v>
      </c>
      <c r="E47" s="4" t="s">
        <v>442</v>
      </c>
      <c r="F47" s="4" t="s">
        <v>443</v>
      </c>
      <c r="G47" s="4" t="s">
        <v>107</v>
      </c>
      <c r="H47" s="4" t="s">
        <v>108</v>
      </c>
      <c r="I47" s="4" t="s">
        <v>31</v>
      </c>
      <c r="J47" s="4" t="s">
        <v>444</v>
      </c>
      <c r="K47" s="4" t="s">
        <v>48</v>
      </c>
      <c r="L47" s="4">
        <v>1</v>
      </c>
      <c r="M47" s="5">
        <v>64.989999999999995</v>
      </c>
      <c r="N47" s="4" t="s">
        <v>34</v>
      </c>
      <c r="O47" s="5">
        <v>0</v>
      </c>
      <c r="P47" s="5">
        <v>9.99</v>
      </c>
      <c r="Q47" s="5">
        <v>5.2</v>
      </c>
      <c r="R47" s="5">
        <v>80.180000000000007</v>
      </c>
      <c r="S47" s="4" t="s">
        <v>123</v>
      </c>
      <c r="T47" s="4" t="s">
        <v>99</v>
      </c>
      <c r="U47" s="4" t="s">
        <v>66</v>
      </c>
      <c r="V47" s="4" t="s">
        <v>445</v>
      </c>
      <c r="W47" s="5">
        <v>0</v>
      </c>
      <c r="X47" t="str">
        <f t="shared" si="0"/>
        <v>August</v>
      </c>
      <c r="Y47" t="str">
        <f t="shared" si="1"/>
        <v>Q3</v>
      </c>
      <c r="Z47" s="7">
        <f t="shared" si="2"/>
        <v>64.989999999999995</v>
      </c>
    </row>
    <row r="48" spans="1:26" x14ac:dyDescent="0.3">
      <c r="A48" s="2" t="s">
        <v>446</v>
      </c>
      <c r="B48" s="8" t="s">
        <v>447</v>
      </c>
      <c r="C48" s="2" t="s">
        <v>448</v>
      </c>
      <c r="D48" s="2" t="s">
        <v>449</v>
      </c>
      <c r="E48" s="2" t="s">
        <v>450</v>
      </c>
      <c r="F48" s="2" t="s">
        <v>451</v>
      </c>
      <c r="G48" s="2" t="s">
        <v>224</v>
      </c>
      <c r="H48" s="2" t="s">
        <v>225</v>
      </c>
      <c r="I48" s="2" t="s">
        <v>31</v>
      </c>
      <c r="J48" s="2" t="s">
        <v>452</v>
      </c>
      <c r="K48" s="2" t="s">
        <v>209</v>
      </c>
      <c r="L48" s="2">
        <v>1</v>
      </c>
      <c r="M48" s="3">
        <v>119.97</v>
      </c>
      <c r="N48" s="2" t="s">
        <v>49</v>
      </c>
      <c r="O48" s="3">
        <v>18</v>
      </c>
      <c r="P48" s="3">
        <v>0</v>
      </c>
      <c r="Q48" s="3">
        <v>9.18</v>
      </c>
      <c r="R48" s="3">
        <v>111.15</v>
      </c>
      <c r="S48" s="2" t="s">
        <v>332</v>
      </c>
      <c r="T48" s="2" t="s">
        <v>99</v>
      </c>
      <c r="U48" s="2" t="s">
        <v>37</v>
      </c>
      <c r="V48" s="2" t="s">
        <v>453</v>
      </c>
      <c r="W48" s="3">
        <v>111.15</v>
      </c>
      <c r="X48" t="str">
        <f t="shared" si="0"/>
        <v>May</v>
      </c>
      <c r="Y48" t="str">
        <f t="shared" si="1"/>
        <v>Q2</v>
      </c>
      <c r="Z48" s="7">
        <f t="shared" si="2"/>
        <v>101.97</v>
      </c>
    </row>
    <row r="49" spans="1:26" x14ac:dyDescent="0.3">
      <c r="A49" s="4" t="s">
        <v>454</v>
      </c>
      <c r="B49" s="9" t="s">
        <v>455</v>
      </c>
      <c r="C49" s="4" t="s">
        <v>456</v>
      </c>
      <c r="D49" s="4" t="s">
        <v>457</v>
      </c>
      <c r="E49" s="4" t="s">
        <v>458</v>
      </c>
      <c r="F49" s="4" t="s">
        <v>459</v>
      </c>
      <c r="G49" s="4" t="s">
        <v>59</v>
      </c>
      <c r="H49" s="4" t="s">
        <v>60</v>
      </c>
      <c r="I49" s="4" t="s">
        <v>31</v>
      </c>
      <c r="J49" s="4" t="s">
        <v>460</v>
      </c>
      <c r="K49" s="4" t="s">
        <v>122</v>
      </c>
      <c r="L49" s="4">
        <v>3</v>
      </c>
      <c r="M49" s="5">
        <v>289.95999999999998</v>
      </c>
      <c r="N49" s="4" t="s">
        <v>163</v>
      </c>
      <c r="O49" s="5">
        <v>57.99</v>
      </c>
      <c r="P49" s="5">
        <v>0</v>
      </c>
      <c r="Q49" s="5">
        <v>13.92</v>
      </c>
      <c r="R49" s="5">
        <v>245.89</v>
      </c>
      <c r="S49" s="4" t="s">
        <v>35</v>
      </c>
      <c r="T49" s="4" t="s">
        <v>36</v>
      </c>
      <c r="U49" s="4" t="s">
        <v>66</v>
      </c>
      <c r="V49" s="4" t="s">
        <v>461</v>
      </c>
      <c r="W49" s="5">
        <v>0</v>
      </c>
      <c r="X49" t="str">
        <f t="shared" si="0"/>
        <v>June</v>
      </c>
      <c r="Y49" t="str">
        <f t="shared" si="1"/>
        <v>Q2</v>
      </c>
      <c r="Z49" s="7">
        <f t="shared" si="2"/>
        <v>231.96999999999997</v>
      </c>
    </row>
    <row r="50" spans="1:26" x14ac:dyDescent="0.3">
      <c r="A50" s="2" t="s">
        <v>462</v>
      </c>
      <c r="B50" s="8" t="s">
        <v>463</v>
      </c>
      <c r="C50" s="2" t="s">
        <v>464</v>
      </c>
      <c r="D50" s="2" t="s">
        <v>465</v>
      </c>
      <c r="E50" s="2" t="s">
        <v>466</v>
      </c>
      <c r="F50" s="2" t="s">
        <v>467</v>
      </c>
      <c r="G50" s="2" t="s">
        <v>180</v>
      </c>
      <c r="H50" s="2" t="s">
        <v>181</v>
      </c>
      <c r="I50" s="2" t="s">
        <v>31</v>
      </c>
      <c r="J50" s="2" t="s">
        <v>468</v>
      </c>
      <c r="K50" s="2" t="s">
        <v>110</v>
      </c>
      <c r="L50" s="2">
        <v>4</v>
      </c>
      <c r="M50" s="3">
        <v>533.92999999999995</v>
      </c>
      <c r="N50" s="2" t="s">
        <v>163</v>
      </c>
      <c r="O50" s="3">
        <v>106.79</v>
      </c>
      <c r="P50" s="3">
        <v>0</v>
      </c>
      <c r="Q50" s="3">
        <v>36.31</v>
      </c>
      <c r="R50" s="3">
        <v>463.45</v>
      </c>
      <c r="S50" s="2" t="s">
        <v>35</v>
      </c>
      <c r="T50" s="2" t="s">
        <v>36</v>
      </c>
      <c r="U50" s="2" t="s">
        <v>317</v>
      </c>
      <c r="V50" s="2"/>
      <c r="W50" s="3">
        <v>0</v>
      </c>
      <c r="X50" t="str">
        <f t="shared" si="0"/>
        <v>June</v>
      </c>
      <c r="Y50" t="str">
        <f t="shared" si="1"/>
        <v>Q2</v>
      </c>
      <c r="Z50" s="7">
        <f t="shared" si="2"/>
        <v>427.13999999999993</v>
      </c>
    </row>
    <row r="51" spans="1:26" x14ac:dyDescent="0.3">
      <c r="A51" s="4" t="s">
        <v>469</v>
      </c>
      <c r="B51" s="9" t="s">
        <v>470</v>
      </c>
      <c r="C51" s="4" t="s">
        <v>471</v>
      </c>
      <c r="D51" s="4" t="s">
        <v>472</v>
      </c>
      <c r="E51" s="4" t="s">
        <v>473</v>
      </c>
      <c r="F51" s="4" t="s">
        <v>474</v>
      </c>
      <c r="G51" s="4" t="s">
        <v>87</v>
      </c>
      <c r="H51" s="4" t="s">
        <v>88</v>
      </c>
      <c r="I51" s="4" t="s">
        <v>31</v>
      </c>
      <c r="J51" s="4" t="s">
        <v>475</v>
      </c>
      <c r="K51" s="4" t="s">
        <v>122</v>
      </c>
      <c r="L51" s="4">
        <v>3</v>
      </c>
      <c r="M51" s="5">
        <v>264.97000000000003</v>
      </c>
      <c r="N51" s="4" t="s">
        <v>163</v>
      </c>
      <c r="O51" s="5">
        <v>52.99</v>
      </c>
      <c r="P51" s="5">
        <v>0</v>
      </c>
      <c r="Q51" s="5">
        <v>14.84</v>
      </c>
      <c r="R51" s="5">
        <v>226.82</v>
      </c>
      <c r="S51" s="4" t="s">
        <v>123</v>
      </c>
      <c r="T51" s="4" t="s">
        <v>173</v>
      </c>
      <c r="U51" s="4" t="s">
        <v>51</v>
      </c>
      <c r="V51" s="4" t="s">
        <v>476</v>
      </c>
      <c r="W51" s="5">
        <v>0</v>
      </c>
      <c r="X51" t="str">
        <f t="shared" si="0"/>
        <v>December</v>
      </c>
      <c r="Y51" t="str">
        <f t="shared" si="1"/>
        <v>Q4</v>
      </c>
      <c r="Z51" s="7">
        <f t="shared" si="2"/>
        <v>211.98000000000002</v>
      </c>
    </row>
    <row r="52" spans="1:26" x14ac:dyDescent="0.3">
      <c r="A52" s="2" t="s">
        <v>477</v>
      </c>
      <c r="B52" s="8" t="s">
        <v>478</v>
      </c>
      <c r="C52" s="2" t="s">
        <v>479</v>
      </c>
      <c r="D52" s="2" t="s">
        <v>204</v>
      </c>
      <c r="E52" s="2" t="s">
        <v>480</v>
      </c>
      <c r="F52" s="2" t="s">
        <v>481</v>
      </c>
      <c r="G52" s="2" t="s">
        <v>74</v>
      </c>
      <c r="H52" s="2" t="s">
        <v>75</v>
      </c>
      <c r="I52" s="2" t="s">
        <v>31</v>
      </c>
      <c r="J52" s="2" t="s">
        <v>316</v>
      </c>
      <c r="K52" s="2" t="s">
        <v>48</v>
      </c>
      <c r="L52" s="2">
        <v>1</v>
      </c>
      <c r="M52" s="3">
        <v>34.99</v>
      </c>
      <c r="N52" s="2" t="s">
        <v>78</v>
      </c>
      <c r="O52" s="3">
        <v>3.5</v>
      </c>
      <c r="P52" s="3">
        <v>9.99</v>
      </c>
      <c r="Q52" s="3">
        <v>3.15</v>
      </c>
      <c r="R52" s="3">
        <v>44.63</v>
      </c>
      <c r="S52" s="2" t="s">
        <v>79</v>
      </c>
      <c r="T52" s="2" t="s">
        <v>99</v>
      </c>
      <c r="U52" s="2" t="s">
        <v>66</v>
      </c>
      <c r="V52" s="2" t="s">
        <v>482</v>
      </c>
      <c r="W52" s="3">
        <v>0</v>
      </c>
      <c r="X52" t="str">
        <f t="shared" si="0"/>
        <v>May</v>
      </c>
      <c r="Y52" t="str">
        <f t="shared" si="1"/>
        <v>Q2</v>
      </c>
      <c r="Z52" s="7">
        <f t="shared" si="2"/>
        <v>31.490000000000002</v>
      </c>
    </row>
    <row r="53" spans="1:26" x14ac:dyDescent="0.3">
      <c r="A53" s="4" t="s">
        <v>483</v>
      </c>
      <c r="B53" s="9" t="s">
        <v>413</v>
      </c>
      <c r="C53" s="4" t="s">
        <v>484</v>
      </c>
      <c r="D53" s="4" t="s">
        <v>485</v>
      </c>
      <c r="E53" s="4" t="s">
        <v>486</v>
      </c>
      <c r="F53" s="4" t="s">
        <v>487</v>
      </c>
      <c r="G53" s="4" t="s">
        <v>74</v>
      </c>
      <c r="H53" s="4" t="s">
        <v>75</v>
      </c>
      <c r="I53" s="4" t="s">
        <v>31</v>
      </c>
      <c r="J53" s="4" t="s">
        <v>488</v>
      </c>
      <c r="K53" s="4" t="s">
        <v>209</v>
      </c>
      <c r="L53" s="4">
        <v>4</v>
      </c>
      <c r="M53" s="5">
        <v>447.92</v>
      </c>
      <c r="N53" s="4" t="s">
        <v>78</v>
      </c>
      <c r="O53" s="5">
        <v>44.79</v>
      </c>
      <c r="P53" s="5">
        <v>0</v>
      </c>
      <c r="Q53" s="5">
        <v>32.25</v>
      </c>
      <c r="R53" s="5">
        <v>435.38</v>
      </c>
      <c r="S53" s="4" t="s">
        <v>64</v>
      </c>
      <c r="T53" s="4" t="s">
        <v>99</v>
      </c>
      <c r="U53" s="4" t="s">
        <v>66</v>
      </c>
      <c r="V53" s="4" t="s">
        <v>489</v>
      </c>
      <c r="W53" s="5">
        <v>0</v>
      </c>
      <c r="X53" t="str">
        <f t="shared" si="0"/>
        <v>July</v>
      </c>
      <c r="Y53" t="str">
        <f t="shared" si="1"/>
        <v>Q3</v>
      </c>
      <c r="Z53" s="7">
        <f t="shared" si="2"/>
        <v>403.13</v>
      </c>
    </row>
    <row r="54" spans="1:26" x14ac:dyDescent="0.3">
      <c r="A54" s="2" t="s">
        <v>490</v>
      </c>
      <c r="B54" s="8" t="s">
        <v>185</v>
      </c>
      <c r="C54" s="2" t="s">
        <v>491</v>
      </c>
      <c r="D54" s="2" t="s">
        <v>492</v>
      </c>
      <c r="E54" s="2" t="s">
        <v>493</v>
      </c>
      <c r="F54" s="2" t="s">
        <v>494</v>
      </c>
      <c r="G54" s="2" t="s">
        <v>107</v>
      </c>
      <c r="H54" s="2" t="s">
        <v>108</v>
      </c>
      <c r="I54" s="2" t="s">
        <v>31</v>
      </c>
      <c r="J54" s="2" t="s">
        <v>495</v>
      </c>
      <c r="K54" s="2" t="s">
        <v>209</v>
      </c>
      <c r="L54" s="2">
        <v>1</v>
      </c>
      <c r="M54" s="3">
        <v>29.99</v>
      </c>
      <c r="N54" s="2" t="s">
        <v>78</v>
      </c>
      <c r="O54" s="3">
        <v>3</v>
      </c>
      <c r="P54" s="3">
        <v>5.99</v>
      </c>
      <c r="Q54" s="3">
        <v>2.7</v>
      </c>
      <c r="R54" s="3">
        <v>35.68</v>
      </c>
      <c r="S54" s="2" t="s">
        <v>35</v>
      </c>
      <c r="T54" s="2" t="s">
        <v>325</v>
      </c>
      <c r="U54" s="2" t="s">
        <v>66</v>
      </c>
      <c r="V54" s="2" t="s">
        <v>496</v>
      </c>
      <c r="W54" s="3">
        <v>0</v>
      </c>
      <c r="X54" t="str">
        <f t="shared" si="0"/>
        <v>July</v>
      </c>
      <c r="Y54" t="str">
        <f t="shared" si="1"/>
        <v>Q3</v>
      </c>
      <c r="Z54" s="7">
        <f t="shared" si="2"/>
        <v>26.99</v>
      </c>
    </row>
    <row r="55" spans="1:26" x14ac:dyDescent="0.3">
      <c r="A55" s="4" t="s">
        <v>497</v>
      </c>
      <c r="B55" s="9" t="s">
        <v>498</v>
      </c>
      <c r="C55" s="4" t="s">
        <v>499</v>
      </c>
      <c r="D55" s="4" t="s">
        <v>500</v>
      </c>
      <c r="E55" s="4" t="s">
        <v>501</v>
      </c>
      <c r="F55" s="4" t="s">
        <v>502</v>
      </c>
      <c r="G55" s="4" t="s">
        <v>131</v>
      </c>
      <c r="H55" s="4" t="s">
        <v>88</v>
      </c>
      <c r="I55" s="4" t="s">
        <v>31</v>
      </c>
      <c r="J55" s="4" t="s">
        <v>503</v>
      </c>
      <c r="K55" s="4" t="s">
        <v>122</v>
      </c>
      <c r="L55" s="4">
        <v>1</v>
      </c>
      <c r="M55" s="5">
        <v>59.99</v>
      </c>
      <c r="N55" s="4" t="s">
        <v>152</v>
      </c>
      <c r="O55" s="5">
        <v>3</v>
      </c>
      <c r="P55" s="5">
        <v>5.99</v>
      </c>
      <c r="Q55" s="5">
        <v>3.99</v>
      </c>
      <c r="R55" s="5">
        <v>66.97</v>
      </c>
      <c r="S55" s="4" t="s">
        <v>35</v>
      </c>
      <c r="T55" s="4" t="s">
        <v>36</v>
      </c>
      <c r="U55" s="4" t="s">
        <v>317</v>
      </c>
      <c r="V55" s="4"/>
      <c r="W55" s="5">
        <v>0</v>
      </c>
      <c r="X55" t="str">
        <f t="shared" si="0"/>
        <v>May</v>
      </c>
      <c r="Y55" t="str">
        <f t="shared" si="1"/>
        <v>Q2</v>
      </c>
      <c r="Z55" s="7">
        <f t="shared" si="2"/>
        <v>56.99</v>
      </c>
    </row>
    <row r="56" spans="1:26" x14ac:dyDescent="0.3">
      <c r="A56" s="2" t="s">
        <v>504</v>
      </c>
      <c r="B56" s="8" t="s">
        <v>505</v>
      </c>
      <c r="C56" s="2" t="s">
        <v>506</v>
      </c>
      <c r="D56" s="2" t="s">
        <v>507</v>
      </c>
      <c r="E56" s="2" t="s">
        <v>508</v>
      </c>
      <c r="F56" s="2" t="s">
        <v>509</v>
      </c>
      <c r="G56" s="2" t="s">
        <v>140</v>
      </c>
      <c r="H56" s="2" t="s">
        <v>141</v>
      </c>
      <c r="I56" s="2" t="s">
        <v>31</v>
      </c>
      <c r="J56" s="2" t="s">
        <v>510</v>
      </c>
      <c r="K56" s="2" t="s">
        <v>33</v>
      </c>
      <c r="L56" s="2">
        <v>2</v>
      </c>
      <c r="M56" s="3">
        <v>189.97</v>
      </c>
      <c r="N56" s="2" t="s">
        <v>78</v>
      </c>
      <c r="O56" s="3">
        <v>19</v>
      </c>
      <c r="P56" s="3">
        <v>0</v>
      </c>
      <c r="Q56" s="3">
        <v>17.100000000000001</v>
      </c>
      <c r="R56" s="3">
        <v>188.07</v>
      </c>
      <c r="S56" s="2" t="s">
        <v>123</v>
      </c>
      <c r="T56" s="2" t="s">
        <v>99</v>
      </c>
      <c r="U56" s="2" t="s">
        <v>51</v>
      </c>
      <c r="V56" s="2" t="s">
        <v>511</v>
      </c>
      <c r="W56" s="3">
        <v>0</v>
      </c>
      <c r="X56" t="str">
        <f t="shared" si="0"/>
        <v>April</v>
      </c>
      <c r="Y56" t="str">
        <f t="shared" si="1"/>
        <v>Q2</v>
      </c>
      <c r="Z56" s="7">
        <f t="shared" si="2"/>
        <v>170.97</v>
      </c>
    </row>
    <row r="57" spans="1:26" x14ac:dyDescent="0.3">
      <c r="A57" s="4" t="s">
        <v>512</v>
      </c>
      <c r="B57" s="9" t="s">
        <v>513</v>
      </c>
      <c r="C57" s="4" t="s">
        <v>514</v>
      </c>
      <c r="D57" s="4" t="s">
        <v>515</v>
      </c>
      <c r="E57" s="4" t="s">
        <v>516</v>
      </c>
      <c r="F57" s="4" t="s">
        <v>517</v>
      </c>
      <c r="G57" s="4" t="s">
        <v>74</v>
      </c>
      <c r="H57" s="4" t="s">
        <v>75</v>
      </c>
      <c r="I57" s="4" t="s">
        <v>31</v>
      </c>
      <c r="J57" s="4" t="s">
        <v>518</v>
      </c>
      <c r="K57" s="4" t="s">
        <v>209</v>
      </c>
      <c r="L57" s="4">
        <v>3</v>
      </c>
      <c r="M57" s="5">
        <v>234.95</v>
      </c>
      <c r="N57" s="4" t="s">
        <v>78</v>
      </c>
      <c r="O57" s="5">
        <v>23.5</v>
      </c>
      <c r="P57" s="5">
        <v>0</v>
      </c>
      <c r="Q57" s="5">
        <v>12.69</v>
      </c>
      <c r="R57" s="5">
        <v>224.14</v>
      </c>
      <c r="S57" s="4" t="s">
        <v>437</v>
      </c>
      <c r="T57" s="4" t="s">
        <v>36</v>
      </c>
      <c r="U57" s="4" t="s">
        <v>66</v>
      </c>
      <c r="V57" s="4" t="s">
        <v>519</v>
      </c>
      <c r="W57" s="5">
        <v>0</v>
      </c>
      <c r="X57" t="str">
        <f t="shared" si="0"/>
        <v>May</v>
      </c>
      <c r="Y57" t="str">
        <f t="shared" si="1"/>
        <v>Q2</v>
      </c>
      <c r="Z57" s="7">
        <f t="shared" si="2"/>
        <v>211.45</v>
      </c>
    </row>
    <row r="58" spans="1:26" x14ac:dyDescent="0.3">
      <c r="A58" s="2" t="s">
        <v>520</v>
      </c>
      <c r="B58" s="8" t="s">
        <v>521</v>
      </c>
      <c r="C58" s="2" t="s">
        <v>522</v>
      </c>
      <c r="D58" s="2" t="s">
        <v>523</v>
      </c>
      <c r="E58" s="2" t="s">
        <v>524</v>
      </c>
      <c r="F58" s="2" t="s">
        <v>525</v>
      </c>
      <c r="G58" s="2" t="s">
        <v>224</v>
      </c>
      <c r="H58" s="2" t="s">
        <v>225</v>
      </c>
      <c r="I58" s="2" t="s">
        <v>31</v>
      </c>
      <c r="J58" s="2" t="s">
        <v>526</v>
      </c>
      <c r="K58" s="2" t="s">
        <v>110</v>
      </c>
      <c r="L58" s="2">
        <v>1</v>
      </c>
      <c r="M58" s="3">
        <v>32.99</v>
      </c>
      <c r="N58" s="2" t="s">
        <v>78</v>
      </c>
      <c r="O58" s="3">
        <v>3.3</v>
      </c>
      <c r="P58" s="3">
        <v>5.99</v>
      </c>
      <c r="Q58" s="3">
        <v>2.97</v>
      </c>
      <c r="R58" s="3">
        <v>38.65</v>
      </c>
      <c r="S58" s="2" t="s">
        <v>35</v>
      </c>
      <c r="T58" s="2" t="s">
        <v>36</v>
      </c>
      <c r="U58" s="2" t="s">
        <v>66</v>
      </c>
      <c r="V58" s="2" t="s">
        <v>527</v>
      </c>
      <c r="W58" s="3">
        <v>0</v>
      </c>
      <c r="X58" t="str">
        <f t="shared" si="0"/>
        <v>November</v>
      </c>
      <c r="Y58" t="str">
        <f t="shared" si="1"/>
        <v>Q4</v>
      </c>
      <c r="Z58" s="7">
        <f t="shared" si="2"/>
        <v>29.69</v>
      </c>
    </row>
    <row r="59" spans="1:26" x14ac:dyDescent="0.3">
      <c r="A59" s="4" t="s">
        <v>528</v>
      </c>
      <c r="B59" s="9" t="s">
        <v>421</v>
      </c>
      <c r="C59" s="4" t="s">
        <v>529</v>
      </c>
      <c r="D59" s="4" t="s">
        <v>530</v>
      </c>
      <c r="E59" s="4" t="s">
        <v>531</v>
      </c>
      <c r="F59" s="4" t="s">
        <v>532</v>
      </c>
      <c r="G59" s="4" t="s">
        <v>207</v>
      </c>
      <c r="H59" s="4" t="s">
        <v>141</v>
      </c>
      <c r="I59" s="4" t="s">
        <v>31</v>
      </c>
      <c r="J59" s="4" t="s">
        <v>533</v>
      </c>
      <c r="K59" s="4" t="s">
        <v>209</v>
      </c>
      <c r="L59" s="4">
        <v>1</v>
      </c>
      <c r="M59" s="5">
        <v>239.98</v>
      </c>
      <c r="N59" s="4" t="s">
        <v>78</v>
      </c>
      <c r="O59" s="5">
        <v>24</v>
      </c>
      <c r="P59" s="5">
        <v>0</v>
      </c>
      <c r="Q59" s="5">
        <v>19.440000000000001</v>
      </c>
      <c r="R59" s="5">
        <v>235.42</v>
      </c>
      <c r="S59" s="4" t="s">
        <v>123</v>
      </c>
      <c r="T59" s="4" t="s">
        <v>99</v>
      </c>
      <c r="U59" s="4" t="s">
        <v>66</v>
      </c>
      <c r="V59" s="4" t="s">
        <v>534</v>
      </c>
      <c r="W59" s="5">
        <v>0</v>
      </c>
      <c r="X59" t="str">
        <f t="shared" si="0"/>
        <v>June</v>
      </c>
      <c r="Y59" t="str">
        <f t="shared" si="1"/>
        <v>Q2</v>
      </c>
      <c r="Z59" s="7">
        <f t="shared" si="2"/>
        <v>215.98</v>
      </c>
    </row>
    <row r="60" spans="1:26" x14ac:dyDescent="0.3">
      <c r="A60" s="2" t="s">
        <v>535</v>
      </c>
      <c r="B60" s="8" t="s">
        <v>536</v>
      </c>
      <c r="C60" s="2" t="s">
        <v>537</v>
      </c>
      <c r="D60" s="2" t="s">
        <v>538</v>
      </c>
      <c r="E60" s="2" t="s">
        <v>539</v>
      </c>
      <c r="F60" s="2" t="s">
        <v>540</v>
      </c>
      <c r="G60" s="2" t="s">
        <v>45</v>
      </c>
      <c r="H60" s="2" t="s">
        <v>46</v>
      </c>
      <c r="I60" s="2" t="s">
        <v>31</v>
      </c>
      <c r="J60" s="2" t="s">
        <v>541</v>
      </c>
      <c r="K60" s="2" t="s">
        <v>33</v>
      </c>
      <c r="L60" s="2">
        <v>3</v>
      </c>
      <c r="M60" s="3">
        <v>252.94</v>
      </c>
      <c r="N60" s="2" t="s">
        <v>49</v>
      </c>
      <c r="O60" s="3">
        <v>37.94</v>
      </c>
      <c r="P60" s="3">
        <v>0</v>
      </c>
      <c r="Q60" s="3">
        <v>12.9</v>
      </c>
      <c r="R60" s="3">
        <v>227.9</v>
      </c>
      <c r="S60" s="2" t="s">
        <v>35</v>
      </c>
      <c r="T60" s="2" t="s">
        <v>99</v>
      </c>
      <c r="U60" s="2" t="s">
        <v>51</v>
      </c>
      <c r="V60" s="2" t="s">
        <v>542</v>
      </c>
      <c r="W60" s="3">
        <v>0</v>
      </c>
      <c r="X60" t="str">
        <f t="shared" si="0"/>
        <v>March</v>
      </c>
      <c r="Y60" t="str">
        <f t="shared" si="1"/>
        <v>Q1</v>
      </c>
      <c r="Z60" s="7">
        <f t="shared" si="2"/>
        <v>215</v>
      </c>
    </row>
    <row r="61" spans="1:26" x14ac:dyDescent="0.3">
      <c r="A61" s="4" t="s">
        <v>543</v>
      </c>
      <c r="B61" s="9" t="s">
        <v>90</v>
      </c>
      <c r="C61" s="4" t="s">
        <v>544</v>
      </c>
      <c r="D61" s="4" t="s">
        <v>545</v>
      </c>
      <c r="E61" s="4" t="s">
        <v>546</v>
      </c>
      <c r="F61" s="4" t="s">
        <v>547</v>
      </c>
      <c r="G61" s="4" t="s">
        <v>323</v>
      </c>
      <c r="H61" s="4" t="s">
        <v>324</v>
      </c>
      <c r="I61" s="4" t="s">
        <v>31</v>
      </c>
      <c r="J61" s="4" t="s">
        <v>548</v>
      </c>
      <c r="K61" s="4" t="s">
        <v>122</v>
      </c>
      <c r="L61" s="4">
        <v>4</v>
      </c>
      <c r="M61" s="5">
        <v>220.95</v>
      </c>
      <c r="N61" s="4" t="s">
        <v>34</v>
      </c>
      <c r="O61" s="5">
        <v>0</v>
      </c>
      <c r="P61" s="5">
        <v>0</v>
      </c>
      <c r="Q61" s="5">
        <v>13.26</v>
      </c>
      <c r="R61" s="5">
        <v>234.21</v>
      </c>
      <c r="S61" s="4" t="s">
        <v>35</v>
      </c>
      <c r="T61" s="4" t="s">
        <v>173</v>
      </c>
      <c r="U61" s="4" t="s">
        <v>66</v>
      </c>
      <c r="V61" s="4" t="s">
        <v>219</v>
      </c>
      <c r="W61" s="5">
        <v>0</v>
      </c>
      <c r="X61" t="str">
        <f t="shared" si="0"/>
        <v>May</v>
      </c>
      <c r="Y61" t="str">
        <f t="shared" si="1"/>
        <v>Q2</v>
      </c>
      <c r="Z61" s="7">
        <f t="shared" si="2"/>
        <v>220.95</v>
      </c>
    </row>
    <row r="62" spans="1:26" x14ac:dyDescent="0.3">
      <c r="A62" s="2" t="s">
        <v>549</v>
      </c>
      <c r="B62" s="8" t="s">
        <v>550</v>
      </c>
      <c r="C62" s="2" t="s">
        <v>551</v>
      </c>
      <c r="D62" s="2" t="s">
        <v>552</v>
      </c>
      <c r="E62" s="2" t="s">
        <v>553</v>
      </c>
      <c r="F62" s="2" t="s">
        <v>554</v>
      </c>
      <c r="G62" s="2" t="s">
        <v>282</v>
      </c>
      <c r="H62" s="2" t="s">
        <v>88</v>
      </c>
      <c r="I62" s="2" t="s">
        <v>31</v>
      </c>
      <c r="J62" s="2" t="s">
        <v>555</v>
      </c>
      <c r="K62" s="2" t="s">
        <v>209</v>
      </c>
      <c r="L62" s="2">
        <v>3</v>
      </c>
      <c r="M62" s="3">
        <v>199.96</v>
      </c>
      <c r="N62" s="2" t="s">
        <v>78</v>
      </c>
      <c r="O62" s="3">
        <v>20</v>
      </c>
      <c r="P62" s="3">
        <v>0</v>
      </c>
      <c r="Q62" s="3">
        <v>10.8</v>
      </c>
      <c r="R62" s="3">
        <v>190.76</v>
      </c>
      <c r="S62" s="2" t="s">
        <v>64</v>
      </c>
      <c r="T62" s="2" t="s">
        <v>99</v>
      </c>
      <c r="U62" s="2" t="s">
        <v>100</v>
      </c>
      <c r="V62" s="2"/>
      <c r="W62" s="3">
        <v>0</v>
      </c>
      <c r="X62" t="str">
        <f t="shared" si="0"/>
        <v>August</v>
      </c>
      <c r="Y62" t="str">
        <f t="shared" si="1"/>
        <v>Q3</v>
      </c>
      <c r="Z62" s="7">
        <f t="shared" si="2"/>
        <v>179.96</v>
      </c>
    </row>
    <row r="63" spans="1:26" x14ac:dyDescent="0.3">
      <c r="A63" s="4" t="s">
        <v>556</v>
      </c>
      <c r="B63" s="9" t="s">
        <v>557</v>
      </c>
      <c r="C63" s="4" t="s">
        <v>558</v>
      </c>
      <c r="D63" s="4" t="s">
        <v>559</v>
      </c>
      <c r="E63" s="4" t="s">
        <v>560</v>
      </c>
      <c r="F63" s="4" t="s">
        <v>561</v>
      </c>
      <c r="G63" s="4" t="s">
        <v>428</v>
      </c>
      <c r="H63" s="4" t="s">
        <v>429</v>
      </c>
      <c r="I63" s="4" t="s">
        <v>31</v>
      </c>
      <c r="J63" s="4" t="s">
        <v>452</v>
      </c>
      <c r="K63" s="4" t="s">
        <v>209</v>
      </c>
      <c r="L63" s="4">
        <v>1</v>
      </c>
      <c r="M63" s="5">
        <v>119.97</v>
      </c>
      <c r="N63" s="4" t="s">
        <v>163</v>
      </c>
      <c r="O63" s="5">
        <v>23.99</v>
      </c>
      <c r="P63" s="5">
        <v>0</v>
      </c>
      <c r="Q63" s="5">
        <v>5.76</v>
      </c>
      <c r="R63" s="5">
        <v>101.74</v>
      </c>
      <c r="S63" s="4" t="s">
        <v>64</v>
      </c>
      <c r="T63" s="4" t="s">
        <v>36</v>
      </c>
      <c r="U63" s="4" t="s">
        <v>66</v>
      </c>
      <c r="V63" s="4" t="s">
        <v>562</v>
      </c>
      <c r="W63" s="5">
        <v>0</v>
      </c>
      <c r="X63" t="str">
        <f t="shared" si="0"/>
        <v>June</v>
      </c>
      <c r="Y63" t="str">
        <f t="shared" si="1"/>
        <v>Q2</v>
      </c>
      <c r="Z63" s="7">
        <f t="shared" si="2"/>
        <v>95.98</v>
      </c>
    </row>
    <row r="64" spans="1:26" x14ac:dyDescent="0.3">
      <c r="A64" s="2" t="s">
        <v>563</v>
      </c>
      <c r="B64" s="8" t="s">
        <v>564</v>
      </c>
      <c r="C64" s="2" t="s">
        <v>565</v>
      </c>
      <c r="D64" s="2" t="s">
        <v>566</v>
      </c>
      <c r="E64" s="2" t="s">
        <v>567</v>
      </c>
      <c r="F64" s="2" t="s">
        <v>568</v>
      </c>
      <c r="G64" s="2" t="s">
        <v>180</v>
      </c>
      <c r="H64" s="2" t="s">
        <v>181</v>
      </c>
      <c r="I64" s="2" t="s">
        <v>31</v>
      </c>
      <c r="J64" s="2" t="s">
        <v>569</v>
      </c>
      <c r="K64" s="2" t="s">
        <v>77</v>
      </c>
      <c r="L64" s="2">
        <v>3</v>
      </c>
      <c r="M64" s="3">
        <v>204.96</v>
      </c>
      <c r="N64" s="2" t="s">
        <v>34</v>
      </c>
      <c r="O64" s="3">
        <v>0</v>
      </c>
      <c r="P64" s="3">
        <v>0</v>
      </c>
      <c r="Q64" s="3">
        <v>14.35</v>
      </c>
      <c r="R64" s="3">
        <v>219.31</v>
      </c>
      <c r="S64" s="2" t="s">
        <v>123</v>
      </c>
      <c r="T64" s="2" t="s">
        <v>183</v>
      </c>
      <c r="U64" s="2" t="s">
        <v>66</v>
      </c>
      <c r="V64" s="2" t="s">
        <v>570</v>
      </c>
      <c r="W64" s="3">
        <v>0</v>
      </c>
      <c r="X64" t="str">
        <f t="shared" si="0"/>
        <v>November</v>
      </c>
      <c r="Y64" t="str">
        <f t="shared" si="1"/>
        <v>Q4</v>
      </c>
      <c r="Z64" s="7">
        <f t="shared" si="2"/>
        <v>204.96</v>
      </c>
    </row>
    <row r="65" spans="1:26" x14ac:dyDescent="0.3">
      <c r="A65" s="4" t="s">
        <v>571</v>
      </c>
      <c r="B65" s="9" t="s">
        <v>572</v>
      </c>
      <c r="C65" s="4" t="s">
        <v>573</v>
      </c>
      <c r="D65" s="4" t="s">
        <v>574</v>
      </c>
      <c r="E65" s="4" t="s">
        <v>575</v>
      </c>
      <c r="F65" s="4" t="s">
        <v>576</v>
      </c>
      <c r="G65" s="4" t="s">
        <v>131</v>
      </c>
      <c r="H65" s="4" t="s">
        <v>88</v>
      </c>
      <c r="I65" s="4" t="s">
        <v>31</v>
      </c>
      <c r="J65" s="4" t="s">
        <v>577</v>
      </c>
      <c r="K65" s="4" t="s">
        <v>364</v>
      </c>
      <c r="L65" s="4">
        <v>1</v>
      </c>
      <c r="M65" s="5">
        <v>19.989999999999998</v>
      </c>
      <c r="N65" s="4" t="s">
        <v>34</v>
      </c>
      <c r="O65" s="5">
        <v>0</v>
      </c>
      <c r="P65" s="5">
        <v>9.99</v>
      </c>
      <c r="Q65" s="5">
        <v>1.7</v>
      </c>
      <c r="R65" s="5">
        <v>31.68</v>
      </c>
      <c r="S65" s="4" t="s">
        <v>332</v>
      </c>
      <c r="T65" s="4" t="s">
        <v>173</v>
      </c>
      <c r="U65" s="4" t="s">
        <v>66</v>
      </c>
      <c r="V65" s="4" t="s">
        <v>102</v>
      </c>
      <c r="W65" s="5">
        <v>0</v>
      </c>
      <c r="X65" t="str">
        <f t="shared" si="0"/>
        <v>January</v>
      </c>
      <c r="Y65" t="str">
        <f t="shared" si="1"/>
        <v>Q1</v>
      </c>
      <c r="Z65" s="7">
        <f t="shared" si="2"/>
        <v>19.989999999999998</v>
      </c>
    </row>
    <row r="66" spans="1:26" x14ac:dyDescent="0.3">
      <c r="A66" s="2" t="s">
        <v>578</v>
      </c>
      <c r="B66" s="8" t="s">
        <v>579</v>
      </c>
      <c r="C66" s="2" t="s">
        <v>580</v>
      </c>
      <c r="D66" s="2" t="s">
        <v>581</v>
      </c>
      <c r="E66" s="2" t="s">
        <v>582</v>
      </c>
      <c r="F66" s="2" t="s">
        <v>583</v>
      </c>
      <c r="G66" s="2" t="s">
        <v>45</v>
      </c>
      <c r="H66" s="2" t="s">
        <v>46</v>
      </c>
      <c r="I66" s="2" t="s">
        <v>31</v>
      </c>
      <c r="J66" s="2" t="s">
        <v>584</v>
      </c>
      <c r="K66" s="2" t="s">
        <v>364</v>
      </c>
      <c r="L66" s="2">
        <v>3</v>
      </c>
      <c r="M66" s="3">
        <v>159.96</v>
      </c>
      <c r="N66" s="2" t="s">
        <v>34</v>
      </c>
      <c r="O66" s="3">
        <v>0</v>
      </c>
      <c r="P66" s="3">
        <v>0</v>
      </c>
      <c r="Q66" s="3">
        <v>12.8</v>
      </c>
      <c r="R66" s="3">
        <v>172.76</v>
      </c>
      <c r="S66" s="2" t="s">
        <v>64</v>
      </c>
      <c r="T66" s="2" t="s">
        <v>99</v>
      </c>
      <c r="U66" s="2" t="s">
        <v>66</v>
      </c>
      <c r="V66" s="2" t="s">
        <v>585</v>
      </c>
      <c r="W66" s="3">
        <v>0</v>
      </c>
      <c r="X66" t="str">
        <f t="shared" si="0"/>
        <v>July</v>
      </c>
      <c r="Y66" t="str">
        <f t="shared" si="1"/>
        <v>Q3</v>
      </c>
      <c r="Z66" s="7">
        <f t="shared" si="2"/>
        <v>159.96</v>
      </c>
    </row>
    <row r="67" spans="1:26" x14ac:dyDescent="0.3">
      <c r="A67" s="4" t="s">
        <v>586</v>
      </c>
      <c r="B67" s="9" t="s">
        <v>587</v>
      </c>
      <c r="C67" s="4" t="s">
        <v>588</v>
      </c>
      <c r="D67" s="4" t="s">
        <v>589</v>
      </c>
      <c r="E67" s="4" t="s">
        <v>590</v>
      </c>
      <c r="F67" s="4" t="s">
        <v>591</v>
      </c>
      <c r="G67" s="4" t="s">
        <v>59</v>
      </c>
      <c r="H67" s="4" t="s">
        <v>60</v>
      </c>
      <c r="I67" s="4" t="s">
        <v>31</v>
      </c>
      <c r="J67" s="4" t="s">
        <v>592</v>
      </c>
      <c r="K67" s="4" t="s">
        <v>209</v>
      </c>
      <c r="L67" s="4">
        <v>2</v>
      </c>
      <c r="M67" s="5">
        <v>165.96</v>
      </c>
      <c r="N67" s="4" t="s">
        <v>63</v>
      </c>
      <c r="O67" s="5">
        <v>41.49</v>
      </c>
      <c r="P67" s="5">
        <v>0</v>
      </c>
      <c r="Q67" s="5">
        <v>12.45</v>
      </c>
      <c r="R67" s="5">
        <v>136.91999999999999</v>
      </c>
      <c r="S67" s="4" t="s">
        <v>111</v>
      </c>
      <c r="T67" s="4" t="s">
        <v>173</v>
      </c>
      <c r="U67" s="4" t="s">
        <v>66</v>
      </c>
      <c r="V67" s="4" t="s">
        <v>593</v>
      </c>
      <c r="W67" s="5">
        <v>0</v>
      </c>
      <c r="X67" t="str">
        <f t="shared" ref="X67:X130" si="3">TEXT(B67,"MMMM")</f>
        <v>July</v>
      </c>
      <c r="Y67" t="str">
        <f t="shared" ref="Y67:Y130" si="4">IF(MONTH(B67)&lt;=3,"Q1",IF(MONTH(B67)&lt;=6,"Q2",IF(MONTH(B67)&lt;=9,"Q3","Q4")))</f>
        <v>Q3</v>
      </c>
      <c r="Z67" s="7">
        <f t="shared" ref="Z67:Z130" si="5">M67-O67</f>
        <v>124.47</v>
      </c>
    </row>
    <row r="68" spans="1:26" x14ac:dyDescent="0.3">
      <c r="A68" s="2" t="s">
        <v>594</v>
      </c>
      <c r="B68" s="8" t="s">
        <v>595</v>
      </c>
      <c r="C68" s="2" t="s">
        <v>596</v>
      </c>
      <c r="D68" s="2" t="s">
        <v>597</v>
      </c>
      <c r="E68" s="2" t="s">
        <v>598</v>
      </c>
      <c r="F68" s="2" t="s">
        <v>599</v>
      </c>
      <c r="G68" s="2" t="s">
        <v>29</v>
      </c>
      <c r="H68" s="2" t="s">
        <v>30</v>
      </c>
      <c r="I68" s="2" t="s">
        <v>31</v>
      </c>
      <c r="J68" s="2" t="s">
        <v>600</v>
      </c>
      <c r="K68" s="2" t="s">
        <v>77</v>
      </c>
      <c r="L68" s="2">
        <v>2</v>
      </c>
      <c r="M68" s="3">
        <v>147.97999999999999</v>
      </c>
      <c r="N68" s="2" t="s">
        <v>34</v>
      </c>
      <c r="O68" s="3">
        <v>0</v>
      </c>
      <c r="P68" s="3">
        <v>0</v>
      </c>
      <c r="Q68" s="3">
        <v>8.8800000000000008</v>
      </c>
      <c r="R68" s="3">
        <v>156.86000000000001</v>
      </c>
      <c r="S68" s="2" t="s">
        <v>35</v>
      </c>
      <c r="T68" s="2" t="s">
        <v>99</v>
      </c>
      <c r="U68" s="2" t="s">
        <v>51</v>
      </c>
      <c r="V68" s="2" t="s">
        <v>601</v>
      </c>
      <c r="W68" s="3">
        <v>0</v>
      </c>
      <c r="X68" t="str">
        <f t="shared" si="3"/>
        <v>May</v>
      </c>
      <c r="Y68" t="str">
        <f t="shared" si="4"/>
        <v>Q2</v>
      </c>
      <c r="Z68" s="7">
        <f t="shared" si="5"/>
        <v>147.97999999999999</v>
      </c>
    </row>
    <row r="69" spans="1:26" x14ac:dyDescent="0.3">
      <c r="A69" s="4" t="s">
        <v>602</v>
      </c>
      <c r="B69" s="9" t="s">
        <v>603</v>
      </c>
      <c r="C69" s="4" t="s">
        <v>604</v>
      </c>
      <c r="D69" s="4" t="s">
        <v>605</v>
      </c>
      <c r="E69" s="4" t="s">
        <v>606</v>
      </c>
      <c r="F69" s="4" t="s">
        <v>607</v>
      </c>
      <c r="G69" s="4" t="s">
        <v>394</v>
      </c>
      <c r="H69" s="4" t="s">
        <v>395</v>
      </c>
      <c r="I69" s="4" t="s">
        <v>31</v>
      </c>
      <c r="J69" s="4" t="s">
        <v>608</v>
      </c>
      <c r="K69" s="4" t="s">
        <v>77</v>
      </c>
      <c r="L69" s="4">
        <v>2</v>
      </c>
      <c r="M69" s="5">
        <v>57.98</v>
      </c>
      <c r="N69" s="4" t="s">
        <v>63</v>
      </c>
      <c r="O69" s="5">
        <v>14.5</v>
      </c>
      <c r="P69" s="5">
        <v>5.99</v>
      </c>
      <c r="Q69" s="5">
        <v>3.04</v>
      </c>
      <c r="R69" s="5">
        <v>52.51</v>
      </c>
      <c r="S69" s="4" t="s">
        <v>64</v>
      </c>
      <c r="T69" s="4" t="s">
        <v>99</v>
      </c>
      <c r="U69" s="4" t="s">
        <v>66</v>
      </c>
      <c r="V69" s="4" t="s">
        <v>609</v>
      </c>
      <c r="W69" s="5">
        <v>0</v>
      </c>
      <c r="X69" t="str">
        <f t="shared" si="3"/>
        <v>December</v>
      </c>
      <c r="Y69" t="str">
        <f t="shared" si="4"/>
        <v>Q4</v>
      </c>
      <c r="Z69" s="7">
        <f t="shared" si="5"/>
        <v>43.48</v>
      </c>
    </row>
    <row r="70" spans="1:26" x14ac:dyDescent="0.3">
      <c r="A70" s="2" t="s">
        <v>610</v>
      </c>
      <c r="B70" s="8" t="s">
        <v>611</v>
      </c>
      <c r="C70" s="2" t="s">
        <v>612</v>
      </c>
      <c r="D70" s="2" t="s">
        <v>613</v>
      </c>
      <c r="E70" s="2" t="s">
        <v>614</v>
      </c>
      <c r="F70" s="2" t="s">
        <v>615</v>
      </c>
      <c r="G70" s="2" t="s">
        <v>160</v>
      </c>
      <c r="H70" s="2" t="s">
        <v>161</v>
      </c>
      <c r="I70" s="2" t="s">
        <v>31</v>
      </c>
      <c r="J70" s="2" t="s">
        <v>616</v>
      </c>
      <c r="K70" s="2" t="s">
        <v>33</v>
      </c>
      <c r="L70" s="2">
        <v>2</v>
      </c>
      <c r="M70" s="3">
        <v>82.98</v>
      </c>
      <c r="N70" s="2" t="s">
        <v>78</v>
      </c>
      <c r="O70" s="3">
        <v>8.3000000000000007</v>
      </c>
      <c r="P70" s="3">
        <v>0</v>
      </c>
      <c r="Q70" s="3">
        <v>4.4800000000000004</v>
      </c>
      <c r="R70" s="3">
        <v>79.16</v>
      </c>
      <c r="S70" s="2" t="s">
        <v>35</v>
      </c>
      <c r="T70" s="2" t="s">
        <v>144</v>
      </c>
      <c r="U70" s="2" t="s">
        <v>66</v>
      </c>
      <c r="V70" s="2" t="s">
        <v>617</v>
      </c>
      <c r="W70" s="3">
        <v>0</v>
      </c>
      <c r="X70" t="str">
        <f t="shared" si="3"/>
        <v>November</v>
      </c>
      <c r="Y70" t="str">
        <f t="shared" si="4"/>
        <v>Q4</v>
      </c>
      <c r="Z70" s="7">
        <f t="shared" si="5"/>
        <v>74.680000000000007</v>
      </c>
    </row>
    <row r="71" spans="1:26" x14ac:dyDescent="0.3">
      <c r="A71" s="4" t="s">
        <v>618</v>
      </c>
      <c r="B71" s="9" t="s">
        <v>619</v>
      </c>
      <c r="C71" s="4" t="s">
        <v>620</v>
      </c>
      <c r="D71" s="4" t="s">
        <v>621</v>
      </c>
      <c r="E71" s="4" t="s">
        <v>622</v>
      </c>
      <c r="F71" s="4" t="s">
        <v>623</v>
      </c>
      <c r="G71" s="4" t="s">
        <v>282</v>
      </c>
      <c r="H71" s="4" t="s">
        <v>88</v>
      </c>
      <c r="I71" s="4" t="s">
        <v>31</v>
      </c>
      <c r="J71" s="4" t="s">
        <v>624</v>
      </c>
      <c r="K71" s="4" t="s">
        <v>209</v>
      </c>
      <c r="L71" s="4">
        <v>2</v>
      </c>
      <c r="M71" s="5">
        <v>209.97</v>
      </c>
      <c r="N71" s="4" t="s">
        <v>49</v>
      </c>
      <c r="O71" s="5">
        <v>31.5</v>
      </c>
      <c r="P71" s="5">
        <v>0</v>
      </c>
      <c r="Q71" s="5">
        <v>15.17</v>
      </c>
      <c r="R71" s="5">
        <v>193.64</v>
      </c>
      <c r="S71" s="4" t="s">
        <v>35</v>
      </c>
      <c r="T71" s="4" t="s">
        <v>99</v>
      </c>
      <c r="U71" s="4" t="s">
        <v>51</v>
      </c>
      <c r="V71" s="4" t="s">
        <v>625</v>
      </c>
      <c r="W71" s="5">
        <v>0</v>
      </c>
      <c r="X71" t="str">
        <f t="shared" si="3"/>
        <v>October</v>
      </c>
      <c r="Y71" t="str">
        <f t="shared" si="4"/>
        <v>Q4</v>
      </c>
      <c r="Z71" s="7">
        <f t="shared" si="5"/>
        <v>178.47</v>
      </c>
    </row>
    <row r="72" spans="1:26" x14ac:dyDescent="0.3">
      <c r="A72" s="2" t="s">
        <v>626</v>
      </c>
      <c r="B72" s="8" t="s">
        <v>627</v>
      </c>
      <c r="C72" s="2" t="s">
        <v>628</v>
      </c>
      <c r="D72" s="2" t="s">
        <v>629</v>
      </c>
      <c r="E72" s="2" t="s">
        <v>630</v>
      </c>
      <c r="F72" s="2" t="s">
        <v>631</v>
      </c>
      <c r="G72" s="2" t="s">
        <v>347</v>
      </c>
      <c r="H72" s="2" t="s">
        <v>60</v>
      </c>
      <c r="I72" s="2" t="s">
        <v>31</v>
      </c>
      <c r="J72" s="2" t="s">
        <v>632</v>
      </c>
      <c r="K72" s="2" t="s">
        <v>33</v>
      </c>
      <c r="L72" s="2">
        <v>1</v>
      </c>
      <c r="M72" s="3">
        <v>49.99</v>
      </c>
      <c r="N72" s="2" t="s">
        <v>152</v>
      </c>
      <c r="O72" s="3">
        <v>2.5</v>
      </c>
      <c r="P72" s="3">
        <v>9.99</v>
      </c>
      <c r="Q72" s="3">
        <v>4.04</v>
      </c>
      <c r="R72" s="3">
        <v>61.52</v>
      </c>
      <c r="S72" s="2" t="s">
        <v>35</v>
      </c>
      <c r="T72" s="2" t="s">
        <v>144</v>
      </c>
      <c r="U72" s="2" t="s">
        <v>66</v>
      </c>
      <c r="V72" s="2" t="s">
        <v>633</v>
      </c>
      <c r="W72" s="3">
        <v>0</v>
      </c>
      <c r="X72" t="str">
        <f t="shared" si="3"/>
        <v>February</v>
      </c>
      <c r="Y72" t="str">
        <f t="shared" si="4"/>
        <v>Q1</v>
      </c>
      <c r="Z72" s="7">
        <f t="shared" si="5"/>
        <v>47.49</v>
      </c>
    </row>
    <row r="73" spans="1:26" x14ac:dyDescent="0.3">
      <c r="A73" s="4" t="s">
        <v>634</v>
      </c>
      <c r="B73" s="9" t="s">
        <v>635</v>
      </c>
      <c r="C73" s="4" t="s">
        <v>636</v>
      </c>
      <c r="D73" s="4" t="s">
        <v>637</v>
      </c>
      <c r="E73" s="4" t="s">
        <v>638</v>
      </c>
      <c r="F73" s="4" t="s">
        <v>639</v>
      </c>
      <c r="G73" s="4" t="s">
        <v>640</v>
      </c>
      <c r="H73" s="4" t="s">
        <v>161</v>
      </c>
      <c r="I73" s="4" t="s">
        <v>31</v>
      </c>
      <c r="J73" s="4" t="s">
        <v>217</v>
      </c>
      <c r="K73" s="4" t="s">
        <v>110</v>
      </c>
      <c r="L73" s="4">
        <v>1</v>
      </c>
      <c r="M73" s="5">
        <v>22.99</v>
      </c>
      <c r="N73" s="4" t="s">
        <v>34</v>
      </c>
      <c r="O73" s="5">
        <v>0</v>
      </c>
      <c r="P73" s="5">
        <v>7.99</v>
      </c>
      <c r="Q73" s="5">
        <v>1.61</v>
      </c>
      <c r="R73" s="5">
        <v>32.590000000000003</v>
      </c>
      <c r="S73" s="4" t="s">
        <v>332</v>
      </c>
      <c r="T73" s="4" t="s">
        <v>144</v>
      </c>
      <c r="U73" s="4" t="s">
        <v>66</v>
      </c>
      <c r="V73" s="4" t="s">
        <v>641</v>
      </c>
      <c r="W73" s="5">
        <v>0</v>
      </c>
      <c r="X73" t="str">
        <f t="shared" si="3"/>
        <v>March</v>
      </c>
      <c r="Y73" t="str">
        <f t="shared" si="4"/>
        <v>Q1</v>
      </c>
      <c r="Z73" s="7">
        <f t="shared" si="5"/>
        <v>22.99</v>
      </c>
    </row>
    <row r="74" spans="1:26" x14ac:dyDescent="0.3">
      <c r="A74" s="2" t="s">
        <v>642</v>
      </c>
      <c r="B74" s="8" t="s">
        <v>145</v>
      </c>
      <c r="C74" s="2" t="s">
        <v>643</v>
      </c>
      <c r="D74" s="2" t="s">
        <v>644</v>
      </c>
      <c r="E74" s="2" t="s">
        <v>645</v>
      </c>
      <c r="F74" s="2" t="s">
        <v>646</v>
      </c>
      <c r="G74" s="2" t="s">
        <v>140</v>
      </c>
      <c r="H74" s="2" t="s">
        <v>141</v>
      </c>
      <c r="I74" s="2" t="s">
        <v>31</v>
      </c>
      <c r="J74" s="2" t="s">
        <v>647</v>
      </c>
      <c r="K74" s="2" t="s">
        <v>48</v>
      </c>
      <c r="L74" s="2">
        <v>3</v>
      </c>
      <c r="M74" s="3">
        <v>128.96</v>
      </c>
      <c r="N74" s="2" t="s">
        <v>163</v>
      </c>
      <c r="O74" s="3">
        <v>25.79</v>
      </c>
      <c r="P74" s="3">
        <v>0</v>
      </c>
      <c r="Q74" s="3">
        <v>6.19</v>
      </c>
      <c r="R74" s="3">
        <v>109.36</v>
      </c>
      <c r="S74" s="2" t="s">
        <v>111</v>
      </c>
      <c r="T74" s="2" t="s">
        <v>36</v>
      </c>
      <c r="U74" s="2" t="s">
        <v>317</v>
      </c>
      <c r="V74" s="2"/>
      <c r="W74" s="3">
        <v>0</v>
      </c>
      <c r="X74" t="str">
        <f t="shared" si="3"/>
        <v>August</v>
      </c>
      <c r="Y74" t="str">
        <f t="shared" si="4"/>
        <v>Q3</v>
      </c>
      <c r="Z74" s="7">
        <f t="shared" si="5"/>
        <v>103.17000000000002</v>
      </c>
    </row>
    <row r="75" spans="1:26" x14ac:dyDescent="0.3">
      <c r="A75" s="4" t="s">
        <v>648</v>
      </c>
      <c r="B75" s="9" t="s">
        <v>649</v>
      </c>
      <c r="C75" s="4" t="s">
        <v>650</v>
      </c>
      <c r="D75" s="4" t="s">
        <v>651</v>
      </c>
      <c r="E75" s="4" t="s">
        <v>652</v>
      </c>
      <c r="F75" s="4" t="s">
        <v>653</v>
      </c>
      <c r="G75" s="4" t="s">
        <v>171</v>
      </c>
      <c r="H75" s="4" t="s">
        <v>88</v>
      </c>
      <c r="I75" s="4" t="s">
        <v>31</v>
      </c>
      <c r="J75" s="4" t="s">
        <v>654</v>
      </c>
      <c r="K75" s="4" t="s">
        <v>33</v>
      </c>
      <c r="L75" s="4">
        <v>2</v>
      </c>
      <c r="M75" s="5">
        <v>43.98</v>
      </c>
      <c r="N75" s="4" t="s">
        <v>34</v>
      </c>
      <c r="O75" s="5">
        <v>0</v>
      </c>
      <c r="P75" s="5">
        <v>5.99</v>
      </c>
      <c r="Q75" s="5">
        <v>3.74</v>
      </c>
      <c r="R75" s="5">
        <v>53.71</v>
      </c>
      <c r="S75" s="4" t="s">
        <v>64</v>
      </c>
      <c r="T75" s="4" t="s">
        <v>173</v>
      </c>
      <c r="U75" s="4" t="s">
        <v>317</v>
      </c>
      <c r="V75" s="4"/>
      <c r="W75" s="5">
        <v>0</v>
      </c>
      <c r="X75" t="str">
        <f t="shared" si="3"/>
        <v>August</v>
      </c>
      <c r="Y75" t="str">
        <f t="shared" si="4"/>
        <v>Q3</v>
      </c>
      <c r="Z75" s="7">
        <f t="shared" si="5"/>
        <v>43.98</v>
      </c>
    </row>
    <row r="76" spans="1:26" x14ac:dyDescent="0.3">
      <c r="A76" s="2" t="s">
        <v>655</v>
      </c>
      <c r="B76" s="8" t="s">
        <v>656</v>
      </c>
      <c r="C76" s="2" t="s">
        <v>657</v>
      </c>
      <c r="D76" s="2" t="s">
        <v>658</v>
      </c>
      <c r="E76" s="2" t="s">
        <v>659</v>
      </c>
      <c r="F76" s="2" t="s">
        <v>660</v>
      </c>
      <c r="G76" s="2" t="s">
        <v>347</v>
      </c>
      <c r="H76" s="2" t="s">
        <v>60</v>
      </c>
      <c r="I76" s="2" t="s">
        <v>31</v>
      </c>
      <c r="J76" s="2" t="s">
        <v>661</v>
      </c>
      <c r="K76" s="2" t="s">
        <v>143</v>
      </c>
      <c r="L76" s="2">
        <v>1</v>
      </c>
      <c r="M76" s="3">
        <v>79.989999999999995</v>
      </c>
      <c r="N76" s="2" t="s">
        <v>78</v>
      </c>
      <c r="O76" s="3">
        <v>8</v>
      </c>
      <c r="P76" s="3">
        <v>0</v>
      </c>
      <c r="Q76" s="3">
        <v>5.76</v>
      </c>
      <c r="R76" s="3">
        <v>77.75</v>
      </c>
      <c r="S76" s="2" t="s">
        <v>64</v>
      </c>
      <c r="T76" s="2" t="s">
        <v>183</v>
      </c>
      <c r="U76" s="2" t="s">
        <v>66</v>
      </c>
      <c r="V76" s="2" t="s">
        <v>268</v>
      </c>
      <c r="W76" s="3">
        <v>0</v>
      </c>
      <c r="X76" t="str">
        <f t="shared" si="3"/>
        <v>September</v>
      </c>
      <c r="Y76" t="str">
        <f t="shared" si="4"/>
        <v>Q3</v>
      </c>
      <c r="Z76" s="7">
        <f t="shared" si="5"/>
        <v>71.989999999999995</v>
      </c>
    </row>
    <row r="77" spans="1:26" x14ac:dyDescent="0.3">
      <c r="A77" s="4" t="s">
        <v>662</v>
      </c>
      <c r="B77" s="9" t="s">
        <v>663</v>
      </c>
      <c r="C77" s="4" t="s">
        <v>664</v>
      </c>
      <c r="D77" s="4" t="s">
        <v>665</v>
      </c>
      <c r="E77" s="4" t="s">
        <v>666</v>
      </c>
      <c r="F77" s="4" t="s">
        <v>667</v>
      </c>
      <c r="G77" s="4" t="s">
        <v>59</v>
      </c>
      <c r="H77" s="4" t="s">
        <v>60</v>
      </c>
      <c r="I77" s="4" t="s">
        <v>31</v>
      </c>
      <c r="J77" s="4" t="s">
        <v>668</v>
      </c>
      <c r="K77" s="4" t="s">
        <v>110</v>
      </c>
      <c r="L77" s="4">
        <v>4</v>
      </c>
      <c r="M77" s="5">
        <v>247.95</v>
      </c>
      <c r="N77" s="4" t="s">
        <v>152</v>
      </c>
      <c r="O77" s="5">
        <v>12.4</v>
      </c>
      <c r="P77" s="5">
        <v>0</v>
      </c>
      <c r="Q77" s="5">
        <v>18.84</v>
      </c>
      <c r="R77" s="5">
        <v>254.39</v>
      </c>
      <c r="S77" s="4" t="s">
        <v>111</v>
      </c>
      <c r="T77" s="4" t="s">
        <v>36</v>
      </c>
      <c r="U77" s="4" t="s">
        <v>66</v>
      </c>
      <c r="V77" s="4" t="s">
        <v>669</v>
      </c>
      <c r="W77" s="5">
        <v>0</v>
      </c>
      <c r="X77" t="str">
        <f t="shared" si="3"/>
        <v>March</v>
      </c>
      <c r="Y77" t="str">
        <f t="shared" si="4"/>
        <v>Q1</v>
      </c>
      <c r="Z77" s="7">
        <f t="shared" si="5"/>
        <v>235.54999999999998</v>
      </c>
    </row>
    <row r="78" spans="1:26" x14ac:dyDescent="0.3">
      <c r="A78" s="2" t="s">
        <v>670</v>
      </c>
      <c r="B78" s="8" t="s">
        <v>671</v>
      </c>
      <c r="C78" s="2" t="s">
        <v>672</v>
      </c>
      <c r="D78" s="2" t="s">
        <v>673</v>
      </c>
      <c r="E78" s="2" t="s">
        <v>674</v>
      </c>
      <c r="F78" s="2" t="s">
        <v>675</v>
      </c>
      <c r="G78" s="2" t="s">
        <v>676</v>
      </c>
      <c r="H78" s="2" t="s">
        <v>677</v>
      </c>
      <c r="I78" s="2" t="s">
        <v>31</v>
      </c>
      <c r="J78" s="2" t="s">
        <v>678</v>
      </c>
      <c r="K78" s="2" t="s">
        <v>679</v>
      </c>
      <c r="L78" s="2">
        <v>1</v>
      </c>
      <c r="M78" s="3">
        <v>14.99</v>
      </c>
      <c r="N78" s="2" t="s">
        <v>78</v>
      </c>
      <c r="O78" s="3">
        <v>1.5</v>
      </c>
      <c r="P78" s="3">
        <v>7.99</v>
      </c>
      <c r="Q78" s="3">
        <v>0.81</v>
      </c>
      <c r="R78" s="3">
        <v>22.29</v>
      </c>
      <c r="S78" s="2" t="s">
        <v>64</v>
      </c>
      <c r="T78" s="2" t="s">
        <v>325</v>
      </c>
      <c r="U78" s="2" t="s">
        <v>66</v>
      </c>
      <c r="V78" s="2" t="s">
        <v>680</v>
      </c>
      <c r="W78" s="3">
        <v>0</v>
      </c>
      <c r="X78" t="str">
        <f t="shared" si="3"/>
        <v>January</v>
      </c>
      <c r="Y78" t="str">
        <f t="shared" si="4"/>
        <v>Q1</v>
      </c>
      <c r="Z78" s="7">
        <f t="shared" si="5"/>
        <v>13.49</v>
      </c>
    </row>
    <row r="79" spans="1:26" x14ac:dyDescent="0.3">
      <c r="A79" s="4" t="s">
        <v>681</v>
      </c>
      <c r="B79" s="9" t="s">
        <v>527</v>
      </c>
      <c r="C79" s="4" t="s">
        <v>682</v>
      </c>
      <c r="D79" s="4" t="s">
        <v>683</v>
      </c>
      <c r="E79" s="4" t="s">
        <v>684</v>
      </c>
      <c r="F79" s="4" t="s">
        <v>685</v>
      </c>
      <c r="G79" s="4" t="s">
        <v>428</v>
      </c>
      <c r="H79" s="4" t="s">
        <v>429</v>
      </c>
      <c r="I79" s="4" t="s">
        <v>31</v>
      </c>
      <c r="J79" s="4" t="s">
        <v>686</v>
      </c>
      <c r="K79" s="4" t="s">
        <v>122</v>
      </c>
      <c r="L79" s="4">
        <v>2</v>
      </c>
      <c r="M79" s="5">
        <v>94.98</v>
      </c>
      <c r="N79" s="4" t="s">
        <v>34</v>
      </c>
      <c r="O79" s="5">
        <v>0</v>
      </c>
      <c r="P79" s="5">
        <v>0</v>
      </c>
      <c r="Q79" s="5">
        <v>8.07</v>
      </c>
      <c r="R79" s="5">
        <v>103.05</v>
      </c>
      <c r="S79" s="4" t="s">
        <v>35</v>
      </c>
      <c r="T79" s="4" t="s">
        <v>65</v>
      </c>
      <c r="U79" s="4" t="s">
        <v>51</v>
      </c>
      <c r="V79" s="4" t="s">
        <v>564</v>
      </c>
      <c r="W79" s="5">
        <v>0</v>
      </c>
      <c r="X79" t="str">
        <f t="shared" si="3"/>
        <v>November</v>
      </c>
      <c r="Y79" t="str">
        <f t="shared" si="4"/>
        <v>Q4</v>
      </c>
      <c r="Z79" s="7">
        <f t="shared" si="5"/>
        <v>94.98</v>
      </c>
    </row>
    <row r="80" spans="1:26" x14ac:dyDescent="0.3">
      <c r="A80" s="2" t="s">
        <v>687</v>
      </c>
      <c r="B80" s="8" t="s">
        <v>349</v>
      </c>
      <c r="C80" s="2" t="s">
        <v>688</v>
      </c>
      <c r="D80" s="2" t="s">
        <v>689</v>
      </c>
      <c r="E80" s="2" t="s">
        <v>690</v>
      </c>
      <c r="F80" s="2" t="s">
        <v>691</v>
      </c>
      <c r="G80" s="2" t="s">
        <v>692</v>
      </c>
      <c r="H80" s="2" t="s">
        <v>693</v>
      </c>
      <c r="I80" s="2" t="s">
        <v>31</v>
      </c>
      <c r="J80" s="2" t="s">
        <v>694</v>
      </c>
      <c r="K80" s="2" t="s">
        <v>77</v>
      </c>
      <c r="L80" s="2">
        <v>1</v>
      </c>
      <c r="M80" s="3">
        <v>55.98</v>
      </c>
      <c r="N80" s="2" t="s">
        <v>49</v>
      </c>
      <c r="O80" s="3">
        <v>8.4</v>
      </c>
      <c r="P80" s="3">
        <v>9.99</v>
      </c>
      <c r="Q80" s="3">
        <v>3.81</v>
      </c>
      <c r="R80" s="3">
        <v>61.38</v>
      </c>
      <c r="S80" s="2" t="s">
        <v>64</v>
      </c>
      <c r="T80" s="2" t="s">
        <v>99</v>
      </c>
      <c r="U80" s="2" t="s">
        <v>51</v>
      </c>
      <c r="V80" s="2" t="s">
        <v>296</v>
      </c>
      <c r="W80" s="3">
        <v>0</v>
      </c>
      <c r="X80" t="str">
        <f t="shared" si="3"/>
        <v>August</v>
      </c>
      <c r="Y80" t="str">
        <f t="shared" si="4"/>
        <v>Q3</v>
      </c>
      <c r="Z80" s="7">
        <f t="shared" si="5"/>
        <v>47.58</v>
      </c>
    </row>
    <row r="81" spans="1:26" x14ac:dyDescent="0.3">
      <c r="A81" s="4" t="s">
        <v>695</v>
      </c>
      <c r="B81" s="9" t="s">
        <v>696</v>
      </c>
      <c r="C81" s="4" t="s">
        <v>697</v>
      </c>
      <c r="D81" s="4" t="s">
        <v>698</v>
      </c>
      <c r="E81" s="4" t="s">
        <v>699</v>
      </c>
      <c r="F81" s="4" t="s">
        <v>700</v>
      </c>
      <c r="G81" s="4" t="s">
        <v>29</v>
      </c>
      <c r="H81" s="4" t="s">
        <v>30</v>
      </c>
      <c r="I81" s="4" t="s">
        <v>31</v>
      </c>
      <c r="J81" s="4" t="s">
        <v>151</v>
      </c>
      <c r="K81" s="4" t="s">
        <v>110</v>
      </c>
      <c r="L81" s="4">
        <v>1</v>
      </c>
      <c r="M81" s="5">
        <v>39.99</v>
      </c>
      <c r="N81" s="4" t="s">
        <v>78</v>
      </c>
      <c r="O81" s="5">
        <v>4</v>
      </c>
      <c r="P81" s="5">
        <v>7.99</v>
      </c>
      <c r="Q81" s="5">
        <v>3.6</v>
      </c>
      <c r="R81" s="5">
        <v>47.58</v>
      </c>
      <c r="S81" s="4" t="s">
        <v>64</v>
      </c>
      <c r="T81" s="4" t="s">
        <v>99</v>
      </c>
      <c r="U81" s="4" t="s">
        <v>66</v>
      </c>
      <c r="V81" s="4" t="s">
        <v>701</v>
      </c>
      <c r="W81" s="5">
        <v>0</v>
      </c>
      <c r="X81" t="str">
        <f t="shared" si="3"/>
        <v>February</v>
      </c>
      <c r="Y81" t="str">
        <f t="shared" si="4"/>
        <v>Q1</v>
      </c>
      <c r="Z81" s="7">
        <f t="shared" si="5"/>
        <v>35.99</v>
      </c>
    </row>
    <row r="82" spans="1:26" x14ac:dyDescent="0.3">
      <c r="A82" s="2" t="s">
        <v>702</v>
      </c>
      <c r="B82" s="8" t="s">
        <v>703</v>
      </c>
      <c r="C82" s="2" t="s">
        <v>704</v>
      </c>
      <c r="D82" s="2" t="s">
        <v>705</v>
      </c>
      <c r="E82" s="2" t="s">
        <v>706</v>
      </c>
      <c r="F82" s="2" t="s">
        <v>707</v>
      </c>
      <c r="G82" s="2" t="s">
        <v>180</v>
      </c>
      <c r="H82" s="2" t="s">
        <v>181</v>
      </c>
      <c r="I82" s="2" t="s">
        <v>31</v>
      </c>
      <c r="J82" s="2" t="s">
        <v>708</v>
      </c>
      <c r="K82" s="2" t="s">
        <v>122</v>
      </c>
      <c r="L82" s="2">
        <v>1</v>
      </c>
      <c r="M82" s="3">
        <v>224.97</v>
      </c>
      <c r="N82" s="2" t="s">
        <v>78</v>
      </c>
      <c r="O82" s="3">
        <v>22.5</v>
      </c>
      <c r="P82" s="3">
        <v>0</v>
      </c>
      <c r="Q82" s="3">
        <v>17.21</v>
      </c>
      <c r="R82" s="3">
        <v>219.68</v>
      </c>
      <c r="S82" s="2" t="s">
        <v>35</v>
      </c>
      <c r="T82" s="2" t="s">
        <v>325</v>
      </c>
      <c r="U82" s="2" t="s">
        <v>66</v>
      </c>
      <c r="V82" s="2" t="s">
        <v>709</v>
      </c>
      <c r="W82" s="3">
        <v>0</v>
      </c>
      <c r="X82" t="str">
        <f t="shared" si="3"/>
        <v>January</v>
      </c>
      <c r="Y82" t="str">
        <f t="shared" si="4"/>
        <v>Q1</v>
      </c>
      <c r="Z82" s="7">
        <f t="shared" si="5"/>
        <v>202.47</v>
      </c>
    </row>
    <row r="83" spans="1:26" x14ac:dyDescent="0.3">
      <c r="A83" s="4" t="s">
        <v>710</v>
      </c>
      <c r="B83" s="9" t="s">
        <v>254</v>
      </c>
      <c r="C83" s="4" t="s">
        <v>711</v>
      </c>
      <c r="D83" s="4" t="s">
        <v>712</v>
      </c>
      <c r="E83" s="4" t="s">
        <v>713</v>
      </c>
      <c r="F83" s="4" t="s">
        <v>714</v>
      </c>
      <c r="G83" s="4" t="s">
        <v>224</v>
      </c>
      <c r="H83" s="4" t="s">
        <v>225</v>
      </c>
      <c r="I83" s="4" t="s">
        <v>31</v>
      </c>
      <c r="J83" s="4" t="s">
        <v>715</v>
      </c>
      <c r="K83" s="4" t="s">
        <v>110</v>
      </c>
      <c r="L83" s="4">
        <v>3</v>
      </c>
      <c r="M83" s="5">
        <v>187.97</v>
      </c>
      <c r="N83" s="4" t="s">
        <v>152</v>
      </c>
      <c r="O83" s="5">
        <v>9.4</v>
      </c>
      <c r="P83" s="5">
        <v>0</v>
      </c>
      <c r="Q83" s="5">
        <v>12.5</v>
      </c>
      <c r="R83" s="5">
        <v>191.07</v>
      </c>
      <c r="S83" s="4" t="s">
        <v>64</v>
      </c>
      <c r="T83" s="4" t="s">
        <v>99</v>
      </c>
      <c r="U83" s="4" t="s">
        <v>51</v>
      </c>
      <c r="V83" s="4" t="s">
        <v>716</v>
      </c>
      <c r="W83" s="5">
        <v>0</v>
      </c>
      <c r="X83" t="str">
        <f t="shared" si="3"/>
        <v>May</v>
      </c>
      <c r="Y83" t="str">
        <f t="shared" si="4"/>
        <v>Q2</v>
      </c>
      <c r="Z83" s="7">
        <f t="shared" si="5"/>
        <v>178.57</v>
      </c>
    </row>
    <row r="84" spans="1:26" x14ac:dyDescent="0.3">
      <c r="A84" s="2" t="s">
        <v>717</v>
      </c>
      <c r="B84" s="8" t="s">
        <v>527</v>
      </c>
      <c r="C84" s="2" t="s">
        <v>718</v>
      </c>
      <c r="D84" s="2" t="s">
        <v>719</v>
      </c>
      <c r="E84" s="2" t="s">
        <v>720</v>
      </c>
      <c r="F84" s="2" t="s">
        <v>721</v>
      </c>
      <c r="G84" s="2" t="s">
        <v>428</v>
      </c>
      <c r="H84" s="2" t="s">
        <v>429</v>
      </c>
      <c r="I84" s="2" t="s">
        <v>31</v>
      </c>
      <c r="J84" s="2" t="s">
        <v>722</v>
      </c>
      <c r="K84" s="2" t="s">
        <v>62</v>
      </c>
      <c r="L84" s="2">
        <v>3</v>
      </c>
      <c r="M84" s="3">
        <v>434.93</v>
      </c>
      <c r="N84" s="2" t="s">
        <v>163</v>
      </c>
      <c r="O84" s="3">
        <v>86.99</v>
      </c>
      <c r="P84" s="3">
        <v>0</v>
      </c>
      <c r="Q84" s="3">
        <v>27.84</v>
      </c>
      <c r="R84" s="3">
        <v>375.78</v>
      </c>
      <c r="S84" s="2" t="s">
        <v>332</v>
      </c>
      <c r="T84" s="2" t="s">
        <v>173</v>
      </c>
      <c r="U84" s="2" t="s">
        <v>317</v>
      </c>
      <c r="V84" s="2"/>
      <c r="W84" s="3">
        <v>0</v>
      </c>
      <c r="X84" t="str">
        <f t="shared" si="3"/>
        <v>November</v>
      </c>
      <c r="Y84" t="str">
        <f t="shared" si="4"/>
        <v>Q4</v>
      </c>
      <c r="Z84" s="7">
        <f t="shared" si="5"/>
        <v>347.94</v>
      </c>
    </row>
    <row r="85" spans="1:26" x14ac:dyDescent="0.3">
      <c r="A85" s="4" t="s">
        <v>723</v>
      </c>
      <c r="B85" s="9" t="s">
        <v>579</v>
      </c>
      <c r="C85" s="4" t="s">
        <v>724</v>
      </c>
      <c r="D85" s="4" t="s">
        <v>725</v>
      </c>
      <c r="E85" s="4" t="s">
        <v>726</v>
      </c>
      <c r="F85" s="4" t="s">
        <v>727</v>
      </c>
      <c r="G85" s="4" t="s">
        <v>74</v>
      </c>
      <c r="H85" s="4" t="s">
        <v>75</v>
      </c>
      <c r="I85" s="4" t="s">
        <v>31</v>
      </c>
      <c r="J85" s="4" t="s">
        <v>728</v>
      </c>
      <c r="K85" s="4" t="s">
        <v>143</v>
      </c>
      <c r="L85" s="4">
        <v>3</v>
      </c>
      <c r="M85" s="5">
        <v>174.96</v>
      </c>
      <c r="N85" s="4" t="s">
        <v>34</v>
      </c>
      <c r="O85" s="5">
        <v>0</v>
      </c>
      <c r="P85" s="5">
        <v>0</v>
      </c>
      <c r="Q85" s="5">
        <v>12.25</v>
      </c>
      <c r="R85" s="5">
        <v>187.21</v>
      </c>
      <c r="S85" s="4" t="s">
        <v>35</v>
      </c>
      <c r="T85" s="4" t="s">
        <v>65</v>
      </c>
      <c r="U85" s="4" t="s">
        <v>66</v>
      </c>
      <c r="V85" s="4" t="s">
        <v>374</v>
      </c>
      <c r="W85" s="5">
        <v>0</v>
      </c>
      <c r="X85" t="str">
        <f t="shared" si="3"/>
        <v>July</v>
      </c>
      <c r="Y85" t="str">
        <f t="shared" si="4"/>
        <v>Q3</v>
      </c>
      <c r="Z85" s="7">
        <f t="shared" si="5"/>
        <v>174.96</v>
      </c>
    </row>
    <row r="86" spans="1:26" x14ac:dyDescent="0.3">
      <c r="A86" s="2" t="s">
        <v>729</v>
      </c>
      <c r="B86" s="8" t="s">
        <v>498</v>
      </c>
      <c r="C86" s="2" t="s">
        <v>730</v>
      </c>
      <c r="D86" s="2" t="s">
        <v>731</v>
      </c>
      <c r="E86" s="2" t="s">
        <v>732</v>
      </c>
      <c r="F86" s="2" t="s">
        <v>733</v>
      </c>
      <c r="G86" s="2" t="s">
        <v>119</v>
      </c>
      <c r="H86" s="2" t="s">
        <v>120</v>
      </c>
      <c r="I86" s="2" t="s">
        <v>31</v>
      </c>
      <c r="J86" s="2" t="s">
        <v>495</v>
      </c>
      <c r="K86" s="2" t="s">
        <v>209</v>
      </c>
      <c r="L86" s="2">
        <v>1</v>
      </c>
      <c r="M86" s="3">
        <v>29.99</v>
      </c>
      <c r="N86" s="2" t="s">
        <v>34</v>
      </c>
      <c r="O86" s="3">
        <v>0</v>
      </c>
      <c r="P86" s="3">
        <v>7.99</v>
      </c>
      <c r="Q86" s="3">
        <v>1.8</v>
      </c>
      <c r="R86" s="3">
        <v>39.78</v>
      </c>
      <c r="S86" s="2" t="s">
        <v>111</v>
      </c>
      <c r="T86" s="2" t="s">
        <v>36</v>
      </c>
      <c r="U86" s="2" t="s">
        <v>66</v>
      </c>
      <c r="V86" s="2" t="s">
        <v>734</v>
      </c>
      <c r="W86" s="3">
        <v>0</v>
      </c>
      <c r="X86" t="str">
        <f t="shared" si="3"/>
        <v>May</v>
      </c>
      <c r="Y86" t="str">
        <f t="shared" si="4"/>
        <v>Q2</v>
      </c>
      <c r="Z86" s="7">
        <f t="shared" si="5"/>
        <v>29.99</v>
      </c>
    </row>
    <row r="87" spans="1:26" x14ac:dyDescent="0.3">
      <c r="A87" s="4" t="s">
        <v>735</v>
      </c>
      <c r="B87" s="9" t="s">
        <v>736</v>
      </c>
      <c r="C87" s="4" t="s">
        <v>737</v>
      </c>
      <c r="D87" s="4" t="s">
        <v>738</v>
      </c>
      <c r="E87" s="4" t="s">
        <v>739</v>
      </c>
      <c r="F87" s="4" t="s">
        <v>740</v>
      </c>
      <c r="G87" s="4" t="s">
        <v>45</v>
      </c>
      <c r="H87" s="4" t="s">
        <v>46</v>
      </c>
      <c r="I87" s="4" t="s">
        <v>31</v>
      </c>
      <c r="J87" s="4" t="s">
        <v>741</v>
      </c>
      <c r="K87" s="4" t="s">
        <v>122</v>
      </c>
      <c r="L87" s="4">
        <v>1</v>
      </c>
      <c r="M87" s="5">
        <v>139.97999999999999</v>
      </c>
      <c r="N87" s="4" t="s">
        <v>63</v>
      </c>
      <c r="O87" s="5">
        <v>34.99</v>
      </c>
      <c r="P87" s="5">
        <v>0</v>
      </c>
      <c r="Q87" s="5">
        <v>10.5</v>
      </c>
      <c r="R87" s="5">
        <v>115.49</v>
      </c>
      <c r="S87" s="4" t="s">
        <v>64</v>
      </c>
      <c r="T87" s="4" t="s">
        <v>173</v>
      </c>
      <c r="U87" s="4" t="s">
        <v>66</v>
      </c>
      <c r="V87" s="4" t="s">
        <v>742</v>
      </c>
      <c r="W87" s="5">
        <v>0</v>
      </c>
      <c r="X87" t="str">
        <f t="shared" si="3"/>
        <v>January</v>
      </c>
      <c r="Y87" t="str">
        <f t="shared" si="4"/>
        <v>Q1</v>
      </c>
      <c r="Z87" s="7">
        <f t="shared" si="5"/>
        <v>104.98999999999998</v>
      </c>
    </row>
    <row r="88" spans="1:26" x14ac:dyDescent="0.3">
      <c r="A88" s="2" t="s">
        <v>743</v>
      </c>
      <c r="B88" s="8" t="s">
        <v>744</v>
      </c>
      <c r="C88" s="2" t="s">
        <v>745</v>
      </c>
      <c r="D88" s="2" t="s">
        <v>746</v>
      </c>
      <c r="E88" s="2" t="s">
        <v>747</v>
      </c>
      <c r="F88" s="2" t="s">
        <v>748</v>
      </c>
      <c r="G88" s="2" t="s">
        <v>107</v>
      </c>
      <c r="H88" s="2" t="s">
        <v>108</v>
      </c>
      <c r="I88" s="2" t="s">
        <v>31</v>
      </c>
      <c r="J88" s="2" t="s">
        <v>749</v>
      </c>
      <c r="K88" s="2" t="s">
        <v>143</v>
      </c>
      <c r="L88" s="2">
        <v>3</v>
      </c>
      <c r="M88" s="3">
        <v>207.97</v>
      </c>
      <c r="N88" s="2" t="s">
        <v>34</v>
      </c>
      <c r="O88" s="3">
        <v>0</v>
      </c>
      <c r="P88" s="3">
        <v>0</v>
      </c>
      <c r="Q88" s="3">
        <v>16.64</v>
      </c>
      <c r="R88" s="3">
        <v>224.61</v>
      </c>
      <c r="S88" s="2" t="s">
        <v>123</v>
      </c>
      <c r="T88" s="2" t="s">
        <v>36</v>
      </c>
      <c r="U88" s="2" t="s">
        <v>66</v>
      </c>
      <c r="V88" s="2" t="s">
        <v>750</v>
      </c>
      <c r="W88" s="3">
        <v>0</v>
      </c>
      <c r="X88" t="str">
        <f t="shared" si="3"/>
        <v>February</v>
      </c>
      <c r="Y88" t="str">
        <f t="shared" si="4"/>
        <v>Q1</v>
      </c>
      <c r="Z88" s="7">
        <f t="shared" si="5"/>
        <v>207.97</v>
      </c>
    </row>
    <row r="89" spans="1:26" x14ac:dyDescent="0.3">
      <c r="A89" s="4" t="s">
        <v>751</v>
      </c>
      <c r="B89" s="9" t="s">
        <v>752</v>
      </c>
      <c r="C89" s="4" t="s">
        <v>753</v>
      </c>
      <c r="D89" s="4" t="s">
        <v>457</v>
      </c>
      <c r="E89" s="4" t="s">
        <v>754</v>
      </c>
      <c r="F89" s="4" t="s">
        <v>755</v>
      </c>
      <c r="G89" s="4" t="s">
        <v>180</v>
      </c>
      <c r="H89" s="4" t="s">
        <v>181</v>
      </c>
      <c r="I89" s="4" t="s">
        <v>31</v>
      </c>
      <c r="J89" s="4" t="s">
        <v>756</v>
      </c>
      <c r="K89" s="4" t="s">
        <v>364</v>
      </c>
      <c r="L89" s="4">
        <v>2</v>
      </c>
      <c r="M89" s="5">
        <v>99.98</v>
      </c>
      <c r="N89" s="4" t="s">
        <v>78</v>
      </c>
      <c r="O89" s="5">
        <v>10</v>
      </c>
      <c r="P89" s="5">
        <v>0</v>
      </c>
      <c r="Q89" s="5">
        <v>7.2</v>
      </c>
      <c r="R89" s="5">
        <v>97.18</v>
      </c>
      <c r="S89" s="4" t="s">
        <v>332</v>
      </c>
      <c r="T89" s="4" t="s">
        <v>99</v>
      </c>
      <c r="U89" s="4" t="s">
        <v>66</v>
      </c>
      <c r="V89" s="4" t="s">
        <v>593</v>
      </c>
      <c r="W89" s="5">
        <v>0</v>
      </c>
      <c r="X89" t="str">
        <f t="shared" si="3"/>
        <v>July</v>
      </c>
      <c r="Y89" t="str">
        <f t="shared" si="4"/>
        <v>Q3</v>
      </c>
      <c r="Z89" s="7">
        <f t="shared" si="5"/>
        <v>89.98</v>
      </c>
    </row>
    <row r="90" spans="1:26" x14ac:dyDescent="0.3">
      <c r="A90" s="2" t="s">
        <v>757</v>
      </c>
      <c r="B90" s="8" t="s">
        <v>758</v>
      </c>
      <c r="C90" s="2" t="s">
        <v>759</v>
      </c>
      <c r="D90" s="2" t="s">
        <v>485</v>
      </c>
      <c r="E90" s="2" t="s">
        <v>760</v>
      </c>
      <c r="F90" s="2" t="s">
        <v>761</v>
      </c>
      <c r="G90" s="2" t="s">
        <v>140</v>
      </c>
      <c r="H90" s="2" t="s">
        <v>141</v>
      </c>
      <c r="I90" s="2" t="s">
        <v>31</v>
      </c>
      <c r="J90" s="2" t="s">
        <v>762</v>
      </c>
      <c r="K90" s="2" t="s">
        <v>122</v>
      </c>
      <c r="L90" s="2">
        <v>3</v>
      </c>
      <c r="M90" s="3">
        <v>304.95</v>
      </c>
      <c r="N90" s="2" t="s">
        <v>34</v>
      </c>
      <c r="O90" s="3">
        <v>0</v>
      </c>
      <c r="P90" s="3">
        <v>0</v>
      </c>
      <c r="Q90" s="3">
        <v>21.35</v>
      </c>
      <c r="R90" s="3">
        <v>326.3</v>
      </c>
      <c r="S90" s="2" t="s">
        <v>35</v>
      </c>
      <c r="T90" s="2" t="s">
        <v>183</v>
      </c>
      <c r="U90" s="2" t="s">
        <v>100</v>
      </c>
      <c r="V90" s="2"/>
      <c r="W90" s="3">
        <v>0</v>
      </c>
      <c r="X90" t="str">
        <f t="shared" si="3"/>
        <v>May</v>
      </c>
      <c r="Y90" t="str">
        <f t="shared" si="4"/>
        <v>Q2</v>
      </c>
      <c r="Z90" s="7">
        <f t="shared" si="5"/>
        <v>304.95</v>
      </c>
    </row>
    <row r="91" spans="1:26" x14ac:dyDescent="0.3">
      <c r="A91" s="4" t="s">
        <v>763</v>
      </c>
      <c r="B91" s="9" t="s">
        <v>764</v>
      </c>
      <c r="C91" s="4" t="s">
        <v>765</v>
      </c>
      <c r="D91" s="4" t="s">
        <v>766</v>
      </c>
      <c r="E91" s="4" t="s">
        <v>767</v>
      </c>
      <c r="F91" s="4" t="s">
        <v>768</v>
      </c>
      <c r="G91" s="4" t="s">
        <v>291</v>
      </c>
      <c r="H91" s="4" t="s">
        <v>292</v>
      </c>
      <c r="I91" s="4" t="s">
        <v>31</v>
      </c>
      <c r="J91" s="4" t="s">
        <v>769</v>
      </c>
      <c r="K91" s="4" t="s">
        <v>48</v>
      </c>
      <c r="L91" s="4">
        <v>2</v>
      </c>
      <c r="M91" s="5">
        <v>119.98</v>
      </c>
      <c r="N91" s="4" t="s">
        <v>34</v>
      </c>
      <c r="O91" s="5">
        <v>0</v>
      </c>
      <c r="P91" s="5">
        <v>0</v>
      </c>
      <c r="Q91" s="5">
        <v>9.6</v>
      </c>
      <c r="R91" s="5">
        <v>129.58000000000001</v>
      </c>
      <c r="S91" s="4" t="s">
        <v>123</v>
      </c>
      <c r="T91" s="4" t="s">
        <v>183</v>
      </c>
      <c r="U91" s="4" t="s">
        <v>51</v>
      </c>
      <c r="V91" s="4" t="s">
        <v>601</v>
      </c>
      <c r="W91" s="5">
        <v>0</v>
      </c>
      <c r="X91" t="str">
        <f t="shared" si="3"/>
        <v>April</v>
      </c>
      <c r="Y91" t="str">
        <f t="shared" si="4"/>
        <v>Q2</v>
      </c>
      <c r="Z91" s="7">
        <f t="shared" si="5"/>
        <v>119.98</v>
      </c>
    </row>
    <row r="92" spans="1:26" x14ac:dyDescent="0.3">
      <c r="A92" s="2" t="s">
        <v>770</v>
      </c>
      <c r="B92" s="8" t="s">
        <v>669</v>
      </c>
      <c r="C92" s="2" t="s">
        <v>771</v>
      </c>
      <c r="D92" s="2" t="s">
        <v>772</v>
      </c>
      <c r="E92" s="2" t="s">
        <v>773</v>
      </c>
      <c r="F92" s="2" t="s">
        <v>774</v>
      </c>
      <c r="G92" s="2" t="s">
        <v>29</v>
      </c>
      <c r="H92" s="2" t="s">
        <v>30</v>
      </c>
      <c r="I92" s="2" t="s">
        <v>31</v>
      </c>
      <c r="J92" s="2" t="s">
        <v>775</v>
      </c>
      <c r="K92" s="2" t="s">
        <v>143</v>
      </c>
      <c r="L92" s="2">
        <v>2</v>
      </c>
      <c r="M92" s="3">
        <v>417.96</v>
      </c>
      <c r="N92" s="2" t="s">
        <v>34</v>
      </c>
      <c r="O92" s="3">
        <v>0</v>
      </c>
      <c r="P92" s="3">
        <v>0</v>
      </c>
      <c r="Q92" s="3">
        <v>41.8</v>
      </c>
      <c r="R92" s="3">
        <v>459.76</v>
      </c>
      <c r="S92" s="2" t="s">
        <v>123</v>
      </c>
      <c r="T92" s="2" t="s">
        <v>173</v>
      </c>
      <c r="U92" s="2" t="s">
        <v>66</v>
      </c>
      <c r="V92" s="2" t="s">
        <v>277</v>
      </c>
      <c r="W92" s="3">
        <v>0</v>
      </c>
      <c r="X92" t="str">
        <f t="shared" si="3"/>
        <v>March</v>
      </c>
      <c r="Y92" t="str">
        <f t="shared" si="4"/>
        <v>Q1</v>
      </c>
      <c r="Z92" s="7">
        <f t="shared" si="5"/>
        <v>417.96</v>
      </c>
    </row>
    <row r="93" spans="1:26" x14ac:dyDescent="0.3">
      <c r="A93" s="4" t="s">
        <v>776</v>
      </c>
      <c r="B93" s="9" t="s">
        <v>777</v>
      </c>
      <c r="C93" s="4" t="s">
        <v>778</v>
      </c>
      <c r="D93" s="4" t="s">
        <v>779</v>
      </c>
      <c r="E93" s="4" t="s">
        <v>780</v>
      </c>
      <c r="F93" s="4" t="s">
        <v>781</v>
      </c>
      <c r="G93" s="4" t="s">
        <v>282</v>
      </c>
      <c r="H93" s="4" t="s">
        <v>88</v>
      </c>
      <c r="I93" s="4" t="s">
        <v>31</v>
      </c>
      <c r="J93" s="4" t="s">
        <v>782</v>
      </c>
      <c r="K93" s="4" t="s">
        <v>122</v>
      </c>
      <c r="L93" s="4">
        <v>2</v>
      </c>
      <c r="M93" s="5">
        <v>93.98</v>
      </c>
      <c r="N93" s="4" t="s">
        <v>78</v>
      </c>
      <c r="O93" s="5">
        <v>9.4</v>
      </c>
      <c r="P93" s="5">
        <v>0</v>
      </c>
      <c r="Q93" s="5">
        <v>7.61</v>
      </c>
      <c r="R93" s="5">
        <v>92.19</v>
      </c>
      <c r="S93" s="4" t="s">
        <v>98</v>
      </c>
      <c r="T93" s="4" t="s">
        <v>99</v>
      </c>
      <c r="U93" s="4" t="s">
        <v>66</v>
      </c>
      <c r="V93" s="4" t="s">
        <v>342</v>
      </c>
      <c r="W93" s="5">
        <v>0</v>
      </c>
      <c r="X93" t="str">
        <f t="shared" si="3"/>
        <v>August</v>
      </c>
      <c r="Y93" t="str">
        <f t="shared" si="4"/>
        <v>Q3</v>
      </c>
      <c r="Z93" s="7">
        <f t="shared" si="5"/>
        <v>84.58</v>
      </c>
    </row>
    <row r="94" spans="1:26" x14ac:dyDescent="0.3">
      <c r="A94" s="2" t="s">
        <v>783</v>
      </c>
      <c r="B94" s="8" t="s">
        <v>164</v>
      </c>
      <c r="C94" s="2" t="s">
        <v>784</v>
      </c>
      <c r="D94" s="2" t="s">
        <v>785</v>
      </c>
      <c r="E94" s="2" t="s">
        <v>786</v>
      </c>
      <c r="F94" s="2" t="s">
        <v>787</v>
      </c>
      <c r="G94" s="2" t="s">
        <v>242</v>
      </c>
      <c r="H94" s="2" t="s">
        <v>243</v>
      </c>
      <c r="I94" s="2" t="s">
        <v>31</v>
      </c>
      <c r="J94" s="2" t="s">
        <v>788</v>
      </c>
      <c r="K94" s="2" t="s">
        <v>33</v>
      </c>
      <c r="L94" s="2">
        <v>3</v>
      </c>
      <c r="M94" s="3">
        <v>122.96</v>
      </c>
      <c r="N94" s="2" t="s">
        <v>78</v>
      </c>
      <c r="O94" s="3">
        <v>12.3</v>
      </c>
      <c r="P94" s="3">
        <v>0</v>
      </c>
      <c r="Q94" s="3">
        <v>8.85</v>
      </c>
      <c r="R94" s="3">
        <v>119.51</v>
      </c>
      <c r="S94" s="2" t="s">
        <v>123</v>
      </c>
      <c r="T94" s="2" t="s">
        <v>36</v>
      </c>
      <c r="U94" s="2" t="s">
        <v>66</v>
      </c>
      <c r="V94" s="2" t="s">
        <v>789</v>
      </c>
      <c r="W94" s="3">
        <v>0</v>
      </c>
      <c r="X94" t="str">
        <f t="shared" si="3"/>
        <v>February</v>
      </c>
      <c r="Y94" t="str">
        <f t="shared" si="4"/>
        <v>Q1</v>
      </c>
      <c r="Z94" s="7">
        <f t="shared" si="5"/>
        <v>110.66</v>
      </c>
    </row>
    <row r="95" spans="1:26" x14ac:dyDescent="0.3">
      <c r="A95" s="4" t="s">
        <v>790</v>
      </c>
      <c r="B95" s="9" t="s">
        <v>447</v>
      </c>
      <c r="C95" s="4" t="s">
        <v>791</v>
      </c>
      <c r="D95" s="4" t="s">
        <v>792</v>
      </c>
      <c r="E95" s="4" t="s">
        <v>793</v>
      </c>
      <c r="F95" s="4" t="s">
        <v>794</v>
      </c>
      <c r="G95" s="4" t="s">
        <v>140</v>
      </c>
      <c r="H95" s="4" t="s">
        <v>141</v>
      </c>
      <c r="I95" s="4" t="s">
        <v>31</v>
      </c>
      <c r="J95" s="4" t="s">
        <v>795</v>
      </c>
      <c r="K95" s="4" t="s">
        <v>122</v>
      </c>
      <c r="L95" s="4">
        <v>2</v>
      </c>
      <c r="M95" s="5">
        <v>99.98</v>
      </c>
      <c r="N95" s="4" t="s">
        <v>63</v>
      </c>
      <c r="O95" s="5">
        <v>25</v>
      </c>
      <c r="P95" s="5">
        <v>0</v>
      </c>
      <c r="Q95" s="5">
        <v>6.37</v>
      </c>
      <c r="R95" s="5">
        <v>81.349999999999994</v>
      </c>
      <c r="S95" s="4" t="s">
        <v>79</v>
      </c>
      <c r="T95" s="4" t="s">
        <v>99</v>
      </c>
      <c r="U95" s="4" t="s">
        <v>66</v>
      </c>
      <c r="V95" s="4" t="s">
        <v>453</v>
      </c>
      <c r="W95" s="5">
        <v>0</v>
      </c>
      <c r="X95" t="str">
        <f t="shared" si="3"/>
        <v>May</v>
      </c>
      <c r="Y95" t="str">
        <f t="shared" si="4"/>
        <v>Q2</v>
      </c>
      <c r="Z95" s="7">
        <f t="shared" si="5"/>
        <v>74.98</v>
      </c>
    </row>
    <row r="96" spans="1:26" x14ac:dyDescent="0.3">
      <c r="A96" s="2" t="s">
        <v>796</v>
      </c>
      <c r="B96" s="8" t="s">
        <v>797</v>
      </c>
      <c r="C96" s="2" t="s">
        <v>798</v>
      </c>
      <c r="D96" s="2" t="s">
        <v>799</v>
      </c>
      <c r="E96" s="2" t="s">
        <v>800</v>
      </c>
      <c r="F96" s="2" t="s">
        <v>801</v>
      </c>
      <c r="G96" s="2" t="s">
        <v>802</v>
      </c>
      <c r="H96" s="2" t="s">
        <v>88</v>
      </c>
      <c r="I96" s="2" t="s">
        <v>31</v>
      </c>
      <c r="J96" s="2" t="s">
        <v>803</v>
      </c>
      <c r="K96" s="2" t="s">
        <v>209</v>
      </c>
      <c r="L96" s="2">
        <v>2</v>
      </c>
      <c r="M96" s="3">
        <v>115.97</v>
      </c>
      <c r="N96" s="2" t="s">
        <v>78</v>
      </c>
      <c r="O96" s="3">
        <v>11.6</v>
      </c>
      <c r="P96" s="3">
        <v>0</v>
      </c>
      <c r="Q96" s="3">
        <v>10.44</v>
      </c>
      <c r="R96" s="3">
        <v>114.81</v>
      </c>
      <c r="S96" s="2" t="s">
        <v>35</v>
      </c>
      <c r="T96" s="2" t="s">
        <v>99</v>
      </c>
      <c r="U96" s="2" t="s">
        <v>37</v>
      </c>
      <c r="V96" s="2" t="s">
        <v>804</v>
      </c>
      <c r="W96" s="3">
        <v>114.81</v>
      </c>
      <c r="X96" t="str">
        <f t="shared" si="3"/>
        <v>December</v>
      </c>
      <c r="Y96" t="str">
        <f t="shared" si="4"/>
        <v>Q4</v>
      </c>
      <c r="Z96" s="7">
        <f t="shared" si="5"/>
        <v>104.37</v>
      </c>
    </row>
    <row r="97" spans="1:26" x14ac:dyDescent="0.3">
      <c r="A97" s="4" t="s">
        <v>805</v>
      </c>
      <c r="B97" s="9" t="s">
        <v>806</v>
      </c>
      <c r="C97" s="4" t="s">
        <v>807</v>
      </c>
      <c r="D97" s="4" t="s">
        <v>808</v>
      </c>
      <c r="E97" s="4" t="s">
        <v>809</v>
      </c>
      <c r="F97" s="4" t="s">
        <v>810</v>
      </c>
      <c r="G97" s="4" t="s">
        <v>640</v>
      </c>
      <c r="H97" s="4" t="s">
        <v>161</v>
      </c>
      <c r="I97" s="4" t="s">
        <v>31</v>
      </c>
      <c r="J97" s="4" t="s">
        <v>811</v>
      </c>
      <c r="K97" s="4" t="s">
        <v>122</v>
      </c>
      <c r="L97" s="4">
        <v>3</v>
      </c>
      <c r="M97" s="5">
        <v>232.97</v>
      </c>
      <c r="N97" s="4" t="s">
        <v>63</v>
      </c>
      <c r="O97" s="5">
        <v>58.24</v>
      </c>
      <c r="P97" s="5">
        <v>0</v>
      </c>
      <c r="Q97" s="5">
        <v>12.23</v>
      </c>
      <c r="R97" s="5">
        <v>186.96</v>
      </c>
      <c r="S97" s="4" t="s">
        <v>64</v>
      </c>
      <c r="T97" s="4" t="s">
        <v>99</v>
      </c>
      <c r="U97" s="4" t="s">
        <v>66</v>
      </c>
      <c r="V97" s="4" t="s">
        <v>366</v>
      </c>
      <c r="W97" s="5">
        <v>0</v>
      </c>
      <c r="X97" t="str">
        <f t="shared" si="3"/>
        <v>March</v>
      </c>
      <c r="Y97" t="str">
        <f t="shared" si="4"/>
        <v>Q1</v>
      </c>
      <c r="Z97" s="7">
        <f t="shared" si="5"/>
        <v>174.73</v>
      </c>
    </row>
    <row r="98" spans="1:26" x14ac:dyDescent="0.3">
      <c r="A98" s="2" t="s">
        <v>812</v>
      </c>
      <c r="B98" s="8" t="s">
        <v>601</v>
      </c>
      <c r="C98" s="2" t="s">
        <v>813</v>
      </c>
      <c r="D98" s="2" t="s">
        <v>814</v>
      </c>
      <c r="E98" s="2" t="s">
        <v>815</v>
      </c>
      <c r="F98" s="2" t="s">
        <v>816</v>
      </c>
      <c r="G98" s="2" t="s">
        <v>347</v>
      </c>
      <c r="H98" s="2" t="s">
        <v>60</v>
      </c>
      <c r="I98" s="2" t="s">
        <v>31</v>
      </c>
      <c r="J98" s="2" t="s">
        <v>817</v>
      </c>
      <c r="K98" s="2" t="s">
        <v>679</v>
      </c>
      <c r="L98" s="2">
        <v>2</v>
      </c>
      <c r="M98" s="3">
        <v>64.98</v>
      </c>
      <c r="N98" s="2" t="s">
        <v>63</v>
      </c>
      <c r="O98" s="3">
        <v>16.25</v>
      </c>
      <c r="P98" s="3">
        <v>5.99</v>
      </c>
      <c r="Q98" s="3">
        <v>3.41</v>
      </c>
      <c r="R98" s="3">
        <v>58.13</v>
      </c>
      <c r="S98" s="2" t="s">
        <v>123</v>
      </c>
      <c r="T98" s="2" t="s">
        <v>65</v>
      </c>
      <c r="U98" s="2" t="s">
        <v>66</v>
      </c>
      <c r="V98" s="2" t="s">
        <v>235</v>
      </c>
      <c r="W98" s="3">
        <v>0</v>
      </c>
      <c r="X98" t="str">
        <f t="shared" si="3"/>
        <v>May</v>
      </c>
      <c r="Y98" t="str">
        <f t="shared" si="4"/>
        <v>Q2</v>
      </c>
      <c r="Z98" s="7">
        <f t="shared" si="5"/>
        <v>48.730000000000004</v>
      </c>
    </row>
    <row r="99" spans="1:26" x14ac:dyDescent="0.3">
      <c r="A99" s="4" t="s">
        <v>818</v>
      </c>
      <c r="B99" s="9" t="s">
        <v>194</v>
      </c>
      <c r="C99" s="4" t="s">
        <v>819</v>
      </c>
      <c r="D99" s="4" t="s">
        <v>820</v>
      </c>
      <c r="E99" s="4" t="s">
        <v>821</v>
      </c>
      <c r="F99" s="4" t="s">
        <v>822</v>
      </c>
      <c r="G99" s="4" t="s">
        <v>131</v>
      </c>
      <c r="H99" s="4" t="s">
        <v>88</v>
      </c>
      <c r="I99" s="4" t="s">
        <v>31</v>
      </c>
      <c r="J99" s="4" t="s">
        <v>823</v>
      </c>
      <c r="K99" s="4" t="s">
        <v>77</v>
      </c>
      <c r="L99" s="4">
        <v>2</v>
      </c>
      <c r="M99" s="5">
        <v>89.98</v>
      </c>
      <c r="N99" s="4" t="s">
        <v>63</v>
      </c>
      <c r="O99" s="5">
        <v>22.5</v>
      </c>
      <c r="P99" s="5">
        <v>0</v>
      </c>
      <c r="Q99" s="5">
        <v>5.4</v>
      </c>
      <c r="R99" s="5">
        <v>72.88</v>
      </c>
      <c r="S99" s="4" t="s">
        <v>35</v>
      </c>
      <c r="T99" s="4" t="s">
        <v>99</v>
      </c>
      <c r="U99" s="4" t="s">
        <v>37</v>
      </c>
      <c r="V99" s="4" t="s">
        <v>824</v>
      </c>
      <c r="W99" s="5">
        <v>72.88</v>
      </c>
      <c r="X99" t="str">
        <f t="shared" si="3"/>
        <v>December</v>
      </c>
      <c r="Y99" t="str">
        <f t="shared" si="4"/>
        <v>Q4</v>
      </c>
      <c r="Z99" s="7">
        <f t="shared" si="5"/>
        <v>67.48</v>
      </c>
    </row>
    <row r="100" spans="1:26" x14ac:dyDescent="0.3">
      <c r="A100" s="2" t="s">
        <v>825</v>
      </c>
      <c r="B100" s="8" t="s">
        <v>342</v>
      </c>
      <c r="C100" s="2" t="s">
        <v>826</v>
      </c>
      <c r="D100" s="2" t="s">
        <v>827</v>
      </c>
      <c r="E100" s="2" t="s">
        <v>828</v>
      </c>
      <c r="F100" s="2" t="s">
        <v>829</v>
      </c>
      <c r="G100" s="2" t="s">
        <v>140</v>
      </c>
      <c r="H100" s="2" t="s">
        <v>141</v>
      </c>
      <c r="I100" s="2" t="s">
        <v>31</v>
      </c>
      <c r="J100" s="2" t="s">
        <v>61</v>
      </c>
      <c r="K100" s="2" t="s">
        <v>62</v>
      </c>
      <c r="L100" s="2">
        <v>1</v>
      </c>
      <c r="M100" s="3">
        <v>24.99</v>
      </c>
      <c r="N100" s="2" t="s">
        <v>34</v>
      </c>
      <c r="O100" s="3">
        <v>0</v>
      </c>
      <c r="P100" s="3">
        <v>4.99</v>
      </c>
      <c r="Q100" s="3">
        <v>1.5</v>
      </c>
      <c r="R100" s="3">
        <v>31.48</v>
      </c>
      <c r="S100" s="2" t="s">
        <v>79</v>
      </c>
      <c r="T100" s="2" t="s">
        <v>183</v>
      </c>
      <c r="U100" s="2" t="s">
        <v>66</v>
      </c>
      <c r="V100" s="2" t="s">
        <v>296</v>
      </c>
      <c r="W100" s="3">
        <v>0</v>
      </c>
      <c r="X100" t="str">
        <f t="shared" si="3"/>
        <v>August</v>
      </c>
      <c r="Y100" t="str">
        <f t="shared" si="4"/>
        <v>Q3</v>
      </c>
      <c r="Z100" s="7">
        <f t="shared" si="5"/>
        <v>24.99</v>
      </c>
    </row>
    <row r="101" spans="1:26" x14ac:dyDescent="0.3">
      <c r="A101" s="4" t="s">
        <v>830</v>
      </c>
      <c r="B101" s="9" t="s">
        <v>831</v>
      </c>
      <c r="C101" s="4" t="s">
        <v>832</v>
      </c>
      <c r="D101" s="4" t="s">
        <v>833</v>
      </c>
      <c r="E101" s="4" t="s">
        <v>834</v>
      </c>
      <c r="F101" s="4" t="s">
        <v>835</v>
      </c>
      <c r="G101" s="4" t="s">
        <v>323</v>
      </c>
      <c r="H101" s="4" t="s">
        <v>324</v>
      </c>
      <c r="I101" s="4" t="s">
        <v>31</v>
      </c>
      <c r="J101" s="4" t="s">
        <v>836</v>
      </c>
      <c r="K101" s="4" t="s">
        <v>48</v>
      </c>
      <c r="L101" s="4">
        <v>2</v>
      </c>
      <c r="M101" s="5">
        <v>92.98</v>
      </c>
      <c r="N101" s="4" t="s">
        <v>34</v>
      </c>
      <c r="O101" s="5">
        <v>0</v>
      </c>
      <c r="P101" s="5">
        <v>0</v>
      </c>
      <c r="Q101" s="5">
        <v>6.51</v>
      </c>
      <c r="R101" s="5">
        <v>99.49</v>
      </c>
      <c r="S101" s="4" t="s">
        <v>123</v>
      </c>
      <c r="T101" s="4" t="s">
        <v>173</v>
      </c>
      <c r="U101" s="4" t="s">
        <v>66</v>
      </c>
      <c r="V101" s="4" t="s">
        <v>764</v>
      </c>
      <c r="W101" s="5">
        <v>0</v>
      </c>
      <c r="X101" t="str">
        <f t="shared" si="3"/>
        <v>April</v>
      </c>
      <c r="Y101" t="str">
        <f t="shared" si="4"/>
        <v>Q2</v>
      </c>
      <c r="Z101" s="7">
        <f t="shared" si="5"/>
        <v>92.98</v>
      </c>
    </row>
    <row r="102" spans="1:26" x14ac:dyDescent="0.3">
      <c r="A102" s="2" t="s">
        <v>837</v>
      </c>
      <c r="B102" s="8" t="s">
        <v>838</v>
      </c>
      <c r="C102" s="2" t="s">
        <v>839</v>
      </c>
      <c r="D102" s="2" t="s">
        <v>840</v>
      </c>
      <c r="E102" s="2" t="s">
        <v>841</v>
      </c>
      <c r="F102" s="2" t="s">
        <v>842</v>
      </c>
      <c r="G102" s="2" t="s">
        <v>171</v>
      </c>
      <c r="H102" s="2" t="s">
        <v>88</v>
      </c>
      <c r="I102" s="2" t="s">
        <v>31</v>
      </c>
      <c r="J102" s="2" t="s">
        <v>678</v>
      </c>
      <c r="K102" s="2" t="s">
        <v>679</v>
      </c>
      <c r="L102" s="2">
        <v>1</v>
      </c>
      <c r="M102" s="3">
        <v>14.99</v>
      </c>
      <c r="N102" s="2" t="s">
        <v>163</v>
      </c>
      <c r="O102" s="3">
        <v>3</v>
      </c>
      <c r="P102" s="3">
        <v>5.99</v>
      </c>
      <c r="Q102" s="3">
        <v>0.84</v>
      </c>
      <c r="R102" s="3">
        <v>18.82</v>
      </c>
      <c r="S102" s="2" t="s">
        <v>35</v>
      </c>
      <c r="T102" s="2" t="s">
        <v>99</v>
      </c>
      <c r="U102" s="2" t="s">
        <v>317</v>
      </c>
      <c r="V102" s="2"/>
      <c r="W102" s="3">
        <v>0</v>
      </c>
      <c r="X102" t="str">
        <f t="shared" si="3"/>
        <v>February</v>
      </c>
      <c r="Y102" t="str">
        <f t="shared" si="4"/>
        <v>Q1</v>
      </c>
      <c r="Z102" s="7">
        <f t="shared" si="5"/>
        <v>11.99</v>
      </c>
    </row>
    <row r="103" spans="1:26" x14ac:dyDescent="0.3">
      <c r="A103" s="4" t="s">
        <v>843</v>
      </c>
      <c r="B103" s="9" t="s">
        <v>701</v>
      </c>
      <c r="C103" s="4" t="s">
        <v>844</v>
      </c>
      <c r="D103" s="4" t="s">
        <v>845</v>
      </c>
      <c r="E103" s="4" t="s">
        <v>846</v>
      </c>
      <c r="F103" s="4" t="s">
        <v>847</v>
      </c>
      <c r="G103" s="4" t="s">
        <v>207</v>
      </c>
      <c r="H103" s="4" t="s">
        <v>141</v>
      </c>
      <c r="I103" s="4" t="s">
        <v>31</v>
      </c>
      <c r="J103" s="4" t="s">
        <v>848</v>
      </c>
      <c r="K103" s="4" t="s">
        <v>143</v>
      </c>
      <c r="L103" s="4">
        <v>2</v>
      </c>
      <c r="M103" s="5">
        <v>94.98</v>
      </c>
      <c r="N103" s="4" t="s">
        <v>34</v>
      </c>
      <c r="O103" s="5">
        <v>0</v>
      </c>
      <c r="P103" s="5">
        <v>0</v>
      </c>
      <c r="Q103" s="5">
        <v>5.7</v>
      </c>
      <c r="R103" s="5">
        <v>100.68</v>
      </c>
      <c r="S103" s="4" t="s">
        <v>79</v>
      </c>
      <c r="T103" s="4" t="s">
        <v>173</v>
      </c>
      <c r="U103" s="4" t="s">
        <v>66</v>
      </c>
      <c r="V103" s="4" t="s">
        <v>849</v>
      </c>
      <c r="W103" s="5">
        <v>0</v>
      </c>
      <c r="X103" t="str">
        <f t="shared" si="3"/>
        <v>March</v>
      </c>
      <c r="Y103" t="str">
        <f t="shared" si="4"/>
        <v>Q1</v>
      </c>
      <c r="Z103" s="7">
        <f t="shared" si="5"/>
        <v>94.98</v>
      </c>
    </row>
    <row r="104" spans="1:26" x14ac:dyDescent="0.3">
      <c r="A104" s="2" t="s">
        <v>850</v>
      </c>
      <c r="B104" s="8" t="s">
        <v>851</v>
      </c>
      <c r="C104" s="2" t="s">
        <v>852</v>
      </c>
      <c r="D104" s="2" t="s">
        <v>853</v>
      </c>
      <c r="E104" s="2" t="s">
        <v>854</v>
      </c>
      <c r="F104" s="2" t="s">
        <v>855</v>
      </c>
      <c r="G104" s="2" t="s">
        <v>323</v>
      </c>
      <c r="H104" s="2" t="s">
        <v>324</v>
      </c>
      <c r="I104" s="2" t="s">
        <v>31</v>
      </c>
      <c r="J104" s="2" t="s">
        <v>856</v>
      </c>
      <c r="K104" s="2" t="s">
        <v>209</v>
      </c>
      <c r="L104" s="2">
        <v>1</v>
      </c>
      <c r="M104" s="3">
        <v>179.98</v>
      </c>
      <c r="N104" s="2" t="s">
        <v>49</v>
      </c>
      <c r="O104" s="3">
        <v>27</v>
      </c>
      <c r="P104" s="3">
        <v>0</v>
      </c>
      <c r="Q104" s="3">
        <v>10.71</v>
      </c>
      <c r="R104" s="3">
        <v>163.69</v>
      </c>
      <c r="S104" s="2" t="s">
        <v>111</v>
      </c>
      <c r="T104" s="2" t="s">
        <v>144</v>
      </c>
      <c r="U104" s="2" t="s">
        <v>317</v>
      </c>
      <c r="V104" s="2"/>
      <c r="W104" s="3">
        <v>0</v>
      </c>
      <c r="X104" t="str">
        <f t="shared" si="3"/>
        <v>July</v>
      </c>
      <c r="Y104" t="str">
        <f t="shared" si="4"/>
        <v>Q3</v>
      </c>
      <c r="Z104" s="7">
        <f t="shared" si="5"/>
        <v>152.97999999999999</v>
      </c>
    </row>
    <row r="105" spans="1:26" x14ac:dyDescent="0.3">
      <c r="A105" s="4" t="s">
        <v>857</v>
      </c>
      <c r="B105" s="9" t="s">
        <v>858</v>
      </c>
      <c r="C105" s="4" t="s">
        <v>859</v>
      </c>
      <c r="D105" s="4" t="s">
        <v>860</v>
      </c>
      <c r="E105" s="4" t="s">
        <v>861</v>
      </c>
      <c r="F105" s="4" t="s">
        <v>862</v>
      </c>
      <c r="G105" s="4" t="s">
        <v>428</v>
      </c>
      <c r="H105" s="4" t="s">
        <v>429</v>
      </c>
      <c r="I105" s="4" t="s">
        <v>31</v>
      </c>
      <c r="J105" s="4" t="s">
        <v>661</v>
      </c>
      <c r="K105" s="4" t="s">
        <v>143</v>
      </c>
      <c r="L105" s="4">
        <v>1</v>
      </c>
      <c r="M105" s="5">
        <v>79.989999999999995</v>
      </c>
      <c r="N105" s="4" t="s">
        <v>63</v>
      </c>
      <c r="O105" s="5">
        <v>20</v>
      </c>
      <c r="P105" s="5">
        <v>0</v>
      </c>
      <c r="Q105" s="5">
        <v>4.8</v>
      </c>
      <c r="R105" s="5">
        <v>64.790000000000006</v>
      </c>
      <c r="S105" s="4" t="s">
        <v>332</v>
      </c>
      <c r="T105" s="4" t="s">
        <v>36</v>
      </c>
      <c r="U105" s="4" t="s">
        <v>66</v>
      </c>
      <c r="V105" s="4" t="s">
        <v>863</v>
      </c>
      <c r="W105" s="5">
        <v>0</v>
      </c>
      <c r="X105" t="str">
        <f t="shared" si="3"/>
        <v>April</v>
      </c>
      <c r="Y105" t="str">
        <f t="shared" si="4"/>
        <v>Q2</v>
      </c>
      <c r="Z105" s="7">
        <f t="shared" si="5"/>
        <v>59.989999999999995</v>
      </c>
    </row>
    <row r="106" spans="1:26" x14ac:dyDescent="0.3">
      <c r="A106" s="2" t="s">
        <v>864</v>
      </c>
      <c r="B106" s="8" t="s">
        <v>865</v>
      </c>
      <c r="C106" s="2" t="s">
        <v>866</v>
      </c>
      <c r="D106" s="2" t="s">
        <v>867</v>
      </c>
      <c r="E106" s="2" t="s">
        <v>868</v>
      </c>
      <c r="F106" s="2" t="s">
        <v>869</v>
      </c>
      <c r="G106" s="2" t="s">
        <v>394</v>
      </c>
      <c r="H106" s="2" t="s">
        <v>395</v>
      </c>
      <c r="I106" s="2" t="s">
        <v>31</v>
      </c>
      <c r="J106" s="2" t="s">
        <v>870</v>
      </c>
      <c r="K106" s="2" t="s">
        <v>143</v>
      </c>
      <c r="L106" s="2">
        <v>2</v>
      </c>
      <c r="M106" s="3">
        <v>129.97999999999999</v>
      </c>
      <c r="N106" s="2" t="s">
        <v>78</v>
      </c>
      <c r="O106" s="3">
        <v>13</v>
      </c>
      <c r="P106" s="3">
        <v>0</v>
      </c>
      <c r="Q106" s="3">
        <v>9.94</v>
      </c>
      <c r="R106" s="3">
        <v>126.92</v>
      </c>
      <c r="S106" s="2" t="s">
        <v>123</v>
      </c>
      <c r="T106" s="2" t="s">
        <v>99</v>
      </c>
      <c r="U106" s="2" t="s">
        <v>37</v>
      </c>
      <c r="V106" s="2" t="s">
        <v>342</v>
      </c>
      <c r="W106" s="3">
        <v>126.92</v>
      </c>
      <c r="X106" t="str">
        <f t="shared" si="3"/>
        <v>August</v>
      </c>
      <c r="Y106" t="str">
        <f t="shared" si="4"/>
        <v>Q3</v>
      </c>
      <c r="Z106" s="7">
        <f t="shared" si="5"/>
        <v>116.97999999999999</v>
      </c>
    </row>
    <row r="107" spans="1:26" x14ac:dyDescent="0.3">
      <c r="A107" s="4" t="s">
        <v>871</v>
      </c>
      <c r="B107" s="9" t="s">
        <v>752</v>
      </c>
      <c r="C107" s="4" t="s">
        <v>872</v>
      </c>
      <c r="D107" s="4" t="s">
        <v>873</v>
      </c>
      <c r="E107" s="4" t="s">
        <v>874</v>
      </c>
      <c r="F107" s="4" t="s">
        <v>875</v>
      </c>
      <c r="G107" s="4" t="s">
        <v>59</v>
      </c>
      <c r="H107" s="4" t="s">
        <v>60</v>
      </c>
      <c r="I107" s="4" t="s">
        <v>31</v>
      </c>
      <c r="J107" s="4" t="s">
        <v>876</v>
      </c>
      <c r="K107" s="4" t="s">
        <v>143</v>
      </c>
      <c r="L107" s="4">
        <v>3</v>
      </c>
      <c r="M107" s="5">
        <v>203.97</v>
      </c>
      <c r="N107" s="4" t="s">
        <v>78</v>
      </c>
      <c r="O107" s="5">
        <v>20.399999999999999</v>
      </c>
      <c r="P107" s="5">
        <v>0</v>
      </c>
      <c r="Q107" s="5">
        <v>18.36</v>
      </c>
      <c r="R107" s="5">
        <v>201.93</v>
      </c>
      <c r="S107" s="4" t="s">
        <v>35</v>
      </c>
      <c r="T107" s="4" t="s">
        <v>173</v>
      </c>
      <c r="U107" s="4" t="s">
        <v>66</v>
      </c>
      <c r="V107" s="4" t="s">
        <v>877</v>
      </c>
      <c r="W107" s="5">
        <v>0</v>
      </c>
      <c r="X107" t="str">
        <f t="shared" si="3"/>
        <v>July</v>
      </c>
      <c r="Y107" t="str">
        <f t="shared" si="4"/>
        <v>Q3</v>
      </c>
      <c r="Z107" s="7">
        <f t="shared" si="5"/>
        <v>183.57</v>
      </c>
    </row>
    <row r="108" spans="1:26" x14ac:dyDescent="0.3">
      <c r="A108" s="2" t="s">
        <v>878</v>
      </c>
      <c r="B108" s="8" t="s">
        <v>579</v>
      </c>
      <c r="C108" s="2" t="s">
        <v>879</v>
      </c>
      <c r="D108" s="2" t="s">
        <v>880</v>
      </c>
      <c r="E108" s="2" t="s">
        <v>881</v>
      </c>
      <c r="F108" s="2" t="s">
        <v>882</v>
      </c>
      <c r="G108" s="2" t="s">
        <v>160</v>
      </c>
      <c r="H108" s="2" t="s">
        <v>161</v>
      </c>
      <c r="I108" s="2" t="s">
        <v>31</v>
      </c>
      <c r="J108" s="2" t="s">
        <v>883</v>
      </c>
      <c r="K108" s="2" t="s">
        <v>110</v>
      </c>
      <c r="L108" s="2">
        <v>1</v>
      </c>
      <c r="M108" s="3">
        <v>65.98</v>
      </c>
      <c r="N108" s="2" t="s">
        <v>49</v>
      </c>
      <c r="O108" s="3">
        <v>9.9</v>
      </c>
      <c r="P108" s="3">
        <v>5.99</v>
      </c>
      <c r="Q108" s="3">
        <v>5.61</v>
      </c>
      <c r="R108" s="3">
        <v>67.680000000000007</v>
      </c>
      <c r="S108" s="2" t="s">
        <v>35</v>
      </c>
      <c r="T108" s="2" t="s">
        <v>36</v>
      </c>
      <c r="U108" s="2" t="s">
        <v>66</v>
      </c>
      <c r="V108" s="2" t="s">
        <v>175</v>
      </c>
      <c r="W108" s="3">
        <v>0</v>
      </c>
      <c r="X108" t="str">
        <f t="shared" si="3"/>
        <v>July</v>
      </c>
      <c r="Y108" t="str">
        <f t="shared" si="4"/>
        <v>Q3</v>
      </c>
      <c r="Z108" s="7">
        <f t="shared" si="5"/>
        <v>56.080000000000005</v>
      </c>
    </row>
    <row r="109" spans="1:26" x14ac:dyDescent="0.3">
      <c r="A109" s="4" t="s">
        <v>884</v>
      </c>
      <c r="B109" s="9" t="s">
        <v>380</v>
      </c>
      <c r="C109" s="4" t="s">
        <v>885</v>
      </c>
      <c r="D109" s="4" t="s">
        <v>886</v>
      </c>
      <c r="E109" s="4" t="s">
        <v>887</v>
      </c>
      <c r="F109" s="4" t="s">
        <v>888</v>
      </c>
      <c r="G109" s="4" t="s">
        <v>119</v>
      </c>
      <c r="H109" s="4" t="s">
        <v>120</v>
      </c>
      <c r="I109" s="4" t="s">
        <v>31</v>
      </c>
      <c r="J109" s="4" t="s">
        <v>889</v>
      </c>
      <c r="K109" s="4" t="s">
        <v>62</v>
      </c>
      <c r="L109" s="4">
        <v>3</v>
      </c>
      <c r="M109" s="5">
        <v>419.94</v>
      </c>
      <c r="N109" s="4" t="s">
        <v>63</v>
      </c>
      <c r="O109" s="5">
        <v>104.99</v>
      </c>
      <c r="P109" s="5">
        <v>0</v>
      </c>
      <c r="Q109" s="5">
        <v>22.05</v>
      </c>
      <c r="R109" s="5">
        <v>337</v>
      </c>
      <c r="S109" s="4" t="s">
        <v>64</v>
      </c>
      <c r="T109" s="4" t="s">
        <v>325</v>
      </c>
      <c r="U109" s="4" t="s">
        <v>100</v>
      </c>
      <c r="V109" s="4"/>
      <c r="W109" s="5">
        <v>0</v>
      </c>
      <c r="X109" t="str">
        <f t="shared" si="3"/>
        <v>July</v>
      </c>
      <c r="Y109" t="str">
        <f t="shared" si="4"/>
        <v>Q3</v>
      </c>
      <c r="Z109" s="7">
        <f t="shared" si="5"/>
        <v>314.95</v>
      </c>
    </row>
    <row r="110" spans="1:26" x14ac:dyDescent="0.3">
      <c r="A110" s="2" t="s">
        <v>890</v>
      </c>
      <c r="B110" s="8" t="s">
        <v>891</v>
      </c>
      <c r="C110" s="2" t="s">
        <v>892</v>
      </c>
      <c r="D110" s="2" t="s">
        <v>893</v>
      </c>
      <c r="E110" s="2" t="s">
        <v>894</v>
      </c>
      <c r="F110" s="2" t="s">
        <v>895</v>
      </c>
      <c r="G110" s="2" t="s">
        <v>207</v>
      </c>
      <c r="H110" s="2" t="s">
        <v>141</v>
      </c>
      <c r="I110" s="2" t="s">
        <v>31</v>
      </c>
      <c r="J110" s="2" t="s">
        <v>896</v>
      </c>
      <c r="K110" s="2" t="s">
        <v>62</v>
      </c>
      <c r="L110" s="2">
        <v>2</v>
      </c>
      <c r="M110" s="3">
        <v>126.97</v>
      </c>
      <c r="N110" s="2" t="s">
        <v>78</v>
      </c>
      <c r="O110" s="3">
        <v>12.7</v>
      </c>
      <c r="P110" s="3">
        <v>0</v>
      </c>
      <c r="Q110" s="3">
        <v>10.28</v>
      </c>
      <c r="R110" s="3">
        <v>124.55</v>
      </c>
      <c r="S110" s="2" t="s">
        <v>123</v>
      </c>
      <c r="T110" s="2" t="s">
        <v>50</v>
      </c>
      <c r="U110" s="2" t="s">
        <v>66</v>
      </c>
      <c r="V110" s="2" t="s">
        <v>897</v>
      </c>
      <c r="W110" s="3">
        <v>0</v>
      </c>
      <c r="X110" t="str">
        <f t="shared" si="3"/>
        <v>May</v>
      </c>
      <c r="Y110" t="str">
        <f t="shared" si="4"/>
        <v>Q2</v>
      </c>
      <c r="Z110" s="7">
        <f t="shared" si="5"/>
        <v>114.27</v>
      </c>
    </row>
    <row r="111" spans="1:26" x14ac:dyDescent="0.3">
      <c r="A111" s="4" t="s">
        <v>898</v>
      </c>
      <c r="B111" s="9" t="s">
        <v>579</v>
      </c>
      <c r="C111" s="4" t="s">
        <v>899</v>
      </c>
      <c r="D111" s="4" t="s">
        <v>900</v>
      </c>
      <c r="E111" s="4" t="s">
        <v>901</v>
      </c>
      <c r="F111" s="4" t="s">
        <v>902</v>
      </c>
      <c r="G111" s="4" t="s">
        <v>692</v>
      </c>
      <c r="H111" s="4" t="s">
        <v>693</v>
      </c>
      <c r="I111" s="4" t="s">
        <v>31</v>
      </c>
      <c r="J111" s="4" t="s">
        <v>903</v>
      </c>
      <c r="K111" s="4" t="s">
        <v>62</v>
      </c>
      <c r="L111" s="4">
        <v>1</v>
      </c>
      <c r="M111" s="5">
        <v>74.97</v>
      </c>
      <c r="N111" s="4" t="s">
        <v>78</v>
      </c>
      <c r="O111" s="5">
        <v>7.5</v>
      </c>
      <c r="P111" s="5">
        <v>7.99</v>
      </c>
      <c r="Q111" s="5">
        <v>4.05</v>
      </c>
      <c r="R111" s="5">
        <v>79.510000000000005</v>
      </c>
      <c r="S111" s="4" t="s">
        <v>64</v>
      </c>
      <c r="T111" s="4" t="s">
        <v>173</v>
      </c>
      <c r="U111" s="4" t="s">
        <v>317</v>
      </c>
      <c r="V111" s="4"/>
      <c r="W111" s="5">
        <v>0</v>
      </c>
      <c r="X111" t="str">
        <f t="shared" si="3"/>
        <v>July</v>
      </c>
      <c r="Y111" t="str">
        <f t="shared" si="4"/>
        <v>Q3</v>
      </c>
      <c r="Z111" s="7">
        <f t="shared" si="5"/>
        <v>67.47</v>
      </c>
    </row>
    <row r="112" spans="1:26" x14ac:dyDescent="0.3">
      <c r="A112" s="2" t="s">
        <v>904</v>
      </c>
      <c r="B112" s="8" t="s">
        <v>609</v>
      </c>
      <c r="C112" s="2" t="s">
        <v>905</v>
      </c>
      <c r="D112" s="2" t="s">
        <v>906</v>
      </c>
      <c r="E112" s="2" t="s">
        <v>907</v>
      </c>
      <c r="F112" s="2" t="s">
        <v>908</v>
      </c>
      <c r="G112" s="2" t="s">
        <v>190</v>
      </c>
      <c r="H112" s="2" t="s">
        <v>161</v>
      </c>
      <c r="I112" s="2" t="s">
        <v>31</v>
      </c>
      <c r="J112" s="2" t="s">
        <v>909</v>
      </c>
      <c r="K112" s="2" t="s">
        <v>122</v>
      </c>
      <c r="L112" s="2">
        <v>1</v>
      </c>
      <c r="M112" s="3">
        <v>219.98</v>
      </c>
      <c r="N112" s="2" t="s">
        <v>34</v>
      </c>
      <c r="O112" s="3">
        <v>0</v>
      </c>
      <c r="P112" s="3">
        <v>0</v>
      </c>
      <c r="Q112" s="3">
        <v>15.4</v>
      </c>
      <c r="R112" s="3">
        <v>235.38</v>
      </c>
      <c r="S112" s="2" t="s">
        <v>332</v>
      </c>
      <c r="T112" s="2" t="s">
        <v>99</v>
      </c>
      <c r="U112" s="2" t="s">
        <v>37</v>
      </c>
      <c r="V112" s="2" t="s">
        <v>133</v>
      </c>
      <c r="W112" s="3">
        <v>235.38</v>
      </c>
      <c r="X112" t="str">
        <f t="shared" si="3"/>
        <v>December</v>
      </c>
      <c r="Y112" t="str">
        <f t="shared" si="4"/>
        <v>Q4</v>
      </c>
      <c r="Z112" s="7">
        <f t="shared" si="5"/>
        <v>219.98</v>
      </c>
    </row>
    <row r="113" spans="1:26" x14ac:dyDescent="0.3">
      <c r="A113" s="4" t="s">
        <v>910</v>
      </c>
      <c r="B113" s="9" t="s">
        <v>542</v>
      </c>
      <c r="C113" s="4" t="s">
        <v>911</v>
      </c>
      <c r="D113" s="4" t="s">
        <v>912</v>
      </c>
      <c r="E113" s="4" t="s">
        <v>913</v>
      </c>
      <c r="F113" s="4" t="s">
        <v>914</v>
      </c>
      <c r="G113" s="4" t="s">
        <v>282</v>
      </c>
      <c r="H113" s="4" t="s">
        <v>88</v>
      </c>
      <c r="I113" s="4" t="s">
        <v>31</v>
      </c>
      <c r="J113" s="4" t="s">
        <v>577</v>
      </c>
      <c r="K113" s="4" t="s">
        <v>364</v>
      </c>
      <c r="L113" s="4">
        <v>1</v>
      </c>
      <c r="M113" s="5">
        <v>19.989999999999998</v>
      </c>
      <c r="N113" s="4" t="s">
        <v>163</v>
      </c>
      <c r="O113" s="5">
        <v>4</v>
      </c>
      <c r="P113" s="5">
        <v>4.99</v>
      </c>
      <c r="Q113" s="5">
        <v>1.6</v>
      </c>
      <c r="R113" s="5">
        <v>22.58</v>
      </c>
      <c r="S113" s="4" t="s">
        <v>332</v>
      </c>
      <c r="T113" s="4" t="s">
        <v>99</v>
      </c>
      <c r="U113" s="4" t="s">
        <v>37</v>
      </c>
      <c r="V113" s="4" t="s">
        <v>915</v>
      </c>
      <c r="W113" s="5">
        <v>22.58</v>
      </c>
      <c r="X113" t="str">
        <f t="shared" si="3"/>
        <v>March</v>
      </c>
      <c r="Y113" t="str">
        <f t="shared" si="4"/>
        <v>Q1</v>
      </c>
      <c r="Z113" s="7">
        <f t="shared" si="5"/>
        <v>15.989999999999998</v>
      </c>
    </row>
    <row r="114" spans="1:26" x14ac:dyDescent="0.3">
      <c r="A114" s="2" t="s">
        <v>916</v>
      </c>
      <c r="B114" s="8" t="s">
        <v>917</v>
      </c>
      <c r="C114" s="2" t="s">
        <v>918</v>
      </c>
      <c r="D114" s="2" t="s">
        <v>919</v>
      </c>
      <c r="E114" s="2" t="s">
        <v>920</v>
      </c>
      <c r="F114" s="2" t="s">
        <v>921</v>
      </c>
      <c r="G114" s="2" t="s">
        <v>347</v>
      </c>
      <c r="H114" s="2" t="s">
        <v>60</v>
      </c>
      <c r="I114" s="2" t="s">
        <v>31</v>
      </c>
      <c r="J114" s="2" t="s">
        <v>316</v>
      </c>
      <c r="K114" s="2" t="s">
        <v>48</v>
      </c>
      <c r="L114" s="2">
        <v>1</v>
      </c>
      <c r="M114" s="3">
        <v>34.99</v>
      </c>
      <c r="N114" s="2" t="s">
        <v>152</v>
      </c>
      <c r="O114" s="3">
        <v>1.75</v>
      </c>
      <c r="P114" s="3">
        <v>5.99</v>
      </c>
      <c r="Q114" s="3">
        <v>2.99</v>
      </c>
      <c r="R114" s="3">
        <v>42.22</v>
      </c>
      <c r="S114" s="2" t="s">
        <v>332</v>
      </c>
      <c r="T114" s="2" t="s">
        <v>65</v>
      </c>
      <c r="U114" s="2" t="s">
        <v>66</v>
      </c>
      <c r="V114" s="2" t="s">
        <v>922</v>
      </c>
      <c r="W114" s="3">
        <v>0</v>
      </c>
      <c r="X114" t="str">
        <f t="shared" si="3"/>
        <v>September</v>
      </c>
      <c r="Y114" t="str">
        <f t="shared" si="4"/>
        <v>Q3</v>
      </c>
      <c r="Z114" s="7">
        <f t="shared" si="5"/>
        <v>33.24</v>
      </c>
    </row>
    <row r="115" spans="1:26" x14ac:dyDescent="0.3">
      <c r="A115" s="4" t="s">
        <v>923</v>
      </c>
      <c r="B115" s="9" t="s">
        <v>924</v>
      </c>
      <c r="C115" s="4" t="s">
        <v>925</v>
      </c>
      <c r="D115" s="4" t="s">
        <v>926</v>
      </c>
      <c r="E115" s="4" t="s">
        <v>927</v>
      </c>
      <c r="F115" s="4" t="s">
        <v>928</v>
      </c>
      <c r="G115" s="4" t="s">
        <v>242</v>
      </c>
      <c r="H115" s="4" t="s">
        <v>243</v>
      </c>
      <c r="I115" s="4" t="s">
        <v>31</v>
      </c>
      <c r="J115" s="4" t="s">
        <v>929</v>
      </c>
      <c r="K115" s="4" t="s">
        <v>62</v>
      </c>
      <c r="L115" s="4">
        <v>5</v>
      </c>
      <c r="M115" s="5">
        <v>289.93</v>
      </c>
      <c r="N115" s="4" t="s">
        <v>63</v>
      </c>
      <c r="O115" s="5">
        <v>72.48</v>
      </c>
      <c r="P115" s="5">
        <v>0</v>
      </c>
      <c r="Q115" s="5">
        <v>19.57</v>
      </c>
      <c r="R115" s="5">
        <v>237.02</v>
      </c>
      <c r="S115" s="4" t="s">
        <v>123</v>
      </c>
      <c r="T115" s="4" t="s">
        <v>50</v>
      </c>
      <c r="U115" s="4" t="s">
        <v>37</v>
      </c>
      <c r="V115" s="4" t="s">
        <v>930</v>
      </c>
      <c r="W115" s="5">
        <v>237.02</v>
      </c>
      <c r="X115" t="str">
        <f t="shared" si="3"/>
        <v>October</v>
      </c>
      <c r="Y115" t="str">
        <f t="shared" si="4"/>
        <v>Q4</v>
      </c>
      <c r="Z115" s="7">
        <f t="shared" si="5"/>
        <v>217.45</v>
      </c>
    </row>
    <row r="116" spans="1:26" x14ac:dyDescent="0.3">
      <c r="A116" s="2" t="s">
        <v>931</v>
      </c>
      <c r="B116" s="8" t="s">
        <v>932</v>
      </c>
      <c r="C116" s="2" t="s">
        <v>933</v>
      </c>
      <c r="D116" s="2" t="s">
        <v>934</v>
      </c>
      <c r="E116" s="2" t="s">
        <v>935</v>
      </c>
      <c r="F116" s="2" t="s">
        <v>936</v>
      </c>
      <c r="G116" s="2" t="s">
        <v>29</v>
      </c>
      <c r="H116" s="2" t="s">
        <v>30</v>
      </c>
      <c r="I116" s="2" t="s">
        <v>31</v>
      </c>
      <c r="J116" s="2" t="s">
        <v>937</v>
      </c>
      <c r="K116" s="2" t="s">
        <v>48</v>
      </c>
      <c r="L116" s="2">
        <v>3</v>
      </c>
      <c r="M116" s="3">
        <v>117.97</v>
      </c>
      <c r="N116" s="2" t="s">
        <v>49</v>
      </c>
      <c r="O116" s="3">
        <v>17.7</v>
      </c>
      <c r="P116" s="3">
        <v>0</v>
      </c>
      <c r="Q116" s="3">
        <v>8.52</v>
      </c>
      <c r="R116" s="3">
        <v>108.79</v>
      </c>
      <c r="S116" s="2" t="s">
        <v>123</v>
      </c>
      <c r="T116" s="2" t="s">
        <v>99</v>
      </c>
      <c r="U116" s="2" t="s">
        <v>66</v>
      </c>
      <c r="V116" s="2" t="s">
        <v>703</v>
      </c>
      <c r="W116" s="3">
        <v>0</v>
      </c>
      <c r="X116" t="str">
        <f t="shared" si="3"/>
        <v>January</v>
      </c>
      <c r="Y116" t="str">
        <f t="shared" si="4"/>
        <v>Q1</v>
      </c>
      <c r="Z116" s="7">
        <f t="shared" si="5"/>
        <v>100.27</v>
      </c>
    </row>
    <row r="117" spans="1:26" x14ac:dyDescent="0.3">
      <c r="A117" s="4" t="s">
        <v>938</v>
      </c>
      <c r="B117" s="9" t="s">
        <v>625</v>
      </c>
      <c r="C117" s="4" t="s">
        <v>939</v>
      </c>
      <c r="D117" s="4" t="s">
        <v>940</v>
      </c>
      <c r="E117" s="4" t="s">
        <v>941</v>
      </c>
      <c r="F117" s="4" t="s">
        <v>942</v>
      </c>
      <c r="G117" s="4" t="s">
        <v>87</v>
      </c>
      <c r="H117" s="4" t="s">
        <v>88</v>
      </c>
      <c r="I117" s="4" t="s">
        <v>31</v>
      </c>
      <c r="J117" s="4" t="s">
        <v>191</v>
      </c>
      <c r="K117" s="4" t="s">
        <v>77</v>
      </c>
      <c r="L117" s="4">
        <v>1</v>
      </c>
      <c r="M117" s="5">
        <v>24.99</v>
      </c>
      <c r="N117" s="4" t="s">
        <v>152</v>
      </c>
      <c r="O117" s="5">
        <v>1.25</v>
      </c>
      <c r="P117" s="5">
        <v>4.99</v>
      </c>
      <c r="Q117" s="5">
        <v>1.9</v>
      </c>
      <c r="R117" s="5">
        <v>30.63</v>
      </c>
      <c r="S117" s="4" t="s">
        <v>64</v>
      </c>
      <c r="T117" s="4" t="s">
        <v>144</v>
      </c>
      <c r="U117" s="4" t="s">
        <v>66</v>
      </c>
      <c r="V117" s="4" t="s">
        <v>943</v>
      </c>
      <c r="W117" s="5">
        <v>0</v>
      </c>
      <c r="X117" t="str">
        <f t="shared" si="3"/>
        <v>October</v>
      </c>
      <c r="Y117" t="str">
        <f t="shared" si="4"/>
        <v>Q4</v>
      </c>
      <c r="Z117" s="7">
        <f t="shared" si="5"/>
        <v>23.74</v>
      </c>
    </row>
    <row r="118" spans="1:26" x14ac:dyDescent="0.3">
      <c r="A118" s="2" t="s">
        <v>944</v>
      </c>
      <c r="B118" s="8" t="s">
        <v>945</v>
      </c>
      <c r="C118" s="2" t="s">
        <v>946</v>
      </c>
      <c r="D118" s="2" t="s">
        <v>947</v>
      </c>
      <c r="E118" s="2" t="s">
        <v>948</v>
      </c>
      <c r="F118" s="2" t="s">
        <v>949</v>
      </c>
      <c r="G118" s="2" t="s">
        <v>207</v>
      </c>
      <c r="H118" s="2" t="s">
        <v>141</v>
      </c>
      <c r="I118" s="2" t="s">
        <v>31</v>
      </c>
      <c r="J118" s="2" t="s">
        <v>950</v>
      </c>
      <c r="K118" s="2" t="s">
        <v>77</v>
      </c>
      <c r="L118" s="2">
        <v>4</v>
      </c>
      <c r="M118" s="3">
        <v>205.95</v>
      </c>
      <c r="N118" s="2" t="s">
        <v>152</v>
      </c>
      <c r="O118" s="3">
        <v>10.3</v>
      </c>
      <c r="P118" s="3">
        <v>0</v>
      </c>
      <c r="Q118" s="3">
        <v>15.65</v>
      </c>
      <c r="R118" s="3">
        <v>211.3</v>
      </c>
      <c r="S118" s="2" t="s">
        <v>123</v>
      </c>
      <c r="T118" s="2" t="s">
        <v>173</v>
      </c>
      <c r="U118" s="2" t="s">
        <v>100</v>
      </c>
      <c r="V118" s="2"/>
      <c r="W118" s="3">
        <v>0</v>
      </c>
      <c r="X118" t="str">
        <f t="shared" si="3"/>
        <v>September</v>
      </c>
      <c r="Y118" t="str">
        <f t="shared" si="4"/>
        <v>Q3</v>
      </c>
      <c r="Z118" s="7">
        <f t="shared" si="5"/>
        <v>195.64999999999998</v>
      </c>
    </row>
    <row r="119" spans="1:26" x14ac:dyDescent="0.3">
      <c r="A119" s="4" t="s">
        <v>951</v>
      </c>
      <c r="B119" s="9" t="s">
        <v>952</v>
      </c>
      <c r="C119" s="4" t="s">
        <v>953</v>
      </c>
      <c r="D119" s="4" t="s">
        <v>954</v>
      </c>
      <c r="E119" s="4" t="s">
        <v>955</v>
      </c>
      <c r="F119" s="4" t="s">
        <v>956</v>
      </c>
      <c r="G119" s="4" t="s">
        <v>74</v>
      </c>
      <c r="H119" s="4" t="s">
        <v>75</v>
      </c>
      <c r="I119" s="4" t="s">
        <v>31</v>
      </c>
      <c r="J119" s="4" t="s">
        <v>151</v>
      </c>
      <c r="K119" s="4" t="s">
        <v>110</v>
      </c>
      <c r="L119" s="4">
        <v>1</v>
      </c>
      <c r="M119" s="5">
        <v>39.99</v>
      </c>
      <c r="N119" s="4" t="s">
        <v>63</v>
      </c>
      <c r="O119" s="5">
        <v>10</v>
      </c>
      <c r="P119" s="5">
        <v>5.99</v>
      </c>
      <c r="Q119" s="5">
        <v>2.7</v>
      </c>
      <c r="R119" s="5">
        <v>38.68</v>
      </c>
      <c r="S119" s="4" t="s">
        <v>123</v>
      </c>
      <c r="T119" s="4" t="s">
        <v>99</v>
      </c>
      <c r="U119" s="4" t="s">
        <v>37</v>
      </c>
      <c r="V119" s="4" t="s">
        <v>957</v>
      </c>
      <c r="W119" s="5">
        <v>38.68</v>
      </c>
      <c r="X119" t="str">
        <f t="shared" si="3"/>
        <v>May</v>
      </c>
      <c r="Y119" t="str">
        <f t="shared" si="4"/>
        <v>Q2</v>
      </c>
      <c r="Z119" s="7">
        <f t="shared" si="5"/>
        <v>29.990000000000002</v>
      </c>
    </row>
    <row r="120" spans="1:26" x14ac:dyDescent="0.3">
      <c r="A120" s="2" t="s">
        <v>958</v>
      </c>
      <c r="B120" s="8" t="s">
        <v>959</v>
      </c>
      <c r="C120" s="2" t="s">
        <v>960</v>
      </c>
      <c r="D120" s="2" t="s">
        <v>637</v>
      </c>
      <c r="E120" s="2" t="s">
        <v>961</v>
      </c>
      <c r="F120" s="2" t="s">
        <v>962</v>
      </c>
      <c r="G120" s="2" t="s">
        <v>180</v>
      </c>
      <c r="H120" s="2" t="s">
        <v>181</v>
      </c>
      <c r="I120" s="2" t="s">
        <v>31</v>
      </c>
      <c r="J120" s="2" t="s">
        <v>963</v>
      </c>
      <c r="K120" s="2" t="s">
        <v>143</v>
      </c>
      <c r="L120" s="2">
        <v>2</v>
      </c>
      <c r="M120" s="3">
        <v>99.98</v>
      </c>
      <c r="N120" s="2" t="s">
        <v>163</v>
      </c>
      <c r="O120" s="3">
        <v>20</v>
      </c>
      <c r="P120" s="3">
        <v>0</v>
      </c>
      <c r="Q120" s="3">
        <v>8</v>
      </c>
      <c r="R120" s="3">
        <v>87.98</v>
      </c>
      <c r="S120" s="2" t="s">
        <v>332</v>
      </c>
      <c r="T120" s="2" t="s">
        <v>144</v>
      </c>
      <c r="U120" s="2" t="s">
        <v>317</v>
      </c>
      <c r="V120" s="2"/>
      <c r="W120" s="3">
        <v>0</v>
      </c>
      <c r="X120" t="str">
        <f t="shared" si="3"/>
        <v>January</v>
      </c>
      <c r="Y120" t="str">
        <f t="shared" si="4"/>
        <v>Q1</v>
      </c>
      <c r="Z120" s="7">
        <f t="shared" si="5"/>
        <v>79.98</v>
      </c>
    </row>
    <row r="121" spans="1:26" x14ac:dyDescent="0.3">
      <c r="A121" s="4" t="s">
        <v>964</v>
      </c>
      <c r="B121" s="9" t="s">
        <v>965</v>
      </c>
      <c r="C121" s="4" t="s">
        <v>966</v>
      </c>
      <c r="D121" s="4" t="s">
        <v>967</v>
      </c>
      <c r="E121" s="4" t="s">
        <v>968</v>
      </c>
      <c r="F121" s="4" t="s">
        <v>969</v>
      </c>
      <c r="G121" s="4" t="s">
        <v>180</v>
      </c>
      <c r="H121" s="4" t="s">
        <v>181</v>
      </c>
      <c r="I121" s="4" t="s">
        <v>31</v>
      </c>
      <c r="J121" s="4" t="s">
        <v>970</v>
      </c>
      <c r="K121" s="4" t="s">
        <v>209</v>
      </c>
      <c r="L121" s="4">
        <v>1</v>
      </c>
      <c r="M121" s="5">
        <v>149.97</v>
      </c>
      <c r="N121" s="4" t="s">
        <v>34</v>
      </c>
      <c r="O121" s="5">
        <v>0</v>
      </c>
      <c r="P121" s="5">
        <v>0</v>
      </c>
      <c r="Q121" s="5">
        <v>12.75</v>
      </c>
      <c r="R121" s="5">
        <v>162.72</v>
      </c>
      <c r="S121" s="4" t="s">
        <v>35</v>
      </c>
      <c r="T121" s="4" t="s">
        <v>173</v>
      </c>
      <c r="U121" s="4" t="s">
        <v>66</v>
      </c>
      <c r="V121" s="4" t="s">
        <v>971</v>
      </c>
      <c r="W121" s="5">
        <v>0</v>
      </c>
      <c r="X121" t="str">
        <f t="shared" si="3"/>
        <v>September</v>
      </c>
      <c r="Y121" t="str">
        <f t="shared" si="4"/>
        <v>Q3</v>
      </c>
      <c r="Z121" s="7">
        <f t="shared" si="5"/>
        <v>149.97</v>
      </c>
    </row>
    <row r="122" spans="1:26" x14ac:dyDescent="0.3">
      <c r="A122" s="2" t="s">
        <v>972</v>
      </c>
      <c r="B122" s="8" t="s">
        <v>155</v>
      </c>
      <c r="C122" s="2" t="s">
        <v>973</v>
      </c>
      <c r="D122" s="2" t="s">
        <v>974</v>
      </c>
      <c r="E122" s="2" t="s">
        <v>975</v>
      </c>
      <c r="F122" s="2" t="s">
        <v>976</v>
      </c>
      <c r="G122" s="2" t="s">
        <v>180</v>
      </c>
      <c r="H122" s="2" t="s">
        <v>181</v>
      </c>
      <c r="I122" s="2" t="s">
        <v>31</v>
      </c>
      <c r="J122" s="2" t="s">
        <v>977</v>
      </c>
      <c r="K122" s="2" t="s">
        <v>77</v>
      </c>
      <c r="L122" s="2">
        <v>2</v>
      </c>
      <c r="M122" s="3">
        <v>67.98</v>
      </c>
      <c r="N122" s="2" t="s">
        <v>63</v>
      </c>
      <c r="O122" s="3">
        <v>17</v>
      </c>
      <c r="P122" s="3">
        <v>5.99</v>
      </c>
      <c r="Q122" s="3">
        <v>5.0999999999999996</v>
      </c>
      <c r="R122" s="3">
        <v>62.07</v>
      </c>
      <c r="S122" s="2" t="s">
        <v>437</v>
      </c>
      <c r="T122" s="2" t="s">
        <v>183</v>
      </c>
      <c r="U122" s="2" t="s">
        <v>66</v>
      </c>
      <c r="V122" s="2" t="s">
        <v>24</v>
      </c>
      <c r="W122" s="3">
        <v>0</v>
      </c>
      <c r="X122" t="str">
        <f t="shared" si="3"/>
        <v>February</v>
      </c>
      <c r="Y122" t="str">
        <f t="shared" si="4"/>
        <v>Q1</v>
      </c>
      <c r="Z122" s="7">
        <f t="shared" si="5"/>
        <v>50.980000000000004</v>
      </c>
    </row>
    <row r="123" spans="1:26" x14ac:dyDescent="0.3">
      <c r="A123" s="4" t="s">
        <v>978</v>
      </c>
      <c r="B123" s="9" t="s">
        <v>227</v>
      </c>
      <c r="C123" s="4" t="s">
        <v>979</v>
      </c>
      <c r="D123" s="4" t="s">
        <v>980</v>
      </c>
      <c r="E123" s="4" t="s">
        <v>981</v>
      </c>
      <c r="F123" s="4" t="s">
        <v>982</v>
      </c>
      <c r="G123" s="4" t="s">
        <v>171</v>
      </c>
      <c r="H123" s="4" t="s">
        <v>88</v>
      </c>
      <c r="I123" s="4" t="s">
        <v>31</v>
      </c>
      <c r="J123" s="4" t="s">
        <v>983</v>
      </c>
      <c r="K123" s="4" t="s">
        <v>122</v>
      </c>
      <c r="L123" s="4">
        <v>1</v>
      </c>
      <c r="M123" s="5">
        <v>209.97</v>
      </c>
      <c r="N123" s="4" t="s">
        <v>34</v>
      </c>
      <c r="O123" s="5">
        <v>0</v>
      </c>
      <c r="P123" s="5">
        <v>0</v>
      </c>
      <c r="Q123" s="5">
        <v>12.6</v>
      </c>
      <c r="R123" s="5">
        <v>222.57</v>
      </c>
      <c r="S123" s="4" t="s">
        <v>332</v>
      </c>
      <c r="T123" s="4" t="s">
        <v>173</v>
      </c>
      <c r="U123" s="4" t="s">
        <v>66</v>
      </c>
      <c r="V123" s="4" t="s">
        <v>984</v>
      </c>
      <c r="W123" s="5">
        <v>0</v>
      </c>
      <c r="X123" t="str">
        <f t="shared" si="3"/>
        <v>May</v>
      </c>
      <c r="Y123" t="str">
        <f t="shared" si="4"/>
        <v>Q2</v>
      </c>
      <c r="Z123" s="7">
        <f t="shared" si="5"/>
        <v>209.97</v>
      </c>
    </row>
    <row r="124" spans="1:26" x14ac:dyDescent="0.3">
      <c r="A124" s="2" t="s">
        <v>985</v>
      </c>
      <c r="B124" s="8" t="s">
        <v>986</v>
      </c>
      <c r="C124" s="2" t="s">
        <v>987</v>
      </c>
      <c r="D124" s="2" t="s">
        <v>988</v>
      </c>
      <c r="E124" s="2" t="s">
        <v>989</v>
      </c>
      <c r="F124" s="2" t="s">
        <v>990</v>
      </c>
      <c r="G124" s="2" t="s">
        <v>45</v>
      </c>
      <c r="H124" s="2" t="s">
        <v>46</v>
      </c>
      <c r="I124" s="2" t="s">
        <v>31</v>
      </c>
      <c r="J124" s="2" t="s">
        <v>991</v>
      </c>
      <c r="K124" s="2" t="s">
        <v>364</v>
      </c>
      <c r="L124" s="2">
        <v>3</v>
      </c>
      <c r="M124" s="3">
        <v>194.95</v>
      </c>
      <c r="N124" s="2" t="s">
        <v>34</v>
      </c>
      <c r="O124" s="3">
        <v>0</v>
      </c>
      <c r="P124" s="3">
        <v>0</v>
      </c>
      <c r="Q124" s="3">
        <v>17.55</v>
      </c>
      <c r="R124" s="3">
        <v>212.5</v>
      </c>
      <c r="S124" s="2" t="s">
        <v>98</v>
      </c>
      <c r="T124" s="2" t="s">
        <v>99</v>
      </c>
      <c r="U124" s="2" t="s">
        <v>51</v>
      </c>
      <c r="V124" s="2" t="s">
        <v>992</v>
      </c>
      <c r="W124" s="3">
        <v>0</v>
      </c>
      <c r="X124" t="str">
        <f t="shared" si="3"/>
        <v>April</v>
      </c>
      <c r="Y124" t="str">
        <f t="shared" si="4"/>
        <v>Q2</v>
      </c>
      <c r="Z124" s="7">
        <f t="shared" si="5"/>
        <v>194.95</v>
      </c>
    </row>
    <row r="125" spans="1:26" x14ac:dyDescent="0.3">
      <c r="A125" s="4" t="s">
        <v>993</v>
      </c>
      <c r="B125" s="9" t="s">
        <v>994</v>
      </c>
      <c r="C125" s="4" t="s">
        <v>995</v>
      </c>
      <c r="D125" s="4" t="s">
        <v>996</v>
      </c>
      <c r="E125" s="4" t="s">
        <v>997</v>
      </c>
      <c r="F125" s="4" t="s">
        <v>998</v>
      </c>
      <c r="G125" s="4" t="s">
        <v>291</v>
      </c>
      <c r="H125" s="4" t="s">
        <v>292</v>
      </c>
      <c r="I125" s="4" t="s">
        <v>31</v>
      </c>
      <c r="J125" s="4" t="s">
        <v>283</v>
      </c>
      <c r="K125" s="4" t="s">
        <v>209</v>
      </c>
      <c r="L125" s="4">
        <v>1</v>
      </c>
      <c r="M125" s="5">
        <v>49.99</v>
      </c>
      <c r="N125" s="4" t="s">
        <v>152</v>
      </c>
      <c r="O125" s="5">
        <v>2.5</v>
      </c>
      <c r="P125" s="5">
        <v>5.99</v>
      </c>
      <c r="Q125" s="5">
        <v>4.75</v>
      </c>
      <c r="R125" s="5">
        <v>58.23</v>
      </c>
      <c r="S125" s="4" t="s">
        <v>64</v>
      </c>
      <c r="T125" s="4" t="s">
        <v>36</v>
      </c>
      <c r="U125" s="4" t="s">
        <v>66</v>
      </c>
      <c r="V125" s="4" t="s">
        <v>311</v>
      </c>
      <c r="W125" s="5">
        <v>0</v>
      </c>
      <c r="X125" t="str">
        <f t="shared" si="3"/>
        <v>June</v>
      </c>
      <c r="Y125" t="str">
        <f t="shared" si="4"/>
        <v>Q2</v>
      </c>
      <c r="Z125" s="7">
        <f t="shared" si="5"/>
        <v>47.49</v>
      </c>
    </row>
    <row r="126" spans="1:26" x14ac:dyDescent="0.3">
      <c r="A126" s="2" t="s">
        <v>999</v>
      </c>
      <c r="B126" s="8" t="s">
        <v>1000</v>
      </c>
      <c r="C126" s="2" t="s">
        <v>1001</v>
      </c>
      <c r="D126" s="2" t="s">
        <v>1002</v>
      </c>
      <c r="E126" s="2" t="s">
        <v>1003</v>
      </c>
      <c r="F126" s="2" t="s">
        <v>1004</v>
      </c>
      <c r="G126" s="2" t="s">
        <v>692</v>
      </c>
      <c r="H126" s="2" t="s">
        <v>693</v>
      </c>
      <c r="I126" s="2" t="s">
        <v>31</v>
      </c>
      <c r="J126" s="2" t="s">
        <v>316</v>
      </c>
      <c r="K126" s="2" t="s">
        <v>48</v>
      </c>
      <c r="L126" s="2">
        <v>1</v>
      </c>
      <c r="M126" s="3">
        <v>34.99</v>
      </c>
      <c r="N126" s="2" t="s">
        <v>34</v>
      </c>
      <c r="O126" s="3">
        <v>0</v>
      </c>
      <c r="P126" s="3">
        <v>5.99</v>
      </c>
      <c r="Q126" s="3">
        <v>2.8</v>
      </c>
      <c r="R126" s="3">
        <v>43.78</v>
      </c>
      <c r="S126" s="2" t="s">
        <v>111</v>
      </c>
      <c r="T126" s="2" t="s">
        <v>99</v>
      </c>
      <c r="U126" s="2" t="s">
        <v>100</v>
      </c>
      <c r="V126" s="2"/>
      <c r="W126" s="3">
        <v>0</v>
      </c>
      <c r="X126" t="str">
        <f t="shared" si="3"/>
        <v>April</v>
      </c>
      <c r="Y126" t="str">
        <f t="shared" si="4"/>
        <v>Q2</v>
      </c>
      <c r="Z126" s="7">
        <f t="shared" si="5"/>
        <v>34.99</v>
      </c>
    </row>
    <row r="127" spans="1:26" x14ac:dyDescent="0.3">
      <c r="A127" s="4" t="s">
        <v>1005</v>
      </c>
      <c r="B127" s="9" t="s">
        <v>1006</v>
      </c>
      <c r="C127" s="4" t="s">
        <v>1007</v>
      </c>
      <c r="D127" s="4" t="s">
        <v>1008</v>
      </c>
      <c r="E127" s="4" t="s">
        <v>1009</v>
      </c>
      <c r="F127" s="4" t="s">
        <v>1010</v>
      </c>
      <c r="G127" s="4" t="s">
        <v>640</v>
      </c>
      <c r="H127" s="4" t="s">
        <v>161</v>
      </c>
      <c r="I127" s="4" t="s">
        <v>31</v>
      </c>
      <c r="J127" s="4" t="s">
        <v>526</v>
      </c>
      <c r="K127" s="4" t="s">
        <v>110</v>
      </c>
      <c r="L127" s="4">
        <v>1</v>
      </c>
      <c r="M127" s="5">
        <v>32.99</v>
      </c>
      <c r="N127" s="4" t="s">
        <v>163</v>
      </c>
      <c r="O127" s="5">
        <v>6.6</v>
      </c>
      <c r="P127" s="5">
        <v>7.99</v>
      </c>
      <c r="Q127" s="5">
        <v>1.58</v>
      </c>
      <c r="R127" s="5">
        <v>35.96</v>
      </c>
      <c r="S127" s="4" t="s">
        <v>123</v>
      </c>
      <c r="T127" s="4" t="s">
        <v>183</v>
      </c>
      <c r="U127" s="4" t="s">
        <v>66</v>
      </c>
      <c r="V127" s="4" t="s">
        <v>333</v>
      </c>
      <c r="W127" s="5">
        <v>0</v>
      </c>
      <c r="X127" t="str">
        <f t="shared" si="3"/>
        <v>April</v>
      </c>
      <c r="Y127" t="str">
        <f t="shared" si="4"/>
        <v>Q2</v>
      </c>
      <c r="Z127" s="7">
        <f t="shared" si="5"/>
        <v>26.39</v>
      </c>
    </row>
    <row r="128" spans="1:26" x14ac:dyDescent="0.3">
      <c r="A128" s="2" t="s">
        <v>1011</v>
      </c>
      <c r="B128" s="8" t="s">
        <v>372</v>
      </c>
      <c r="C128" s="2" t="s">
        <v>1012</v>
      </c>
      <c r="D128" s="2" t="s">
        <v>1013</v>
      </c>
      <c r="E128" s="2" t="s">
        <v>1014</v>
      </c>
      <c r="F128" s="2" t="s">
        <v>1015</v>
      </c>
      <c r="G128" s="2" t="s">
        <v>242</v>
      </c>
      <c r="H128" s="2" t="s">
        <v>243</v>
      </c>
      <c r="I128" s="2" t="s">
        <v>31</v>
      </c>
      <c r="J128" s="2" t="s">
        <v>1016</v>
      </c>
      <c r="K128" s="2" t="s">
        <v>62</v>
      </c>
      <c r="L128" s="2">
        <v>2</v>
      </c>
      <c r="M128" s="3">
        <v>129.96</v>
      </c>
      <c r="N128" s="2" t="s">
        <v>34</v>
      </c>
      <c r="O128" s="3">
        <v>0</v>
      </c>
      <c r="P128" s="3">
        <v>0</v>
      </c>
      <c r="Q128" s="3">
        <v>9.1</v>
      </c>
      <c r="R128" s="3">
        <v>139.06</v>
      </c>
      <c r="S128" s="2" t="s">
        <v>79</v>
      </c>
      <c r="T128" s="2" t="s">
        <v>50</v>
      </c>
      <c r="U128" s="2" t="s">
        <v>66</v>
      </c>
      <c r="V128" s="2" t="s">
        <v>641</v>
      </c>
      <c r="W128" s="3">
        <v>0</v>
      </c>
      <c r="X128" t="str">
        <f t="shared" si="3"/>
        <v>March</v>
      </c>
      <c r="Y128" t="str">
        <f t="shared" si="4"/>
        <v>Q1</v>
      </c>
      <c r="Z128" s="7">
        <f t="shared" si="5"/>
        <v>129.96</v>
      </c>
    </row>
    <row r="129" spans="1:26" x14ac:dyDescent="0.3">
      <c r="A129" s="4" t="s">
        <v>1017</v>
      </c>
      <c r="B129" s="9" t="s">
        <v>489</v>
      </c>
      <c r="C129" s="4" t="s">
        <v>1018</v>
      </c>
      <c r="D129" s="4" t="s">
        <v>1019</v>
      </c>
      <c r="E129" s="4" t="s">
        <v>1020</v>
      </c>
      <c r="F129" s="4" t="s">
        <v>1021</v>
      </c>
      <c r="G129" s="4" t="s">
        <v>428</v>
      </c>
      <c r="H129" s="4" t="s">
        <v>429</v>
      </c>
      <c r="I129" s="4" t="s">
        <v>31</v>
      </c>
      <c r="J129" s="4" t="s">
        <v>1022</v>
      </c>
      <c r="K129" s="4" t="s">
        <v>77</v>
      </c>
      <c r="L129" s="4">
        <v>2</v>
      </c>
      <c r="M129" s="5">
        <v>254.97</v>
      </c>
      <c r="N129" s="4" t="s">
        <v>163</v>
      </c>
      <c r="O129" s="5">
        <v>50.99</v>
      </c>
      <c r="P129" s="5">
        <v>0</v>
      </c>
      <c r="Q129" s="5">
        <v>12.24</v>
      </c>
      <c r="R129" s="5">
        <v>216.22</v>
      </c>
      <c r="S129" s="4" t="s">
        <v>332</v>
      </c>
      <c r="T129" s="4" t="s">
        <v>144</v>
      </c>
      <c r="U129" s="4" t="s">
        <v>51</v>
      </c>
      <c r="V129" s="4" t="s">
        <v>67</v>
      </c>
      <c r="W129" s="5">
        <v>0</v>
      </c>
      <c r="X129" t="str">
        <f t="shared" si="3"/>
        <v>July</v>
      </c>
      <c r="Y129" t="str">
        <f t="shared" si="4"/>
        <v>Q3</v>
      </c>
      <c r="Z129" s="7">
        <f t="shared" si="5"/>
        <v>203.98</v>
      </c>
    </row>
    <row r="130" spans="1:26" x14ac:dyDescent="0.3">
      <c r="A130" s="2" t="s">
        <v>1023</v>
      </c>
      <c r="B130" s="8" t="s">
        <v>496</v>
      </c>
      <c r="C130" s="2" t="s">
        <v>1024</v>
      </c>
      <c r="D130" s="2" t="s">
        <v>1025</v>
      </c>
      <c r="E130" s="2" t="s">
        <v>1026</v>
      </c>
      <c r="F130" s="2" t="s">
        <v>1027</v>
      </c>
      <c r="G130" s="2" t="s">
        <v>74</v>
      </c>
      <c r="H130" s="2" t="s">
        <v>75</v>
      </c>
      <c r="I130" s="2" t="s">
        <v>31</v>
      </c>
      <c r="J130" s="2" t="s">
        <v>1028</v>
      </c>
      <c r="K130" s="2" t="s">
        <v>110</v>
      </c>
      <c r="L130" s="2">
        <v>4</v>
      </c>
      <c r="M130" s="3">
        <v>165.95</v>
      </c>
      <c r="N130" s="2" t="s">
        <v>163</v>
      </c>
      <c r="O130" s="3">
        <v>33.19</v>
      </c>
      <c r="P130" s="3">
        <v>0</v>
      </c>
      <c r="Q130" s="3">
        <v>11.95</v>
      </c>
      <c r="R130" s="3">
        <v>144.71</v>
      </c>
      <c r="S130" s="2" t="s">
        <v>64</v>
      </c>
      <c r="T130" s="2" t="s">
        <v>144</v>
      </c>
      <c r="U130" s="2" t="s">
        <v>66</v>
      </c>
      <c r="V130" s="2" t="s">
        <v>92</v>
      </c>
      <c r="W130" s="3">
        <v>0</v>
      </c>
      <c r="X130" t="str">
        <f t="shared" si="3"/>
        <v>August</v>
      </c>
      <c r="Y130" t="str">
        <f t="shared" si="4"/>
        <v>Q3</v>
      </c>
      <c r="Z130" s="7">
        <f t="shared" si="5"/>
        <v>132.76</v>
      </c>
    </row>
    <row r="131" spans="1:26" x14ac:dyDescent="0.3">
      <c r="A131" s="4" t="s">
        <v>1029</v>
      </c>
      <c r="B131" s="9" t="s">
        <v>397</v>
      </c>
      <c r="C131" s="4" t="s">
        <v>1030</v>
      </c>
      <c r="D131" s="4" t="s">
        <v>1031</v>
      </c>
      <c r="E131" s="4" t="s">
        <v>1032</v>
      </c>
      <c r="F131" s="4" t="s">
        <v>1033</v>
      </c>
      <c r="G131" s="4" t="s">
        <v>29</v>
      </c>
      <c r="H131" s="4" t="s">
        <v>30</v>
      </c>
      <c r="I131" s="4" t="s">
        <v>31</v>
      </c>
      <c r="J131" s="4" t="s">
        <v>1034</v>
      </c>
      <c r="K131" s="4" t="s">
        <v>122</v>
      </c>
      <c r="L131" s="4">
        <v>2</v>
      </c>
      <c r="M131" s="5">
        <v>224.95</v>
      </c>
      <c r="N131" s="4" t="s">
        <v>34</v>
      </c>
      <c r="O131" s="5">
        <v>0</v>
      </c>
      <c r="P131" s="5">
        <v>0</v>
      </c>
      <c r="Q131" s="5">
        <v>20.25</v>
      </c>
      <c r="R131" s="5">
        <v>245.2</v>
      </c>
      <c r="S131" s="4" t="s">
        <v>35</v>
      </c>
      <c r="T131" s="4" t="s">
        <v>183</v>
      </c>
      <c r="U131" s="4" t="s">
        <v>66</v>
      </c>
      <c r="V131" s="4" t="s">
        <v>114</v>
      </c>
      <c r="W131" s="5">
        <v>0</v>
      </c>
      <c r="X131" t="str">
        <f t="shared" ref="X131:X194" si="6">TEXT(B131,"MMMM")</f>
        <v>October</v>
      </c>
      <c r="Y131" t="str">
        <f t="shared" ref="Y131:Y194" si="7">IF(MONTH(B131)&lt;=3,"Q1",IF(MONTH(B131)&lt;=6,"Q2",IF(MONTH(B131)&lt;=9,"Q3","Q4")))</f>
        <v>Q4</v>
      </c>
      <c r="Z131" s="7">
        <f t="shared" ref="Z131:Z194" si="8">M131-O131</f>
        <v>224.95</v>
      </c>
    </row>
    <row r="132" spans="1:26" x14ac:dyDescent="0.3">
      <c r="A132" s="2" t="s">
        <v>1035</v>
      </c>
      <c r="B132" s="8" t="s">
        <v>1036</v>
      </c>
      <c r="C132" s="2" t="s">
        <v>1037</v>
      </c>
      <c r="D132" s="2" t="s">
        <v>1038</v>
      </c>
      <c r="E132" s="2" t="s">
        <v>1039</v>
      </c>
      <c r="F132" s="2" t="s">
        <v>1040</v>
      </c>
      <c r="G132" s="2" t="s">
        <v>251</v>
      </c>
      <c r="H132" s="2" t="s">
        <v>252</v>
      </c>
      <c r="I132" s="2" t="s">
        <v>31</v>
      </c>
      <c r="J132" s="2" t="s">
        <v>1041</v>
      </c>
      <c r="K132" s="2" t="s">
        <v>62</v>
      </c>
      <c r="L132" s="2">
        <v>2</v>
      </c>
      <c r="M132" s="3">
        <v>72.97</v>
      </c>
      <c r="N132" s="2" t="s">
        <v>34</v>
      </c>
      <c r="O132" s="3">
        <v>0</v>
      </c>
      <c r="P132" s="3">
        <v>4.99</v>
      </c>
      <c r="Q132" s="3">
        <v>6.57</v>
      </c>
      <c r="R132" s="3">
        <v>84.53</v>
      </c>
      <c r="S132" s="2" t="s">
        <v>64</v>
      </c>
      <c r="T132" s="2" t="s">
        <v>99</v>
      </c>
      <c r="U132" s="2" t="s">
        <v>37</v>
      </c>
      <c r="V132" s="2" t="s">
        <v>210</v>
      </c>
      <c r="W132" s="3">
        <v>84.53</v>
      </c>
      <c r="X132" t="str">
        <f t="shared" si="6"/>
        <v>August</v>
      </c>
      <c r="Y132" t="str">
        <f t="shared" si="7"/>
        <v>Q3</v>
      </c>
      <c r="Z132" s="7">
        <f t="shared" si="8"/>
        <v>72.97</v>
      </c>
    </row>
    <row r="133" spans="1:26" x14ac:dyDescent="0.3">
      <c r="A133" s="4" t="s">
        <v>1042</v>
      </c>
      <c r="B133" s="9" t="s">
        <v>1043</v>
      </c>
      <c r="C133" s="4" t="s">
        <v>1044</v>
      </c>
      <c r="D133" s="4" t="s">
        <v>1045</v>
      </c>
      <c r="E133" s="4" t="s">
        <v>1046</v>
      </c>
      <c r="F133" s="4" t="s">
        <v>1047</v>
      </c>
      <c r="G133" s="4" t="s">
        <v>242</v>
      </c>
      <c r="H133" s="4" t="s">
        <v>243</v>
      </c>
      <c r="I133" s="4" t="s">
        <v>31</v>
      </c>
      <c r="J133" s="4" t="s">
        <v>1048</v>
      </c>
      <c r="K133" s="4" t="s">
        <v>122</v>
      </c>
      <c r="L133" s="4">
        <v>2</v>
      </c>
      <c r="M133" s="5">
        <v>129.97999999999999</v>
      </c>
      <c r="N133" s="4" t="s">
        <v>78</v>
      </c>
      <c r="O133" s="5">
        <v>13</v>
      </c>
      <c r="P133" s="5">
        <v>0</v>
      </c>
      <c r="Q133" s="5">
        <v>9.36</v>
      </c>
      <c r="R133" s="5">
        <v>126.34</v>
      </c>
      <c r="S133" s="4" t="s">
        <v>332</v>
      </c>
      <c r="T133" s="4" t="s">
        <v>99</v>
      </c>
      <c r="U133" s="4" t="s">
        <v>317</v>
      </c>
      <c r="V133" s="4"/>
      <c r="W133" s="5">
        <v>0</v>
      </c>
      <c r="X133" t="str">
        <f t="shared" si="6"/>
        <v>February</v>
      </c>
      <c r="Y133" t="str">
        <f t="shared" si="7"/>
        <v>Q1</v>
      </c>
      <c r="Z133" s="7">
        <f t="shared" si="8"/>
        <v>116.97999999999999</v>
      </c>
    </row>
    <row r="134" spans="1:26" x14ac:dyDescent="0.3">
      <c r="A134" s="2" t="s">
        <v>1049</v>
      </c>
      <c r="B134" s="8" t="s">
        <v>930</v>
      </c>
      <c r="C134" s="2" t="s">
        <v>1050</v>
      </c>
      <c r="D134" s="2" t="s">
        <v>1051</v>
      </c>
      <c r="E134" s="2" t="s">
        <v>1052</v>
      </c>
      <c r="F134" s="2" t="s">
        <v>1053</v>
      </c>
      <c r="G134" s="2" t="s">
        <v>282</v>
      </c>
      <c r="H134" s="2" t="s">
        <v>88</v>
      </c>
      <c r="I134" s="2" t="s">
        <v>31</v>
      </c>
      <c r="J134" s="2" t="s">
        <v>1054</v>
      </c>
      <c r="K134" s="2" t="s">
        <v>364</v>
      </c>
      <c r="L134" s="2">
        <v>1</v>
      </c>
      <c r="M134" s="3">
        <v>44.99</v>
      </c>
      <c r="N134" s="2" t="s">
        <v>63</v>
      </c>
      <c r="O134" s="3">
        <v>11.25</v>
      </c>
      <c r="P134" s="3">
        <v>9.99</v>
      </c>
      <c r="Q134" s="3">
        <v>2.02</v>
      </c>
      <c r="R134" s="3">
        <v>45.75</v>
      </c>
      <c r="S134" s="2" t="s">
        <v>64</v>
      </c>
      <c r="T134" s="2" t="s">
        <v>144</v>
      </c>
      <c r="U134" s="2" t="s">
        <v>66</v>
      </c>
      <c r="V134" s="2" t="s">
        <v>1055</v>
      </c>
      <c r="W134" s="3">
        <v>0</v>
      </c>
      <c r="X134" t="str">
        <f t="shared" si="6"/>
        <v>October</v>
      </c>
      <c r="Y134" t="str">
        <f t="shared" si="7"/>
        <v>Q4</v>
      </c>
      <c r="Z134" s="7">
        <f t="shared" si="8"/>
        <v>33.74</v>
      </c>
    </row>
    <row r="135" spans="1:26" x14ac:dyDescent="0.3">
      <c r="A135" s="4" t="s">
        <v>1056</v>
      </c>
      <c r="B135" s="9" t="s">
        <v>1057</v>
      </c>
      <c r="C135" s="4" t="s">
        <v>1058</v>
      </c>
      <c r="D135" s="4" t="s">
        <v>1059</v>
      </c>
      <c r="E135" s="4" t="s">
        <v>1060</v>
      </c>
      <c r="F135" s="4" t="s">
        <v>1061</v>
      </c>
      <c r="G135" s="4" t="s">
        <v>291</v>
      </c>
      <c r="H135" s="4" t="s">
        <v>292</v>
      </c>
      <c r="I135" s="4" t="s">
        <v>31</v>
      </c>
      <c r="J135" s="4" t="s">
        <v>1062</v>
      </c>
      <c r="K135" s="4" t="s">
        <v>62</v>
      </c>
      <c r="L135" s="4">
        <v>3</v>
      </c>
      <c r="M135" s="5">
        <v>279.95</v>
      </c>
      <c r="N135" s="4" t="s">
        <v>78</v>
      </c>
      <c r="O135" s="5">
        <v>28</v>
      </c>
      <c r="P135" s="5">
        <v>0</v>
      </c>
      <c r="Q135" s="5">
        <v>22.68</v>
      </c>
      <c r="R135" s="5">
        <v>274.63</v>
      </c>
      <c r="S135" s="4" t="s">
        <v>64</v>
      </c>
      <c r="T135" s="4" t="s">
        <v>99</v>
      </c>
      <c r="U135" s="4" t="s">
        <v>51</v>
      </c>
      <c r="V135" s="4" t="s">
        <v>1063</v>
      </c>
      <c r="W135" s="5">
        <v>0</v>
      </c>
      <c r="X135" t="str">
        <f t="shared" si="6"/>
        <v>December</v>
      </c>
      <c r="Y135" t="str">
        <f t="shared" si="7"/>
        <v>Q4</v>
      </c>
      <c r="Z135" s="7">
        <f t="shared" si="8"/>
        <v>251.95</v>
      </c>
    </row>
    <row r="136" spans="1:26" x14ac:dyDescent="0.3">
      <c r="A136" s="2" t="s">
        <v>1064</v>
      </c>
      <c r="B136" s="8" t="s">
        <v>1065</v>
      </c>
      <c r="C136" s="2" t="s">
        <v>1066</v>
      </c>
      <c r="D136" s="2" t="s">
        <v>1067</v>
      </c>
      <c r="E136" s="2" t="s">
        <v>1068</v>
      </c>
      <c r="F136" s="2" t="s">
        <v>1069</v>
      </c>
      <c r="G136" s="2" t="s">
        <v>190</v>
      </c>
      <c r="H136" s="2" t="s">
        <v>161</v>
      </c>
      <c r="I136" s="2" t="s">
        <v>31</v>
      </c>
      <c r="J136" s="2" t="s">
        <v>308</v>
      </c>
      <c r="K136" s="2" t="s">
        <v>62</v>
      </c>
      <c r="L136" s="2">
        <v>1</v>
      </c>
      <c r="M136" s="3">
        <v>29.99</v>
      </c>
      <c r="N136" s="2" t="s">
        <v>49</v>
      </c>
      <c r="O136" s="3">
        <v>4.5</v>
      </c>
      <c r="P136" s="3">
        <v>5.99</v>
      </c>
      <c r="Q136" s="3">
        <v>2.5499999999999998</v>
      </c>
      <c r="R136" s="3">
        <v>34.03</v>
      </c>
      <c r="S136" s="2" t="s">
        <v>64</v>
      </c>
      <c r="T136" s="2" t="s">
        <v>173</v>
      </c>
      <c r="U136" s="2" t="s">
        <v>51</v>
      </c>
      <c r="V136" s="2" t="s">
        <v>1070</v>
      </c>
      <c r="W136" s="3">
        <v>0</v>
      </c>
      <c r="X136" t="str">
        <f t="shared" si="6"/>
        <v>November</v>
      </c>
      <c r="Y136" t="str">
        <f t="shared" si="7"/>
        <v>Q4</v>
      </c>
      <c r="Z136" s="7">
        <f t="shared" si="8"/>
        <v>25.49</v>
      </c>
    </row>
    <row r="137" spans="1:26" x14ac:dyDescent="0.3">
      <c r="A137" s="4" t="s">
        <v>1071</v>
      </c>
      <c r="B137" s="9" t="s">
        <v>358</v>
      </c>
      <c r="C137" s="4" t="s">
        <v>1072</v>
      </c>
      <c r="D137" s="4" t="s">
        <v>1073</v>
      </c>
      <c r="E137" s="4" t="s">
        <v>1074</v>
      </c>
      <c r="F137" s="4" t="s">
        <v>1075</v>
      </c>
      <c r="G137" s="4" t="s">
        <v>59</v>
      </c>
      <c r="H137" s="4" t="s">
        <v>60</v>
      </c>
      <c r="I137" s="4" t="s">
        <v>31</v>
      </c>
      <c r="J137" s="4" t="s">
        <v>526</v>
      </c>
      <c r="K137" s="4" t="s">
        <v>110</v>
      </c>
      <c r="L137" s="4">
        <v>1</v>
      </c>
      <c r="M137" s="5">
        <v>32.99</v>
      </c>
      <c r="N137" s="4" t="s">
        <v>163</v>
      </c>
      <c r="O137" s="5">
        <v>6.6</v>
      </c>
      <c r="P137" s="5">
        <v>9.99</v>
      </c>
      <c r="Q137" s="5">
        <v>1.85</v>
      </c>
      <c r="R137" s="5">
        <v>38.229999999999997</v>
      </c>
      <c r="S137" s="4" t="s">
        <v>123</v>
      </c>
      <c r="T137" s="4" t="s">
        <v>50</v>
      </c>
      <c r="U137" s="4" t="s">
        <v>317</v>
      </c>
      <c r="V137" s="4"/>
      <c r="W137" s="5">
        <v>0</v>
      </c>
      <c r="X137" t="str">
        <f t="shared" si="6"/>
        <v>October</v>
      </c>
      <c r="Y137" t="str">
        <f t="shared" si="7"/>
        <v>Q4</v>
      </c>
      <c r="Z137" s="7">
        <f t="shared" si="8"/>
        <v>26.39</v>
      </c>
    </row>
    <row r="138" spans="1:26" x14ac:dyDescent="0.3">
      <c r="A138" s="2" t="s">
        <v>1076</v>
      </c>
      <c r="B138" s="8" t="s">
        <v>789</v>
      </c>
      <c r="C138" s="2" t="s">
        <v>1077</v>
      </c>
      <c r="D138" s="2" t="s">
        <v>1078</v>
      </c>
      <c r="E138" s="2" t="s">
        <v>1079</v>
      </c>
      <c r="F138" s="2" t="s">
        <v>1080</v>
      </c>
      <c r="G138" s="2" t="s">
        <v>190</v>
      </c>
      <c r="H138" s="2" t="s">
        <v>161</v>
      </c>
      <c r="I138" s="2" t="s">
        <v>31</v>
      </c>
      <c r="J138" s="2" t="s">
        <v>47</v>
      </c>
      <c r="K138" s="2" t="s">
        <v>48</v>
      </c>
      <c r="L138" s="2">
        <v>1</v>
      </c>
      <c r="M138" s="3">
        <v>42.99</v>
      </c>
      <c r="N138" s="2" t="s">
        <v>49</v>
      </c>
      <c r="O138" s="3">
        <v>6.45</v>
      </c>
      <c r="P138" s="3">
        <v>7.99</v>
      </c>
      <c r="Q138" s="3">
        <v>2.92</v>
      </c>
      <c r="R138" s="3">
        <v>47.45</v>
      </c>
      <c r="S138" s="2" t="s">
        <v>35</v>
      </c>
      <c r="T138" s="2" t="s">
        <v>99</v>
      </c>
      <c r="U138" s="2" t="s">
        <v>66</v>
      </c>
      <c r="V138" s="2" t="s">
        <v>849</v>
      </c>
      <c r="W138" s="3">
        <v>0</v>
      </c>
      <c r="X138" t="str">
        <f t="shared" si="6"/>
        <v>February</v>
      </c>
      <c r="Y138" t="str">
        <f t="shared" si="7"/>
        <v>Q1</v>
      </c>
      <c r="Z138" s="7">
        <f t="shared" si="8"/>
        <v>36.54</v>
      </c>
    </row>
    <row r="139" spans="1:26" x14ac:dyDescent="0.3">
      <c r="A139" s="4" t="s">
        <v>1081</v>
      </c>
      <c r="B139" s="9" t="s">
        <v>145</v>
      </c>
      <c r="C139" s="4" t="s">
        <v>1082</v>
      </c>
      <c r="D139" s="4" t="s">
        <v>214</v>
      </c>
      <c r="E139" s="4" t="s">
        <v>1083</v>
      </c>
      <c r="F139" s="4" t="s">
        <v>1084</v>
      </c>
      <c r="G139" s="4" t="s">
        <v>180</v>
      </c>
      <c r="H139" s="4" t="s">
        <v>181</v>
      </c>
      <c r="I139" s="4" t="s">
        <v>31</v>
      </c>
      <c r="J139" s="4" t="s">
        <v>1085</v>
      </c>
      <c r="K139" s="4" t="s">
        <v>364</v>
      </c>
      <c r="L139" s="4">
        <v>2</v>
      </c>
      <c r="M139" s="5">
        <v>59.98</v>
      </c>
      <c r="N139" s="4" t="s">
        <v>34</v>
      </c>
      <c r="O139" s="5">
        <v>0</v>
      </c>
      <c r="P139" s="5">
        <v>7.99</v>
      </c>
      <c r="Q139" s="5">
        <v>5.0999999999999996</v>
      </c>
      <c r="R139" s="5">
        <v>73.069999999999993</v>
      </c>
      <c r="S139" s="4" t="s">
        <v>35</v>
      </c>
      <c r="T139" s="4" t="s">
        <v>173</v>
      </c>
      <c r="U139" s="4" t="s">
        <v>66</v>
      </c>
      <c r="V139" s="4" t="s">
        <v>1086</v>
      </c>
      <c r="W139" s="5">
        <v>0</v>
      </c>
      <c r="X139" t="str">
        <f t="shared" si="6"/>
        <v>August</v>
      </c>
      <c r="Y139" t="str">
        <f t="shared" si="7"/>
        <v>Q3</v>
      </c>
      <c r="Z139" s="7">
        <f t="shared" si="8"/>
        <v>59.98</v>
      </c>
    </row>
    <row r="140" spans="1:26" x14ac:dyDescent="0.3">
      <c r="A140" s="2" t="s">
        <v>1087</v>
      </c>
      <c r="B140" s="8" t="s">
        <v>1088</v>
      </c>
      <c r="C140" s="2" t="s">
        <v>1089</v>
      </c>
      <c r="D140" s="2" t="s">
        <v>1090</v>
      </c>
      <c r="E140" s="2" t="s">
        <v>1091</v>
      </c>
      <c r="F140" s="2" t="s">
        <v>1092</v>
      </c>
      <c r="G140" s="2" t="s">
        <v>403</v>
      </c>
      <c r="H140" s="2" t="s">
        <v>404</v>
      </c>
      <c r="I140" s="2" t="s">
        <v>31</v>
      </c>
      <c r="J140" s="2" t="s">
        <v>1093</v>
      </c>
      <c r="K140" s="2" t="s">
        <v>209</v>
      </c>
      <c r="L140" s="2">
        <v>2</v>
      </c>
      <c r="M140" s="3">
        <v>104.98</v>
      </c>
      <c r="N140" s="2" t="s">
        <v>163</v>
      </c>
      <c r="O140" s="3">
        <v>21</v>
      </c>
      <c r="P140" s="3">
        <v>0</v>
      </c>
      <c r="Q140" s="3">
        <v>5.04</v>
      </c>
      <c r="R140" s="3">
        <v>89.02</v>
      </c>
      <c r="S140" s="2" t="s">
        <v>123</v>
      </c>
      <c r="T140" s="2" t="s">
        <v>50</v>
      </c>
      <c r="U140" s="2" t="s">
        <v>100</v>
      </c>
      <c r="V140" s="2"/>
      <c r="W140" s="3">
        <v>0</v>
      </c>
      <c r="X140" t="str">
        <f t="shared" si="6"/>
        <v>April</v>
      </c>
      <c r="Y140" t="str">
        <f t="shared" si="7"/>
        <v>Q2</v>
      </c>
      <c r="Z140" s="7">
        <f t="shared" si="8"/>
        <v>83.98</v>
      </c>
    </row>
    <row r="141" spans="1:26" x14ac:dyDescent="0.3">
      <c r="A141" s="4" t="s">
        <v>1094</v>
      </c>
      <c r="B141" s="9" t="s">
        <v>1095</v>
      </c>
      <c r="C141" s="4" t="s">
        <v>1096</v>
      </c>
      <c r="D141" s="4" t="s">
        <v>1097</v>
      </c>
      <c r="E141" s="4" t="s">
        <v>1098</v>
      </c>
      <c r="F141" s="4" t="s">
        <v>1099</v>
      </c>
      <c r="G141" s="4" t="s">
        <v>140</v>
      </c>
      <c r="H141" s="4" t="s">
        <v>141</v>
      </c>
      <c r="I141" s="4" t="s">
        <v>31</v>
      </c>
      <c r="J141" s="4" t="s">
        <v>217</v>
      </c>
      <c r="K141" s="4" t="s">
        <v>110</v>
      </c>
      <c r="L141" s="4">
        <v>1</v>
      </c>
      <c r="M141" s="5">
        <v>22.99</v>
      </c>
      <c r="N141" s="4" t="s">
        <v>78</v>
      </c>
      <c r="O141" s="5">
        <v>2.2999999999999998</v>
      </c>
      <c r="P141" s="5">
        <v>9.99</v>
      </c>
      <c r="Q141" s="5">
        <v>1.66</v>
      </c>
      <c r="R141" s="5">
        <v>32.340000000000003</v>
      </c>
      <c r="S141" s="4" t="s">
        <v>123</v>
      </c>
      <c r="T141" s="4" t="s">
        <v>183</v>
      </c>
      <c r="U141" s="4" t="s">
        <v>66</v>
      </c>
      <c r="V141" s="4" t="s">
        <v>1100</v>
      </c>
      <c r="W141" s="5">
        <v>0</v>
      </c>
      <c r="X141" t="str">
        <f t="shared" si="6"/>
        <v>June</v>
      </c>
      <c r="Y141" t="str">
        <f t="shared" si="7"/>
        <v>Q2</v>
      </c>
      <c r="Z141" s="7">
        <f t="shared" si="8"/>
        <v>20.689999999999998</v>
      </c>
    </row>
    <row r="142" spans="1:26" x14ac:dyDescent="0.3">
      <c r="A142" s="2" t="s">
        <v>1101</v>
      </c>
      <c r="B142" s="8" t="s">
        <v>1102</v>
      </c>
      <c r="C142" s="2" t="s">
        <v>1103</v>
      </c>
      <c r="D142" s="2" t="s">
        <v>1104</v>
      </c>
      <c r="E142" s="2" t="s">
        <v>1105</v>
      </c>
      <c r="F142" s="2" t="s">
        <v>1106</v>
      </c>
      <c r="G142" s="2" t="s">
        <v>403</v>
      </c>
      <c r="H142" s="2" t="s">
        <v>404</v>
      </c>
      <c r="I142" s="2" t="s">
        <v>31</v>
      </c>
      <c r="J142" s="2" t="s">
        <v>1107</v>
      </c>
      <c r="K142" s="2" t="s">
        <v>110</v>
      </c>
      <c r="L142" s="2">
        <v>2</v>
      </c>
      <c r="M142" s="3">
        <v>82.98</v>
      </c>
      <c r="N142" s="2" t="s">
        <v>49</v>
      </c>
      <c r="O142" s="3">
        <v>12.45</v>
      </c>
      <c r="P142" s="3">
        <v>0</v>
      </c>
      <c r="Q142" s="3">
        <v>5.64</v>
      </c>
      <c r="R142" s="3">
        <v>76.17</v>
      </c>
      <c r="S142" s="2" t="s">
        <v>35</v>
      </c>
      <c r="T142" s="2" t="s">
        <v>36</v>
      </c>
      <c r="U142" s="2" t="s">
        <v>37</v>
      </c>
      <c r="V142" s="2" t="s">
        <v>1108</v>
      </c>
      <c r="W142" s="3">
        <v>76.17</v>
      </c>
      <c r="X142" t="str">
        <f t="shared" si="6"/>
        <v>September</v>
      </c>
      <c r="Y142" t="str">
        <f t="shared" si="7"/>
        <v>Q3</v>
      </c>
      <c r="Z142" s="7">
        <f t="shared" si="8"/>
        <v>70.53</v>
      </c>
    </row>
    <row r="143" spans="1:26" x14ac:dyDescent="0.3">
      <c r="A143" s="4" t="s">
        <v>1109</v>
      </c>
      <c r="B143" s="9" t="s">
        <v>1065</v>
      </c>
      <c r="C143" s="4" t="s">
        <v>1110</v>
      </c>
      <c r="D143" s="4" t="s">
        <v>1111</v>
      </c>
      <c r="E143" s="4" t="s">
        <v>1112</v>
      </c>
      <c r="F143" s="4" t="s">
        <v>1113</v>
      </c>
      <c r="G143" s="4" t="s">
        <v>45</v>
      </c>
      <c r="H143" s="4" t="s">
        <v>46</v>
      </c>
      <c r="I143" s="4" t="s">
        <v>31</v>
      </c>
      <c r="J143" s="4" t="s">
        <v>1114</v>
      </c>
      <c r="K143" s="4" t="s">
        <v>364</v>
      </c>
      <c r="L143" s="4">
        <v>3</v>
      </c>
      <c r="M143" s="5">
        <v>199.97</v>
      </c>
      <c r="N143" s="4" t="s">
        <v>34</v>
      </c>
      <c r="O143" s="5">
        <v>0</v>
      </c>
      <c r="P143" s="5">
        <v>0</v>
      </c>
      <c r="Q143" s="5">
        <v>20</v>
      </c>
      <c r="R143" s="5">
        <v>219.97</v>
      </c>
      <c r="S143" s="4" t="s">
        <v>123</v>
      </c>
      <c r="T143" s="4" t="s">
        <v>99</v>
      </c>
      <c r="U143" s="4" t="s">
        <v>100</v>
      </c>
      <c r="V143" s="4"/>
      <c r="W143" s="5">
        <v>0</v>
      </c>
      <c r="X143" t="str">
        <f t="shared" si="6"/>
        <v>November</v>
      </c>
      <c r="Y143" t="str">
        <f t="shared" si="7"/>
        <v>Q4</v>
      </c>
      <c r="Z143" s="7">
        <f t="shared" si="8"/>
        <v>199.97</v>
      </c>
    </row>
    <row r="144" spans="1:26" x14ac:dyDescent="0.3">
      <c r="A144" s="2" t="s">
        <v>1115</v>
      </c>
      <c r="B144" s="8" t="s">
        <v>1116</v>
      </c>
      <c r="C144" s="2" t="s">
        <v>1117</v>
      </c>
      <c r="D144" s="2" t="s">
        <v>1118</v>
      </c>
      <c r="E144" s="2" t="s">
        <v>1119</v>
      </c>
      <c r="F144" s="2" t="s">
        <v>1120</v>
      </c>
      <c r="G144" s="2" t="s">
        <v>207</v>
      </c>
      <c r="H144" s="2" t="s">
        <v>141</v>
      </c>
      <c r="I144" s="2" t="s">
        <v>31</v>
      </c>
      <c r="J144" s="2" t="s">
        <v>1121</v>
      </c>
      <c r="K144" s="2" t="s">
        <v>77</v>
      </c>
      <c r="L144" s="2">
        <v>3</v>
      </c>
      <c r="M144" s="3">
        <v>134.94999999999999</v>
      </c>
      <c r="N144" s="2" t="s">
        <v>34</v>
      </c>
      <c r="O144" s="3">
        <v>0</v>
      </c>
      <c r="P144" s="3">
        <v>0</v>
      </c>
      <c r="Q144" s="3">
        <v>9.4499999999999993</v>
      </c>
      <c r="R144" s="3">
        <v>144.4</v>
      </c>
      <c r="S144" s="2" t="s">
        <v>64</v>
      </c>
      <c r="T144" s="2" t="s">
        <v>99</v>
      </c>
      <c r="U144" s="2" t="s">
        <v>66</v>
      </c>
      <c r="V144" s="2" t="s">
        <v>1122</v>
      </c>
      <c r="W144" s="3">
        <v>0</v>
      </c>
      <c r="X144" t="str">
        <f t="shared" si="6"/>
        <v>January</v>
      </c>
      <c r="Y144" t="str">
        <f t="shared" si="7"/>
        <v>Q1</v>
      </c>
      <c r="Z144" s="7">
        <f t="shared" si="8"/>
        <v>134.94999999999999</v>
      </c>
    </row>
    <row r="145" spans="1:26" x14ac:dyDescent="0.3">
      <c r="A145" s="4" t="s">
        <v>1123</v>
      </c>
      <c r="B145" s="9" t="s">
        <v>1124</v>
      </c>
      <c r="C145" s="4" t="s">
        <v>1125</v>
      </c>
      <c r="D145" s="4" t="s">
        <v>1126</v>
      </c>
      <c r="E145" s="4" t="s">
        <v>1127</v>
      </c>
      <c r="F145" s="4" t="s">
        <v>1128</v>
      </c>
      <c r="G145" s="4" t="s">
        <v>802</v>
      </c>
      <c r="H145" s="4" t="s">
        <v>88</v>
      </c>
      <c r="I145" s="4" t="s">
        <v>31</v>
      </c>
      <c r="J145" s="4" t="s">
        <v>1129</v>
      </c>
      <c r="K145" s="4" t="s">
        <v>143</v>
      </c>
      <c r="L145" s="4">
        <v>2</v>
      </c>
      <c r="M145" s="5">
        <v>134.97999999999999</v>
      </c>
      <c r="N145" s="4" t="s">
        <v>163</v>
      </c>
      <c r="O145" s="5">
        <v>27</v>
      </c>
      <c r="P145" s="5">
        <v>0</v>
      </c>
      <c r="Q145" s="5">
        <v>8.64</v>
      </c>
      <c r="R145" s="5">
        <v>116.62</v>
      </c>
      <c r="S145" s="4" t="s">
        <v>123</v>
      </c>
      <c r="T145" s="4" t="s">
        <v>183</v>
      </c>
      <c r="U145" s="4" t="s">
        <v>37</v>
      </c>
      <c r="V145" s="4" t="s">
        <v>641</v>
      </c>
      <c r="W145" s="5">
        <v>116.62</v>
      </c>
      <c r="X145" t="str">
        <f t="shared" si="6"/>
        <v>March</v>
      </c>
      <c r="Y145" t="str">
        <f t="shared" si="7"/>
        <v>Q1</v>
      </c>
      <c r="Z145" s="7">
        <f t="shared" si="8"/>
        <v>107.97999999999999</v>
      </c>
    </row>
    <row r="146" spans="1:26" x14ac:dyDescent="0.3">
      <c r="A146" s="2" t="s">
        <v>1130</v>
      </c>
      <c r="B146" s="8" t="s">
        <v>194</v>
      </c>
      <c r="C146" s="2" t="s">
        <v>1131</v>
      </c>
      <c r="D146" s="2" t="s">
        <v>1132</v>
      </c>
      <c r="E146" s="2" t="s">
        <v>1133</v>
      </c>
      <c r="F146" s="2" t="s">
        <v>1134</v>
      </c>
      <c r="G146" s="2" t="s">
        <v>119</v>
      </c>
      <c r="H146" s="2" t="s">
        <v>120</v>
      </c>
      <c r="I146" s="2" t="s">
        <v>31</v>
      </c>
      <c r="J146" s="2" t="s">
        <v>1135</v>
      </c>
      <c r="K146" s="2" t="s">
        <v>77</v>
      </c>
      <c r="L146" s="2">
        <v>3</v>
      </c>
      <c r="M146" s="3">
        <v>87.97</v>
      </c>
      <c r="N146" s="2" t="s">
        <v>163</v>
      </c>
      <c r="O146" s="3">
        <v>17.59</v>
      </c>
      <c r="P146" s="3">
        <v>0</v>
      </c>
      <c r="Q146" s="3">
        <v>4.22</v>
      </c>
      <c r="R146" s="3">
        <v>74.599999999999994</v>
      </c>
      <c r="S146" s="2" t="s">
        <v>123</v>
      </c>
      <c r="T146" s="2" t="s">
        <v>144</v>
      </c>
      <c r="U146" s="2" t="s">
        <v>51</v>
      </c>
      <c r="V146" s="2" t="s">
        <v>824</v>
      </c>
      <c r="W146" s="3">
        <v>0</v>
      </c>
      <c r="X146" t="str">
        <f t="shared" si="6"/>
        <v>December</v>
      </c>
      <c r="Y146" t="str">
        <f t="shared" si="7"/>
        <v>Q4</v>
      </c>
      <c r="Z146" s="7">
        <f t="shared" si="8"/>
        <v>70.38</v>
      </c>
    </row>
    <row r="147" spans="1:26" x14ac:dyDescent="0.3">
      <c r="A147" s="4" t="s">
        <v>1136</v>
      </c>
      <c r="B147" s="9" t="s">
        <v>619</v>
      </c>
      <c r="C147" s="4" t="s">
        <v>1137</v>
      </c>
      <c r="D147" s="4" t="s">
        <v>1138</v>
      </c>
      <c r="E147" s="4" t="s">
        <v>1139</v>
      </c>
      <c r="F147" s="4" t="s">
        <v>1140</v>
      </c>
      <c r="G147" s="4" t="s">
        <v>107</v>
      </c>
      <c r="H147" s="4" t="s">
        <v>108</v>
      </c>
      <c r="I147" s="4" t="s">
        <v>31</v>
      </c>
      <c r="J147" s="4" t="s">
        <v>1141</v>
      </c>
      <c r="K147" s="4" t="s">
        <v>122</v>
      </c>
      <c r="L147" s="4">
        <v>1</v>
      </c>
      <c r="M147" s="5">
        <v>74.989999999999995</v>
      </c>
      <c r="N147" s="4" t="s">
        <v>78</v>
      </c>
      <c r="O147" s="5">
        <v>7.5</v>
      </c>
      <c r="P147" s="5">
        <v>9.99</v>
      </c>
      <c r="Q147" s="5">
        <v>5.74</v>
      </c>
      <c r="R147" s="5">
        <v>83.22</v>
      </c>
      <c r="S147" s="4" t="s">
        <v>35</v>
      </c>
      <c r="T147" s="4" t="s">
        <v>173</v>
      </c>
      <c r="U147" s="4" t="s">
        <v>66</v>
      </c>
      <c r="V147" s="4" t="s">
        <v>1142</v>
      </c>
      <c r="W147" s="5">
        <v>0</v>
      </c>
      <c r="X147" t="str">
        <f t="shared" si="6"/>
        <v>October</v>
      </c>
      <c r="Y147" t="str">
        <f t="shared" si="7"/>
        <v>Q4</v>
      </c>
      <c r="Z147" s="7">
        <f t="shared" si="8"/>
        <v>67.489999999999995</v>
      </c>
    </row>
    <row r="148" spans="1:26" x14ac:dyDescent="0.3">
      <c r="A148" s="2" t="s">
        <v>1143</v>
      </c>
      <c r="B148" s="8" t="s">
        <v>351</v>
      </c>
      <c r="C148" s="2" t="s">
        <v>1144</v>
      </c>
      <c r="D148" s="2" t="s">
        <v>1145</v>
      </c>
      <c r="E148" s="2" t="s">
        <v>1146</v>
      </c>
      <c r="F148" s="2" t="s">
        <v>1147</v>
      </c>
      <c r="G148" s="2" t="s">
        <v>29</v>
      </c>
      <c r="H148" s="2" t="s">
        <v>30</v>
      </c>
      <c r="I148" s="2" t="s">
        <v>31</v>
      </c>
      <c r="J148" s="2" t="s">
        <v>1148</v>
      </c>
      <c r="K148" s="2" t="s">
        <v>33</v>
      </c>
      <c r="L148" s="2">
        <v>1</v>
      </c>
      <c r="M148" s="3">
        <v>18.989999999999998</v>
      </c>
      <c r="N148" s="2" t="s">
        <v>78</v>
      </c>
      <c r="O148" s="3">
        <v>1.9</v>
      </c>
      <c r="P148" s="3">
        <v>4.99</v>
      </c>
      <c r="Q148" s="3">
        <v>1.54</v>
      </c>
      <c r="R148" s="3">
        <v>23.62</v>
      </c>
      <c r="S148" s="2" t="s">
        <v>35</v>
      </c>
      <c r="T148" s="2" t="s">
        <v>65</v>
      </c>
      <c r="U148" s="2" t="s">
        <v>66</v>
      </c>
      <c r="V148" s="2" t="s">
        <v>1149</v>
      </c>
      <c r="W148" s="3">
        <v>0</v>
      </c>
      <c r="X148" t="str">
        <f t="shared" si="6"/>
        <v>June</v>
      </c>
      <c r="Y148" t="str">
        <f t="shared" si="7"/>
        <v>Q2</v>
      </c>
      <c r="Z148" s="7">
        <f t="shared" si="8"/>
        <v>17.09</v>
      </c>
    </row>
    <row r="149" spans="1:26" x14ac:dyDescent="0.3">
      <c r="A149" s="4" t="s">
        <v>1150</v>
      </c>
      <c r="B149" s="9" t="s">
        <v>1151</v>
      </c>
      <c r="C149" s="4" t="s">
        <v>1152</v>
      </c>
      <c r="D149" s="4" t="s">
        <v>1153</v>
      </c>
      <c r="E149" s="4" t="s">
        <v>1154</v>
      </c>
      <c r="F149" s="4" t="s">
        <v>1155</v>
      </c>
      <c r="G149" s="4" t="s">
        <v>282</v>
      </c>
      <c r="H149" s="4" t="s">
        <v>88</v>
      </c>
      <c r="I149" s="4" t="s">
        <v>31</v>
      </c>
      <c r="J149" s="4" t="s">
        <v>1054</v>
      </c>
      <c r="K149" s="4" t="s">
        <v>364</v>
      </c>
      <c r="L149" s="4">
        <v>1</v>
      </c>
      <c r="M149" s="5">
        <v>44.99</v>
      </c>
      <c r="N149" s="4" t="s">
        <v>78</v>
      </c>
      <c r="O149" s="5">
        <v>4.5</v>
      </c>
      <c r="P149" s="5">
        <v>7.99</v>
      </c>
      <c r="Q149" s="5">
        <v>3.44</v>
      </c>
      <c r="R149" s="5">
        <v>51.92</v>
      </c>
      <c r="S149" s="4" t="s">
        <v>64</v>
      </c>
      <c r="T149" s="4" t="s">
        <v>183</v>
      </c>
      <c r="U149" s="4" t="s">
        <v>66</v>
      </c>
      <c r="V149" s="4" t="s">
        <v>349</v>
      </c>
      <c r="W149" s="5">
        <v>0</v>
      </c>
      <c r="X149" t="str">
        <f t="shared" si="6"/>
        <v>August</v>
      </c>
      <c r="Y149" t="str">
        <f t="shared" si="7"/>
        <v>Q3</v>
      </c>
      <c r="Z149" s="7">
        <f t="shared" si="8"/>
        <v>40.49</v>
      </c>
    </row>
    <row r="150" spans="1:26" x14ac:dyDescent="0.3">
      <c r="A150" s="2" t="s">
        <v>1156</v>
      </c>
      <c r="B150" s="8" t="s">
        <v>957</v>
      </c>
      <c r="C150" s="2" t="s">
        <v>1157</v>
      </c>
      <c r="D150" s="2" t="s">
        <v>1158</v>
      </c>
      <c r="E150" s="2" t="s">
        <v>1159</v>
      </c>
      <c r="F150" s="2" t="s">
        <v>1160</v>
      </c>
      <c r="G150" s="2" t="s">
        <v>160</v>
      </c>
      <c r="H150" s="2" t="s">
        <v>161</v>
      </c>
      <c r="I150" s="2" t="s">
        <v>31</v>
      </c>
      <c r="J150" s="2" t="s">
        <v>1161</v>
      </c>
      <c r="K150" s="2" t="s">
        <v>143</v>
      </c>
      <c r="L150" s="2">
        <v>2</v>
      </c>
      <c r="M150" s="3">
        <v>124.98</v>
      </c>
      <c r="N150" s="2" t="s">
        <v>49</v>
      </c>
      <c r="O150" s="3">
        <v>18.75</v>
      </c>
      <c r="P150" s="3">
        <v>0</v>
      </c>
      <c r="Q150" s="3">
        <v>9.0299999999999994</v>
      </c>
      <c r="R150" s="3">
        <v>115.26</v>
      </c>
      <c r="S150" s="2" t="s">
        <v>35</v>
      </c>
      <c r="T150" s="2" t="s">
        <v>36</v>
      </c>
      <c r="U150" s="2" t="s">
        <v>66</v>
      </c>
      <c r="V150" s="2" t="s">
        <v>513</v>
      </c>
      <c r="W150" s="3">
        <v>0</v>
      </c>
      <c r="X150" t="str">
        <f t="shared" si="6"/>
        <v>May</v>
      </c>
      <c r="Y150" t="str">
        <f t="shared" si="7"/>
        <v>Q2</v>
      </c>
      <c r="Z150" s="7">
        <f t="shared" si="8"/>
        <v>106.23</v>
      </c>
    </row>
    <row r="151" spans="1:26" x14ac:dyDescent="0.3">
      <c r="A151" s="4" t="s">
        <v>1162</v>
      </c>
      <c r="B151" s="9" t="s">
        <v>1163</v>
      </c>
      <c r="C151" s="4" t="s">
        <v>1164</v>
      </c>
      <c r="D151" s="4" t="s">
        <v>1165</v>
      </c>
      <c r="E151" s="4" t="s">
        <v>1166</v>
      </c>
      <c r="F151" s="4" t="s">
        <v>1167</v>
      </c>
      <c r="G151" s="4" t="s">
        <v>131</v>
      </c>
      <c r="H151" s="4" t="s">
        <v>88</v>
      </c>
      <c r="I151" s="4" t="s">
        <v>31</v>
      </c>
      <c r="J151" s="4" t="s">
        <v>1168</v>
      </c>
      <c r="K151" s="4" t="s">
        <v>122</v>
      </c>
      <c r="L151" s="4">
        <v>2</v>
      </c>
      <c r="M151" s="5">
        <v>134.97999999999999</v>
      </c>
      <c r="N151" s="4" t="s">
        <v>163</v>
      </c>
      <c r="O151" s="5">
        <v>27</v>
      </c>
      <c r="P151" s="5">
        <v>0</v>
      </c>
      <c r="Q151" s="5">
        <v>9.18</v>
      </c>
      <c r="R151" s="5">
        <v>117.16</v>
      </c>
      <c r="S151" s="4" t="s">
        <v>64</v>
      </c>
      <c r="T151" s="4" t="s">
        <v>173</v>
      </c>
      <c r="U151" s="4" t="s">
        <v>100</v>
      </c>
      <c r="V151" s="4"/>
      <c r="W151" s="5">
        <v>0</v>
      </c>
      <c r="X151" t="str">
        <f t="shared" si="6"/>
        <v>January</v>
      </c>
      <c r="Y151" t="str">
        <f t="shared" si="7"/>
        <v>Q1</v>
      </c>
      <c r="Z151" s="7">
        <f t="shared" si="8"/>
        <v>107.97999999999999</v>
      </c>
    </row>
    <row r="152" spans="1:26" x14ac:dyDescent="0.3">
      <c r="A152" s="2" t="s">
        <v>1169</v>
      </c>
      <c r="B152" s="8" t="s">
        <v>1170</v>
      </c>
      <c r="C152" s="2" t="s">
        <v>1171</v>
      </c>
      <c r="D152" s="2" t="s">
        <v>1172</v>
      </c>
      <c r="E152" s="2" t="s">
        <v>1173</v>
      </c>
      <c r="F152" s="2" t="s">
        <v>1174</v>
      </c>
      <c r="G152" s="2" t="s">
        <v>242</v>
      </c>
      <c r="H152" s="2" t="s">
        <v>243</v>
      </c>
      <c r="I152" s="2" t="s">
        <v>31</v>
      </c>
      <c r="J152" s="2" t="s">
        <v>1175</v>
      </c>
      <c r="K152" s="2" t="s">
        <v>143</v>
      </c>
      <c r="L152" s="2">
        <v>1</v>
      </c>
      <c r="M152" s="3">
        <v>54.99</v>
      </c>
      <c r="N152" s="2" t="s">
        <v>163</v>
      </c>
      <c r="O152" s="3">
        <v>11</v>
      </c>
      <c r="P152" s="3">
        <v>9.99</v>
      </c>
      <c r="Q152" s="3">
        <v>3.96</v>
      </c>
      <c r="R152" s="3">
        <v>57.94</v>
      </c>
      <c r="S152" s="2" t="s">
        <v>123</v>
      </c>
      <c r="T152" s="2" t="s">
        <v>36</v>
      </c>
      <c r="U152" s="2" t="s">
        <v>66</v>
      </c>
      <c r="V152" s="2" t="s">
        <v>1176</v>
      </c>
      <c r="W152" s="3">
        <v>0</v>
      </c>
      <c r="X152" t="str">
        <f t="shared" si="6"/>
        <v>January</v>
      </c>
      <c r="Y152" t="str">
        <f t="shared" si="7"/>
        <v>Q1</v>
      </c>
      <c r="Z152" s="7">
        <f t="shared" si="8"/>
        <v>43.99</v>
      </c>
    </row>
    <row r="153" spans="1:26" x14ac:dyDescent="0.3">
      <c r="A153" s="4" t="s">
        <v>1177</v>
      </c>
      <c r="B153" s="9" t="s">
        <v>1178</v>
      </c>
      <c r="C153" s="4" t="s">
        <v>1179</v>
      </c>
      <c r="D153" s="4" t="s">
        <v>1180</v>
      </c>
      <c r="E153" s="4" t="s">
        <v>1181</v>
      </c>
      <c r="F153" s="4" t="s">
        <v>1182</v>
      </c>
      <c r="G153" s="4" t="s">
        <v>1183</v>
      </c>
      <c r="H153" s="4" t="s">
        <v>88</v>
      </c>
      <c r="I153" s="4" t="s">
        <v>31</v>
      </c>
      <c r="J153" s="4" t="s">
        <v>1184</v>
      </c>
      <c r="K153" s="4" t="s">
        <v>122</v>
      </c>
      <c r="L153" s="4">
        <v>2</v>
      </c>
      <c r="M153" s="5">
        <v>154.97</v>
      </c>
      <c r="N153" s="4" t="s">
        <v>78</v>
      </c>
      <c r="O153" s="5">
        <v>15.5</v>
      </c>
      <c r="P153" s="5">
        <v>0</v>
      </c>
      <c r="Q153" s="5">
        <v>11.16</v>
      </c>
      <c r="R153" s="5">
        <v>150.63</v>
      </c>
      <c r="S153" s="4" t="s">
        <v>111</v>
      </c>
      <c r="T153" s="4" t="s">
        <v>99</v>
      </c>
      <c r="U153" s="4" t="s">
        <v>66</v>
      </c>
      <c r="V153" s="4" t="s">
        <v>1185</v>
      </c>
      <c r="W153" s="5">
        <v>0</v>
      </c>
      <c r="X153" t="str">
        <f t="shared" si="6"/>
        <v>November</v>
      </c>
      <c r="Y153" t="str">
        <f t="shared" si="7"/>
        <v>Q4</v>
      </c>
      <c r="Z153" s="7">
        <f t="shared" si="8"/>
        <v>139.47</v>
      </c>
    </row>
    <row r="154" spans="1:26" x14ac:dyDescent="0.3">
      <c r="A154" s="2" t="s">
        <v>1186</v>
      </c>
      <c r="B154" s="8" t="s">
        <v>1187</v>
      </c>
      <c r="C154" s="2" t="s">
        <v>1188</v>
      </c>
      <c r="D154" s="2" t="s">
        <v>1189</v>
      </c>
      <c r="E154" s="2" t="s">
        <v>1190</v>
      </c>
      <c r="F154" s="2" t="s">
        <v>1191</v>
      </c>
      <c r="G154" s="2" t="s">
        <v>403</v>
      </c>
      <c r="H154" s="2" t="s">
        <v>404</v>
      </c>
      <c r="I154" s="2" t="s">
        <v>31</v>
      </c>
      <c r="J154" s="2" t="s">
        <v>1192</v>
      </c>
      <c r="K154" s="2" t="s">
        <v>48</v>
      </c>
      <c r="L154" s="2">
        <v>3</v>
      </c>
      <c r="M154" s="3">
        <v>132.97</v>
      </c>
      <c r="N154" s="2" t="s">
        <v>78</v>
      </c>
      <c r="O154" s="3">
        <v>13.3</v>
      </c>
      <c r="P154" s="3">
        <v>0</v>
      </c>
      <c r="Q154" s="3">
        <v>11.97</v>
      </c>
      <c r="R154" s="3">
        <v>131.63999999999999</v>
      </c>
      <c r="S154" s="2" t="s">
        <v>35</v>
      </c>
      <c r="T154" s="2" t="s">
        <v>36</v>
      </c>
      <c r="U154" s="2" t="s">
        <v>37</v>
      </c>
      <c r="V154" s="2" t="s">
        <v>284</v>
      </c>
      <c r="W154" s="3">
        <v>131.63999999999999</v>
      </c>
      <c r="X154" t="str">
        <f t="shared" si="6"/>
        <v>March</v>
      </c>
      <c r="Y154" t="str">
        <f t="shared" si="7"/>
        <v>Q1</v>
      </c>
      <c r="Z154" s="7">
        <f t="shared" si="8"/>
        <v>119.67</v>
      </c>
    </row>
    <row r="155" spans="1:26" x14ac:dyDescent="0.3">
      <c r="A155" s="4" t="s">
        <v>1193</v>
      </c>
      <c r="B155" s="9" t="s">
        <v>1194</v>
      </c>
      <c r="C155" s="4" t="s">
        <v>1195</v>
      </c>
      <c r="D155" s="4" t="s">
        <v>1196</v>
      </c>
      <c r="E155" s="4" t="s">
        <v>1197</v>
      </c>
      <c r="F155" s="4" t="s">
        <v>1198</v>
      </c>
      <c r="G155" s="4" t="s">
        <v>74</v>
      </c>
      <c r="H155" s="4" t="s">
        <v>75</v>
      </c>
      <c r="I155" s="4" t="s">
        <v>31</v>
      </c>
      <c r="J155" s="4" t="s">
        <v>533</v>
      </c>
      <c r="K155" s="4" t="s">
        <v>209</v>
      </c>
      <c r="L155" s="4">
        <v>1</v>
      </c>
      <c r="M155" s="5">
        <v>239.98</v>
      </c>
      <c r="N155" s="4" t="s">
        <v>34</v>
      </c>
      <c r="O155" s="5">
        <v>0</v>
      </c>
      <c r="P155" s="5">
        <v>0</v>
      </c>
      <c r="Q155" s="5">
        <v>24</v>
      </c>
      <c r="R155" s="5">
        <v>263.98</v>
      </c>
      <c r="S155" s="4" t="s">
        <v>123</v>
      </c>
      <c r="T155" s="4" t="s">
        <v>99</v>
      </c>
      <c r="U155" s="4" t="s">
        <v>66</v>
      </c>
      <c r="V155" s="4" t="s">
        <v>1199</v>
      </c>
      <c r="W155" s="5">
        <v>0</v>
      </c>
      <c r="X155" t="str">
        <f t="shared" si="6"/>
        <v>December</v>
      </c>
      <c r="Y155" t="str">
        <f t="shared" si="7"/>
        <v>Q4</v>
      </c>
      <c r="Z155" s="7">
        <f t="shared" si="8"/>
        <v>239.98</v>
      </c>
    </row>
    <row r="156" spans="1:26" x14ac:dyDescent="0.3">
      <c r="A156" s="2" t="s">
        <v>1200</v>
      </c>
      <c r="B156" s="8" t="s">
        <v>1201</v>
      </c>
      <c r="C156" s="2" t="s">
        <v>1202</v>
      </c>
      <c r="D156" s="2" t="s">
        <v>1203</v>
      </c>
      <c r="E156" s="2" t="s">
        <v>1204</v>
      </c>
      <c r="F156" s="2" t="s">
        <v>1205</v>
      </c>
      <c r="G156" s="2" t="s">
        <v>640</v>
      </c>
      <c r="H156" s="2" t="s">
        <v>161</v>
      </c>
      <c r="I156" s="2" t="s">
        <v>31</v>
      </c>
      <c r="J156" s="2" t="s">
        <v>1206</v>
      </c>
      <c r="K156" s="2" t="s">
        <v>679</v>
      </c>
      <c r="L156" s="2">
        <v>3</v>
      </c>
      <c r="M156" s="3">
        <v>324.95</v>
      </c>
      <c r="N156" s="2" t="s">
        <v>34</v>
      </c>
      <c r="O156" s="3">
        <v>0</v>
      </c>
      <c r="P156" s="3">
        <v>0</v>
      </c>
      <c r="Q156" s="3">
        <v>32.5</v>
      </c>
      <c r="R156" s="3">
        <v>357.45</v>
      </c>
      <c r="S156" s="2" t="s">
        <v>437</v>
      </c>
      <c r="T156" s="2" t="s">
        <v>36</v>
      </c>
      <c r="U156" s="2" t="s">
        <v>51</v>
      </c>
      <c r="V156" s="2" t="s">
        <v>1207</v>
      </c>
      <c r="W156" s="3">
        <v>0</v>
      </c>
      <c r="X156" t="str">
        <f t="shared" si="6"/>
        <v>December</v>
      </c>
      <c r="Y156" t="str">
        <f t="shared" si="7"/>
        <v>Q4</v>
      </c>
      <c r="Z156" s="7">
        <f t="shared" si="8"/>
        <v>324.95</v>
      </c>
    </row>
    <row r="157" spans="1:26" x14ac:dyDescent="0.3">
      <c r="A157" s="4" t="s">
        <v>1208</v>
      </c>
      <c r="B157" s="9" t="s">
        <v>1209</v>
      </c>
      <c r="C157" s="4" t="s">
        <v>1210</v>
      </c>
      <c r="D157" s="4" t="s">
        <v>1211</v>
      </c>
      <c r="E157" s="4" t="s">
        <v>1212</v>
      </c>
      <c r="F157" s="4" t="s">
        <v>1213</v>
      </c>
      <c r="G157" s="4" t="s">
        <v>323</v>
      </c>
      <c r="H157" s="4" t="s">
        <v>324</v>
      </c>
      <c r="I157" s="4" t="s">
        <v>31</v>
      </c>
      <c r="J157" s="4" t="s">
        <v>151</v>
      </c>
      <c r="K157" s="4" t="s">
        <v>110</v>
      </c>
      <c r="L157" s="4">
        <v>1</v>
      </c>
      <c r="M157" s="5">
        <v>39.99</v>
      </c>
      <c r="N157" s="4" t="s">
        <v>163</v>
      </c>
      <c r="O157" s="5">
        <v>8</v>
      </c>
      <c r="P157" s="5">
        <v>7.99</v>
      </c>
      <c r="Q157" s="5">
        <v>3.2</v>
      </c>
      <c r="R157" s="5">
        <v>43.18</v>
      </c>
      <c r="S157" s="4" t="s">
        <v>332</v>
      </c>
      <c r="T157" s="4" t="s">
        <v>99</v>
      </c>
      <c r="U157" s="4" t="s">
        <v>100</v>
      </c>
      <c r="V157" s="4"/>
      <c r="W157" s="5">
        <v>0</v>
      </c>
      <c r="X157" t="str">
        <f t="shared" si="6"/>
        <v>April</v>
      </c>
      <c r="Y157" t="str">
        <f t="shared" si="7"/>
        <v>Q2</v>
      </c>
      <c r="Z157" s="7">
        <f t="shared" si="8"/>
        <v>31.990000000000002</v>
      </c>
    </row>
    <row r="158" spans="1:26" x14ac:dyDescent="0.3">
      <c r="A158" s="2" t="s">
        <v>1214</v>
      </c>
      <c r="B158" s="8" t="s">
        <v>1215</v>
      </c>
      <c r="C158" s="2" t="s">
        <v>1216</v>
      </c>
      <c r="D158" s="2" t="s">
        <v>1217</v>
      </c>
      <c r="E158" s="2" t="s">
        <v>1218</v>
      </c>
      <c r="F158" s="2" t="s">
        <v>1219</v>
      </c>
      <c r="G158" s="2" t="s">
        <v>251</v>
      </c>
      <c r="H158" s="2" t="s">
        <v>252</v>
      </c>
      <c r="I158" s="2" t="s">
        <v>31</v>
      </c>
      <c r="J158" s="2" t="s">
        <v>1220</v>
      </c>
      <c r="K158" s="2" t="s">
        <v>62</v>
      </c>
      <c r="L158" s="2">
        <v>4</v>
      </c>
      <c r="M158" s="3">
        <v>235.94</v>
      </c>
      <c r="N158" s="2" t="s">
        <v>34</v>
      </c>
      <c r="O158" s="3">
        <v>0</v>
      </c>
      <c r="P158" s="3">
        <v>0</v>
      </c>
      <c r="Q158" s="3">
        <v>18.88</v>
      </c>
      <c r="R158" s="3">
        <v>254.82</v>
      </c>
      <c r="S158" s="2" t="s">
        <v>64</v>
      </c>
      <c r="T158" s="2" t="s">
        <v>36</v>
      </c>
      <c r="U158" s="2" t="s">
        <v>66</v>
      </c>
      <c r="V158" s="2" t="s">
        <v>1108</v>
      </c>
      <c r="W158" s="3">
        <v>0</v>
      </c>
      <c r="X158" t="str">
        <f t="shared" si="6"/>
        <v>September</v>
      </c>
      <c r="Y158" t="str">
        <f t="shared" si="7"/>
        <v>Q3</v>
      </c>
      <c r="Z158" s="7">
        <f t="shared" si="8"/>
        <v>235.94</v>
      </c>
    </row>
    <row r="159" spans="1:26" x14ac:dyDescent="0.3">
      <c r="A159" s="4" t="s">
        <v>1221</v>
      </c>
      <c r="B159" s="9" t="s">
        <v>1222</v>
      </c>
      <c r="C159" s="4" t="s">
        <v>1223</v>
      </c>
      <c r="D159" s="4" t="s">
        <v>1224</v>
      </c>
      <c r="E159" s="4" t="s">
        <v>1225</v>
      </c>
      <c r="F159" s="4" t="s">
        <v>1226</v>
      </c>
      <c r="G159" s="4" t="s">
        <v>692</v>
      </c>
      <c r="H159" s="4" t="s">
        <v>693</v>
      </c>
      <c r="I159" s="4" t="s">
        <v>31</v>
      </c>
      <c r="J159" s="4" t="s">
        <v>151</v>
      </c>
      <c r="K159" s="4" t="s">
        <v>110</v>
      </c>
      <c r="L159" s="4">
        <v>1</v>
      </c>
      <c r="M159" s="5">
        <v>39.99</v>
      </c>
      <c r="N159" s="4" t="s">
        <v>163</v>
      </c>
      <c r="O159" s="5">
        <v>8</v>
      </c>
      <c r="P159" s="5">
        <v>4.99</v>
      </c>
      <c r="Q159" s="5">
        <v>1.92</v>
      </c>
      <c r="R159" s="5">
        <v>38.9</v>
      </c>
      <c r="S159" s="4" t="s">
        <v>64</v>
      </c>
      <c r="T159" s="4" t="s">
        <v>183</v>
      </c>
      <c r="U159" s="4" t="s">
        <v>317</v>
      </c>
      <c r="V159" s="4"/>
      <c r="W159" s="5">
        <v>0</v>
      </c>
      <c r="X159" t="str">
        <f t="shared" si="6"/>
        <v>July</v>
      </c>
      <c r="Y159" t="str">
        <f t="shared" si="7"/>
        <v>Q3</v>
      </c>
      <c r="Z159" s="7">
        <f t="shared" si="8"/>
        <v>31.990000000000002</v>
      </c>
    </row>
    <row r="160" spans="1:26" x14ac:dyDescent="0.3">
      <c r="A160" s="2" t="s">
        <v>1227</v>
      </c>
      <c r="B160" s="8" t="s">
        <v>595</v>
      </c>
      <c r="C160" s="2" t="s">
        <v>1228</v>
      </c>
      <c r="D160" s="2" t="s">
        <v>1229</v>
      </c>
      <c r="E160" s="2" t="s">
        <v>1230</v>
      </c>
      <c r="F160" s="2" t="s">
        <v>1231</v>
      </c>
      <c r="G160" s="2" t="s">
        <v>171</v>
      </c>
      <c r="H160" s="2" t="s">
        <v>88</v>
      </c>
      <c r="I160" s="2" t="s">
        <v>31</v>
      </c>
      <c r="J160" s="2" t="s">
        <v>1232</v>
      </c>
      <c r="K160" s="2" t="s">
        <v>77</v>
      </c>
      <c r="L160" s="2">
        <v>1</v>
      </c>
      <c r="M160" s="3">
        <v>34.99</v>
      </c>
      <c r="N160" s="2" t="s">
        <v>34</v>
      </c>
      <c r="O160" s="3">
        <v>0</v>
      </c>
      <c r="P160" s="3">
        <v>5.99</v>
      </c>
      <c r="Q160" s="3">
        <v>2.1</v>
      </c>
      <c r="R160" s="3">
        <v>43.08</v>
      </c>
      <c r="S160" s="2" t="s">
        <v>123</v>
      </c>
      <c r="T160" s="2" t="s">
        <v>99</v>
      </c>
      <c r="U160" s="2" t="s">
        <v>66</v>
      </c>
      <c r="V160" s="2" t="s">
        <v>82</v>
      </c>
      <c r="W160" s="3">
        <v>0</v>
      </c>
      <c r="X160" t="str">
        <f t="shared" si="6"/>
        <v>May</v>
      </c>
      <c r="Y160" t="str">
        <f t="shared" si="7"/>
        <v>Q2</v>
      </c>
      <c r="Z160" s="7">
        <f t="shared" si="8"/>
        <v>34.99</v>
      </c>
    </row>
    <row r="161" spans="1:26" x14ac:dyDescent="0.3">
      <c r="A161" s="4" t="s">
        <v>1233</v>
      </c>
      <c r="B161" s="9" t="s">
        <v>372</v>
      </c>
      <c r="C161" s="4" t="s">
        <v>1234</v>
      </c>
      <c r="D161" s="4" t="s">
        <v>1235</v>
      </c>
      <c r="E161" s="4" t="s">
        <v>1236</v>
      </c>
      <c r="F161" s="4" t="s">
        <v>1237</v>
      </c>
      <c r="G161" s="4" t="s">
        <v>59</v>
      </c>
      <c r="H161" s="4" t="s">
        <v>60</v>
      </c>
      <c r="I161" s="4" t="s">
        <v>31</v>
      </c>
      <c r="J161" s="4" t="s">
        <v>1238</v>
      </c>
      <c r="K161" s="4" t="s">
        <v>209</v>
      </c>
      <c r="L161" s="4">
        <v>1</v>
      </c>
      <c r="M161" s="5">
        <v>39.99</v>
      </c>
      <c r="N161" s="4" t="s">
        <v>34</v>
      </c>
      <c r="O161" s="5">
        <v>0</v>
      </c>
      <c r="P161" s="5">
        <v>9.99</v>
      </c>
      <c r="Q161" s="5">
        <v>3.2</v>
      </c>
      <c r="R161" s="5">
        <v>53.18</v>
      </c>
      <c r="S161" s="4" t="s">
        <v>437</v>
      </c>
      <c r="T161" s="4" t="s">
        <v>99</v>
      </c>
      <c r="U161" s="4" t="s">
        <v>66</v>
      </c>
      <c r="V161" s="4" t="s">
        <v>1124</v>
      </c>
      <c r="W161" s="5">
        <v>0</v>
      </c>
      <c r="X161" t="str">
        <f t="shared" si="6"/>
        <v>March</v>
      </c>
      <c r="Y161" t="str">
        <f t="shared" si="7"/>
        <v>Q1</v>
      </c>
      <c r="Z161" s="7">
        <f t="shared" si="8"/>
        <v>39.99</v>
      </c>
    </row>
    <row r="162" spans="1:26" x14ac:dyDescent="0.3">
      <c r="A162" s="2" t="s">
        <v>1239</v>
      </c>
      <c r="B162" s="8" t="s">
        <v>194</v>
      </c>
      <c r="C162" s="2" t="s">
        <v>1240</v>
      </c>
      <c r="D162" s="2" t="s">
        <v>1241</v>
      </c>
      <c r="E162" s="2" t="s">
        <v>1242</v>
      </c>
      <c r="F162" s="2" t="s">
        <v>1243</v>
      </c>
      <c r="G162" s="2" t="s">
        <v>59</v>
      </c>
      <c r="H162" s="2" t="s">
        <v>60</v>
      </c>
      <c r="I162" s="2" t="s">
        <v>31</v>
      </c>
      <c r="J162" s="2" t="s">
        <v>1244</v>
      </c>
      <c r="K162" s="2" t="s">
        <v>62</v>
      </c>
      <c r="L162" s="2">
        <v>2</v>
      </c>
      <c r="M162" s="3">
        <v>159.97</v>
      </c>
      <c r="N162" s="2" t="s">
        <v>152</v>
      </c>
      <c r="O162" s="3">
        <v>8</v>
      </c>
      <c r="P162" s="3">
        <v>0</v>
      </c>
      <c r="Q162" s="3">
        <v>13.68</v>
      </c>
      <c r="R162" s="3">
        <v>165.65</v>
      </c>
      <c r="S162" s="2" t="s">
        <v>35</v>
      </c>
      <c r="T162" s="2" t="s">
        <v>99</v>
      </c>
      <c r="U162" s="2" t="s">
        <v>66</v>
      </c>
      <c r="V162" s="2" t="s">
        <v>476</v>
      </c>
      <c r="W162" s="3">
        <v>0</v>
      </c>
      <c r="X162" t="str">
        <f t="shared" si="6"/>
        <v>December</v>
      </c>
      <c r="Y162" t="str">
        <f t="shared" si="7"/>
        <v>Q4</v>
      </c>
      <c r="Z162" s="7">
        <f t="shared" si="8"/>
        <v>151.97</v>
      </c>
    </row>
    <row r="163" spans="1:26" x14ac:dyDescent="0.3">
      <c r="A163" s="4" t="s">
        <v>1245</v>
      </c>
      <c r="B163" s="9" t="s">
        <v>1246</v>
      </c>
      <c r="C163" s="4" t="s">
        <v>1247</v>
      </c>
      <c r="D163" s="4" t="s">
        <v>1248</v>
      </c>
      <c r="E163" s="4" t="s">
        <v>1249</v>
      </c>
      <c r="F163" s="4" t="s">
        <v>1250</v>
      </c>
      <c r="G163" s="4" t="s">
        <v>107</v>
      </c>
      <c r="H163" s="4" t="s">
        <v>108</v>
      </c>
      <c r="I163" s="4" t="s">
        <v>31</v>
      </c>
      <c r="J163" s="4" t="s">
        <v>1251</v>
      </c>
      <c r="K163" s="4" t="s">
        <v>77</v>
      </c>
      <c r="L163" s="4">
        <v>5</v>
      </c>
      <c r="M163" s="5">
        <v>315.93</v>
      </c>
      <c r="N163" s="4" t="s">
        <v>34</v>
      </c>
      <c r="O163" s="5">
        <v>0</v>
      </c>
      <c r="P163" s="5">
        <v>0</v>
      </c>
      <c r="Q163" s="5">
        <v>18.96</v>
      </c>
      <c r="R163" s="5">
        <v>334.89</v>
      </c>
      <c r="S163" s="4" t="s">
        <v>64</v>
      </c>
      <c r="T163" s="4" t="s">
        <v>99</v>
      </c>
      <c r="U163" s="4" t="s">
        <v>66</v>
      </c>
      <c r="V163" s="4" t="s">
        <v>1252</v>
      </c>
      <c r="W163" s="5">
        <v>0</v>
      </c>
      <c r="X163" t="str">
        <f t="shared" si="6"/>
        <v>December</v>
      </c>
      <c r="Y163" t="str">
        <f t="shared" si="7"/>
        <v>Q4</v>
      </c>
      <c r="Z163" s="7">
        <f t="shared" si="8"/>
        <v>315.93</v>
      </c>
    </row>
    <row r="164" spans="1:26" x14ac:dyDescent="0.3">
      <c r="A164" s="2" t="s">
        <v>1253</v>
      </c>
      <c r="B164" s="8" t="s">
        <v>965</v>
      </c>
      <c r="C164" s="2" t="s">
        <v>1254</v>
      </c>
      <c r="D164" s="2" t="s">
        <v>1255</v>
      </c>
      <c r="E164" s="2" t="s">
        <v>1256</v>
      </c>
      <c r="F164" s="2" t="s">
        <v>1257</v>
      </c>
      <c r="G164" s="2" t="s">
        <v>107</v>
      </c>
      <c r="H164" s="2" t="s">
        <v>108</v>
      </c>
      <c r="I164" s="2" t="s">
        <v>31</v>
      </c>
      <c r="J164" s="2" t="s">
        <v>526</v>
      </c>
      <c r="K164" s="2" t="s">
        <v>110</v>
      </c>
      <c r="L164" s="2">
        <v>1</v>
      </c>
      <c r="M164" s="3">
        <v>32.99</v>
      </c>
      <c r="N164" s="2" t="s">
        <v>152</v>
      </c>
      <c r="O164" s="3">
        <v>1.65</v>
      </c>
      <c r="P164" s="3">
        <v>5.99</v>
      </c>
      <c r="Q164" s="3">
        <v>2.5099999999999998</v>
      </c>
      <c r="R164" s="3">
        <v>39.840000000000003</v>
      </c>
      <c r="S164" s="2" t="s">
        <v>35</v>
      </c>
      <c r="T164" s="2" t="s">
        <v>99</v>
      </c>
      <c r="U164" s="2" t="s">
        <v>66</v>
      </c>
      <c r="V164" s="2" t="s">
        <v>389</v>
      </c>
      <c r="W164" s="3">
        <v>0</v>
      </c>
      <c r="X164" t="str">
        <f t="shared" si="6"/>
        <v>September</v>
      </c>
      <c r="Y164" t="str">
        <f t="shared" si="7"/>
        <v>Q3</v>
      </c>
      <c r="Z164" s="7">
        <f t="shared" si="8"/>
        <v>31.340000000000003</v>
      </c>
    </row>
    <row r="165" spans="1:26" x14ac:dyDescent="0.3">
      <c r="A165" s="4" t="s">
        <v>1258</v>
      </c>
      <c r="B165" s="9" t="s">
        <v>1259</v>
      </c>
      <c r="C165" s="4" t="s">
        <v>1260</v>
      </c>
      <c r="D165" s="4" t="s">
        <v>1261</v>
      </c>
      <c r="E165" s="4" t="s">
        <v>1262</v>
      </c>
      <c r="F165" s="4" t="s">
        <v>1263</v>
      </c>
      <c r="G165" s="4" t="s">
        <v>190</v>
      </c>
      <c r="H165" s="4" t="s">
        <v>161</v>
      </c>
      <c r="I165" s="4" t="s">
        <v>31</v>
      </c>
      <c r="J165" s="4" t="s">
        <v>503</v>
      </c>
      <c r="K165" s="4" t="s">
        <v>122</v>
      </c>
      <c r="L165" s="4">
        <v>1</v>
      </c>
      <c r="M165" s="5">
        <v>59.99</v>
      </c>
      <c r="N165" s="4" t="s">
        <v>49</v>
      </c>
      <c r="O165" s="5">
        <v>9</v>
      </c>
      <c r="P165" s="5">
        <v>4.99</v>
      </c>
      <c r="Q165" s="5">
        <v>4.33</v>
      </c>
      <c r="R165" s="5">
        <v>60.31</v>
      </c>
      <c r="S165" s="4" t="s">
        <v>64</v>
      </c>
      <c r="T165" s="4" t="s">
        <v>99</v>
      </c>
      <c r="U165" s="4" t="s">
        <v>66</v>
      </c>
      <c r="V165" s="4" t="s">
        <v>1065</v>
      </c>
      <c r="W165" s="5">
        <v>0</v>
      </c>
      <c r="X165" t="str">
        <f t="shared" si="6"/>
        <v>November</v>
      </c>
      <c r="Y165" t="str">
        <f t="shared" si="7"/>
        <v>Q4</v>
      </c>
      <c r="Z165" s="7">
        <f t="shared" si="8"/>
        <v>50.99</v>
      </c>
    </row>
    <row r="166" spans="1:26" x14ac:dyDescent="0.3">
      <c r="A166" s="2" t="s">
        <v>1264</v>
      </c>
      <c r="B166" s="8" t="s">
        <v>397</v>
      </c>
      <c r="C166" s="2" t="s">
        <v>1265</v>
      </c>
      <c r="D166" s="2" t="s">
        <v>1266</v>
      </c>
      <c r="E166" s="2" t="s">
        <v>1267</v>
      </c>
      <c r="F166" s="2" t="s">
        <v>1268</v>
      </c>
      <c r="G166" s="2" t="s">
        <v>323</v>
      </c>
      <c r="H166" s="2" t="s">
        <v>324</v>
      </c>
      <c r="I166" s="2" t="s">
        <v>31</v>
      </c>
      <c r="J166" s="2" t="s">
        <v>1269</v>
      </c>
      <c r="K166" s="2" t="s">
        <v>77</v>
      </c>
      <c r="L166" s="2">
        <v>1</v>
      </c>
      <c r="M166" s="3">
        <v>27.99</v>
      </c>
      <c r="N166" s="2" t="s">
        <v>78</v>
      </c>
      <c r="O166" s="3">
        <v>2.8</v>
      </c>
      <c r="P166" s="3">
        <v>4.99</v>
      </c>
      <c r="Q166" s="3">
        <v>1.51</v>
      </c>
      <c r="R166" s="3">
        <v>31.69</v>
      </c>
      <c r="S166" s="2" t="s">
        <v>35</v>
      </c>
      <c r="T166" s="2" t="s">
        <v>173</v>
      </c>
      <c r="U166" s="2" t="s">
        <v>37</v>
      </c>
      <c r="V166" s="2" t="s">
        <v>114</v>
      </c>
      <c r="W166" s="3">
        <v>31.69</v>
      </c>
      <c r="X166" t="str">
        <f t="shared" si="6"/>
        <v>October</v>
      </c>
      <c r="Y166" t="str">
        <f t="shared" si="7"/>
        <v>Q4</v>
      </c>
      <c r="Z166" s="7">
        <f t="shared" si="8"/>
        <v>25.189999999999998</v>
      </c>
    </row>
    <row r="167" spans="1:26" x14ac:dyDescent="0.3">
      <c r="A167" s="4" t="s">
        <v>1270</v>
      </c>
      <c r="B167" s="9" t="s">
        <v>1271</v>
      </c>
      <c r="C167" s="4" t="s">
        <v>1272</v>
      </c>
      <c r="D167" s="4" t="s">
        <v>1273</v>
      </c>
      <c r="E167" s="4" t="s">
        <v>1274</v>
      </c>
      <c r="F167" s="4" t="s">
        <v>1275</v>
      </c>
      <c r="G167" s="4" t="s">
        <v>640</v>
      </c>
      <c r="H167" s="4" t="s">
        <v>161</v>
      </c>
      <c r="I167" s="4" t="s">
        <v>31</v>
      </c>
      <c r="J167" s="4" t="s">
        <v>76</v>
      </c>
      <c r="K167" s="4" t="s">
        <v>77</v>
      </c>
      <c r="L167" s="4">
        <v>2</v>
      </c>
      <c r="M167" s="5">
        <v>102.98</v>
      </c>
      <c r="N167" s="4" t="s">
        <v>152</v>
      </c>
      <c r="O167" s="5">
        <v>5.15</v>
      </c>
      <c r="P167" s="5">
        <v>0</v>
      </c>
      <c r="Q167" s="5">
        <v>9.7799999999999994</v>
      </c>
      <c r="R167" s="5">
        <v>107.61</v>
      </c>
      <c r="S167" s="4" t="s">
        <v>64</v>
      </c>
      <c r="T167" s="4" t="s">
        <v>99</v>
      </c>
      <c r="U167" s="4" t="s">
        <v>37</v>
      </c>
      <c r="V167" s="4" t="s">
        <v>166</v>
      </c>
      <c r="W167" s="5">
        <v>107.61</v>
      </c>
      <c r="X167" t="str">
        <f t="shared" si="6"/>
        <v>November</v>
      </c>
      <c r="Y167" t="str">
        <f t="shared" si="7"/>
        <v>Q4</v>
      </c>
      <c r="Z167" s="7">
        <f t="shared" si="8"/>
        <v>97.83</v>
      </c>
    </row>
    <row r="168" spans="1:26" x14ac:dyDescent="0.3">
      <c r="A168" s="2" t="s">
        <v>1276</v>
      </c>
      <c r="B168" s="8" t="s">
        <v>696</v>
      </c>
      <c r="C168" s="2" t="s">
        <v>1277</v>
      </c>
      <c r="D168" s="2" t="s">
        <v>1278</v>
      </c>
      <c r="E168" s="2" t="s">
        <v>1279</v>
      </c>
      <c r="F168" s="2" t="s">
        <v>1280</v>
      </c>
      <c r="G168" s="2" t="s">
        <v>323</v>
      </c>
      <c r="H168" s="2" t="s">
        <v>324</v>
      </c>
      <c r="I168" s="2" t="s">
        <v>31</v>
      </c>
      <c r="J168" s="2" t="s">
        <v>267</v>
      </c>
      <c r="K168" s="2" t="s">
        <v>62</v>
      </c>
      <c r="L168" s="2">
        <v>1</v>
      </c>
      <c r="M168" s="3">
        <v>54.99</v>
      </c>
      <c r="N168" s="2" t="s">
        <v>49</v>
      </c>
      <c r="O168" s="3">
        <v>8.25</v>
      </c>
      <c r="P168" s="3">
        <v>5.99</v>
      </c>
      <c r="Q168" s="3">
        <v>3.74</v>
      </c>
      <c r="R168" s="3">
        <v>56.47</v>
      </c>
      <c r="S168" s="2" t="s">
        <v>35</v>
      </c>
      <c r="T168" s="2" t="s">
        <v>65</v>
      </c>
      <c r="U168" s="2" t="s">
        <v>51</v>
      </c>
      <c r="V168" s="2" t="s">
        <v>701</v>
      </c>
      <c r="W168" s="3">
        <v>0</v>
      </c>
      <c r="X168" t="str">
        <f t="shared" si="6"/>
        <v>February</v>
      </c>
      <c r="Y168" t="str">
        <f t="shared" si="7"/>
        <v>Q1</v>
      </c>
      <c r="Z168" s="7">
        <f t="shared" si="8"/>
        <v>46.74</v>
      </c>
    </row>
    <row r="169" spans="1:26" x14ac:dyDescent="0.3">
      <c r="A169" s="4" t="s">
        <v>1281</v>
      </c>
      <c r="B169" s="9" t="s">
        <v>1282</v>
      </c>
      <c r="C169" s="4" t="s">
        <v>1283</v>
      </c>
      <c r="D169" s="4" t="s">
        <v>1284</v>
      </c>
      <c r="E169" s="4" t="s">
        <v>1285</v>
      </c>
      <c r="F169" s="4" t="s">
        <v>1286</v>
      </c>
      <c r="G169" s="4" t="s">
        <v>282</v>
      </c>
      <c r="H169" s="4" t="s">
        <v>88</v>
      </c>
      <c r="I169" s="4" t="s">
        <v>31</v>
      </c>
      <c r="J169" s="4" t="s">
        <v>1287</v>
      </c>
      <c r="K169" s="4" t="s">
        <v>209</v>
      </c>
      <c r="L169" s="4">
        <v>2</v>
      </c>
      <c r="M169" s="5">
        <v>94.98</v>
      </c>
      <c r="N169" s="4" t="s">
        <v>78</v>
      </c>
      <c r="O169" s="5">
        <v>9.5</v>
      </c>
      <c r="P169" s="5">
        <v>0</v>
      </c>
      <c r="Q169" s="5">
        <v>6.84</v>
      </c>
      <c r="R169" s="5">
        <v>92.32</v>
      </c>
      <c r="S169" s="4" t="s">
        <v>35</v>
      </c>
      <c r="T169" s="4" t="s">
        <v>36</v>
      </c>
      <c r="U169" s="4" t="s">
        <v>66</v>
      </c>
      <c r="V169" s="4" t="s">
        <v>564</v>
      </c>
      <c r="W169" s="5">
        <v>0</v>
      </c>
      <c r="X169" t="str">
        <f t="shared" si="6"/>
        <v>November</v>
      </c>
      <c r="Y169" t="str">
        <f t="shared" si="7"/>
        <v>Q4</v>
      </c>
      <c r="Z169" s="7">
        <f t="shared" si="8"/>
        <v>85.48</v>
      </c>
    </row>
    <row r="170" spans="1:26" x14ac:dyDescent="0.3">
      <c r="A170" s="2" t="s">
        <v>1288</v>
      </c>
      <c r="B170" s="8" t="s">
        <v>358</v>
      </c>
      <c r="C170" s="2" t="s">
        <v>1289</v>
      </c>
      <c r="D170" s="2" t="s">
        <v>1290</v>
      </c>
      <c r="E170" s="2" t="s">
        <v>1291</v>
      </c>
      <c r="F170" s="2" t="s">
        <v>1292</v>
      </c>
      <c r="G170" s="2" t="s">
        <v>45</v>
      </c>
      <c r="H170" s="2" t="s">
        <v>46</v>
      </c>
      <c r="I170" s="2" t="s">
        <v>31</v>
      </c>
      <c r="J170" s="2" t="s">
        <v>1293</v>
      </c>
      <c r="K170" s="2" t="s">
        <v>33</v>
      </c>
      <c r="L170" s="2">
        <v>3</v>
      </c>
      <c r="M170" s="3">
        <v>156.96</v>
      </c>
      <c r="N170" s="2" t="s">
        <v>49</v>
      </c>
      <c r="O170" s="3">
        <v>23.54</v>
      </c>
      <c r="P170" s="3">
        <v>0</v>
      </c>
      <c r="Q170" s="3">
        <v>8.01</v>
      </c>
      <c r="R170" s="3">
        <v>141.43</v>
      </c>
      <c r="S170" s="2" t="s">
        <v>35</v>
      </c>
      <c r="T170" s="2" t="s">
        <v>99</v>
      </c>
      <c r="U170" s="2" t="s">
        <v>66</v>
      </c>
      <c r="V170" s="2" t="s">
        <v>1294</v>
      </c>
      <c r="W170" s="3">
        <v>0</v>
      </c>
      <c r="X170" t="str">
        <f t="shared" si="6"/>
        <v>October</v>
      </c>
      <c r="Y170" t="str">
        <f t="shared" si="7"/>
        <v>Q4</v>
      </c>
      <c r="Z170" s="7">
        <f t="shared" si="8"/>
        <v>133.42000000000002</v>
      </c>
    </row>
    <row r="171" spans="1:26" x14ac:dyDescent="0.3">
      <c r="A171" s="4" t="s">
        <v>1295</v>
      </c>
      <c r="B171" s="9" t="s">
        <v>1296</v>
      </c>
      <c r="C171" s="4" t="s">
        <v>1297</v>
      </c>
      <c r="D171" s="4" t="s">
        <v>1298</v>
      </c>
      <c r="E171" s="4" t="s">
        <v>1299</v>
      </c>
      <c r="F171" s="4" t="s">
        <v>1300</v>
      </c>
      <c r="G171" s="4" t="s">
        <v>1183</v>
      </c>
      <c r="H171" s="4" t="s">
        <v>88</v>
      </c>
      <c r="I171" s="4" t="s">
        <v>31</v>
      </c>
      <c r="J171" s="4" t="s">
        <v>1301</v>
      </c>
      <c r="K171" s="4" t="s">
        <v>209</v>
      </c>
      <c r="L171" s="4">
        <v>5</v>
      </c>
      <c r="M171" s="5">
        <v>617.91</v>
      </c>
      <c r="N171" s="4" t="s">
        <v>34</v>
      </c>
      <c r="O171" s="5">
        <v>0</v>
      </c>
      <c r="P171" s="5">
        <v>0</v>
      </c>
      <c r="Q171" s="5">
        <v>55.61</v>
      </c>
      <c r="R171" s="5">
        <v>673.52</v>
      </c>
      <c r="S171" s="4" t="s">
        <v>35</v>
      </c>
      <c r="T171" s="4" t="s">
        <v>99</v>
      </c>
      <c r="U171" s="4" t="s">
        <v>317</v>
      </c>
      <c r="V171" s="4"/>
      <c r="W171" s="5">
        <v>0</v>
      </c>
      <c r="X171" t="str">
        <f t="shared" si="6"/>
        <v>January</v>
      </c>
      <c r="Y171" t="str">
        <f t="shared" si="7"/>
        <v>Q1</v>
      </c>
      <c r="Z171" s="7">
        <f t="shared" si="8"/>
        <v>617.91</v>
      </c>
    </row>
    <row r="172" spans="1:26" x14ac:dyDescent="0.3">
      <c r="A172" s="2" t="s">
        <v>1302</v>
      </c>
      <c r="B172" s="8" t="s">
        <v>447</v>
      </c>
      <c r="C172" s="2" t="s">
        <v>1303</v>
      </c>
      <c r="D172" s="2" t="s">
        <v>1304</v>
      </c>
      <c r="E172" s="2" t="s">
        <v>1305</v>
      </c>
      <c r="F172" s="2" t="s">
        <v>1306</v>
      </c>
      <c r="G172" s="2" t="s">
        <v>160</v>
      </c>
      <c r="H172" s="2" t="s">
        <v>161</v>
      </c>
      <c r="I172" s="2" t="s">
        <v>31</v>
      </c>
      <c r="J172" s="2" t="s">
        <v>1307</v>
      </c>
      <c r="K172" s="2" t="s">
        <v>364</v>
      </c>
      <c r="L172" s="2">
        <v>4</v>
      </c>
      <c r="M172" s="3">
        <v>236.94</v>
      </c>
      <c r="N172" s="2" t="s">
        <v>34</v>
      </c>
      <c r="O172" s="3">
        <v>0</v>
      </c>
      <c r="P172" s="3">
        <v>0</v>
      </c>
      <c r="Q172" s="3">
        <v>21.32</v>
      </c>
      <c r="R172" s="3">
        <v>258.26</v>
      </c>
      <c r="S172" s="2" t="s">
        <v>35</v>
      </c>
      <c r="T172" s="2" t="s">
        <v>99</v>
      </c>
      <c r="U172" s="2" t="s">
        <v>100</v>
      </c>
      <c r="V172" s="2"/>
      <c r="W172" s="3">
        <v>0</v>
      </c>
      <c r="X172" t="str">
        <f t="shared" si="6"/>
        <v>May</v>
      </c>
      <c r="Y172" t="str">
        <f t="shared" si="7"/>
        <v>Q2</v>
      </c>
      <c r="Z172" s="7">
        <f t="shared" si="8"/>
        <v>236.94</v>
      </c>
    </row>
    <row r="173" spans="1:26" x14ac:dyDescent="0.3">
      <c r="A173" s="4" t="s">
        <v>1308</v>
      </c>
      <c r="B173" s="9" t="s">
        <v>229</v>
      </c>
      <c r="C173" s="4" t="s">
        <v>1309</v>
      </c>
      <c r="D173" s="4" t="s">
        <v>1310</v>
      </c>
      <c r="E173" s="4" t="s">
        <v>1311</v>
      </c>
      <c r="F173" s="4" t="s">
        <v>1312</v>
      </c>
      <c r="G173" s="4" t="s">
        <v>394</v>
      </c>
      <c r="H173" s="4" t="s">
        <v>395</v>
      </c>
      <c r="I173" s="4" t="s">
        <v>31</v>
      </c>
      <c r="J173" s="4" t="s">
        <v>1313</v>
      </c>
      <c r="K173" s="4" t="s">
        <v>62</v>
      </c>
      <c r="L173" s="4">
        <v>2</v>
      </c>
      <c r="M173" s="5">
        <v>134.97</v>
      </c>
      <c r="N173" s="4" t="s">
        <v>78</v>
      </c>
      <c r="O173" s="5">
        <v>13.5</v>
      </c>
      <c r="P173" s="5">
        <v>0</v>
      </c>
      <c r="Q173" s="5">
        <v>12.15</v>
      </c>
      <c r="R173" s="5">
        <v>133.62</v>
      </c>
      <c r="S173" s="4" t="s">
        <v>64</v>
      </c>
      <c r="T173" s="4" t="s">
        <v>99</v>
      </c>
      <c r="U173" s="4" t="s">
        <v>51</v>
      </c>
      <c r="V173" s="4" t="s">
        <v>595</v>
      </c>
      <c r="W173" s="5">
        <v>0</v>
      </c>
      <c r="X173" t="str">
        <f t="shared" si="6"/>
        <v>April</v>
      </c>
      <c r="Y173" t="str">
        <f t="shared" si="7"/>
        <v>Q2</v>
      </c>
      <c r="Z173" s="7">
        <f t="shared" si="8"/>
        <v>121.47</v>
      </c>
    </row>
    <row r="174" spans="1:26" x14ac:dyDescent="0.3">
      <c r="A174" s="2" t="s">
        <v>1314</v>
      </c>
      <c r="B174" s="8" t="s">
        <v>1315</v>
      </c>
      <c r="C174" s="2" t="s">
        <v>1316</v>
      </c>
      <c r="D174" s="2" t="s">
        <v>1317</v>
      </c>
      <c r="E174" s="2" t="s">
        <v>1318</v>
      </c>
      <c r="F174" s="2" t="s">
        <v>1319</v>
      </c>
      <c r="G174" s="2" t="s">
        <v>640</v>
      </c>
      <c r="H174" s="2" t="s">
        <v>161</v>
      </c>
      <c r="I174" s="2" t="s">
        <v>31</v>
      </c>
      <c r="J174" s="2" t="s">
        <v>1320</v>
      </c>
      <c r="K174" s="2" t="s">
        <v>364</v>
      </c>
      <c r="L174" s="2">
        <v>1</v>
      </c>
      <c r="M174" s="3">
        <v>89.98</v>
      </c>
      <c r="N174" s="2" t="s">
        <v>63</v>
      </c>
      <c r="O174" s="3">
        <v>22.5</v>
      </c>
      <c r="P174" s="3">
        <v>0</v>
      </c>
      <c r="Q174" s="3">
        <v>6.75</v>
      </c>
      <c r="R174" s="3">
        <v>74.23</v>
      </c>
      <c r="S174" s="2" t="s">
        <v>64</v>
      </c>
      <c r="T174" s="2" t="s">
        <v>99</v>
      </c>
      <c r="U174" s="2" t="s">
        <v>66</v>
      </c>
      <c r="V174" s="2" t="s">
        <v>1321</v>
      </c>
      <c r="W174" s="3">
        <v>0</v>
      </c>
      <c r="X174" t="str">
        <f t="shared" si="6"/>
        <v>March</v>
      </c>
      <c r="Y174" t="str">
        <f t="shared" si="7"/>
        <v>Q1</v>
      </c>
      <c r="Z174" s="7">
        <f t="shared" si="8"/>
        <v>67.48</v>
      </c>
    </row>
    <row r="175" spans="1:26" x14ac:dyDescent="0.3">
      <c r="A175" s="4" t="s">
        <v>1322</v>
      </c>
      <c r="B175" s="9" t="s">
        <v>1323</v>
      </c>
      <c r="C175" s="4" t="s">
        <v>432</v>
      </c>
      <c r="D175" s="4" t="s">
        <v>1324</v>
      </c>
      <c r="E175" s="4" t="s">
        <v>1325</v>
      </c>
      <c r="F175" s="4" t="s">
        <v>1326</v>
      </c>
      <c r="G175" s="4" t="s">
        <v>1183</v>
      </c>
      <c r="H175" s="4" t="s">
        <v>88</v>
      </c>
      <c r="I175" s="4" t="s">
        <v>31</v>
      </c>
      <c r="J175" s="4" t="s">
        <v>1327</v>
      </c>
      <c r="K175" s="4" t="s">
        <v>209</v>
      </c>
      <c r="L175" s="4">
        <v>4</v>
      </c>
      <c r="M175" s="5">
        <v>259.94</v>
      </c>
      <c r="N175" s="4" t="s">
        <v>163</v>
      </c>
      <c r="O175" s="5">
        <v>51.99</v>
      </c>
      <c r="P175" s="5">
        <v>0</v>
      </c>
      <c r="Q175" s="5">
        <v>14.56</v>
      </c>
      <c r="R175" s="5">
        <v>222.51</v>
      </c>
      <c r="S175" s="4" t="s">
        <v>35</v>
      </c>
      <c r="T175" s="4" t="s">
        <v>183</v>
      </c>
      <c r="U175" s="4" t="s">
        <v>51</v>
      </c>
      <c r="V175" s="4" t="s">
        <v>656</v>
      </c>
      <c r="W175" s="5">
        <v>0</v>
      </c>
      <c r="X175" t="str">
        <f t="shared" si="6"/>
        <v>September</v>
      </c>
      <c r="Y175" t="str">
        <f t="shared" si="7"/>
        <v>Q3</v>
      </c>
      <c r="Z175" s="7">
        <f t="shared" si="8"/>
        <v>207.95</v>
      </c>
    </row>
    <row r="176" spans="1:26" x14ac:dyDescent="0.3">
      <c r="A176" s="2" t="s">
        <v>1328</v>
      </c>
      <c r="B176" s="8" t="s">
        <v>1329</v>
      </c>
      <c r="C176" s="2" t="s">
        <v>1330</v>
      </c>
      <c r="D176" s="2" t="s">
        <v>1331</v>
      </c>
      <c r="E176" s="2" t="s">
        <v>1332</v>
      </c>
      <c r="F176" s="2" t="s">
        <v>1333</v>
      </c>
      <c r="G176" s="2" t="s">
        <v>119</v>
      </c>
      <c r="H176" s="2" t="s">
        <v>120</v>
      </c>
      <c r="I176" s="2" t="s">
        <v>31</v>
      </c>
      <c r="J176" s="2" t="s">
        <v>577</v>
      </c>
      <c r="K176" s="2" t="s">
        <v>364</v>
      </c>
      <c r="L176" s="2">
        <v>1</v>
      </c>
      <c r="M176" s="3">
        <v>19.989999999999998</v>
      </c>
      <c r="N176" s="2" t="s">
        <v>34</v>
      </c>
      <c r="O176" s="3">
        <v>0</v>
      </c>
      <c r="P176" s="3">
        <v>5.99</v>
      </c>
      <c r="Q176" s="3">
        <v>1.6</v>
      </c>
      <c r="R176" s="3">
        <v>27.58</v>
      </c>
      <c r="S176" s="2" t="s">
        <v>35</v>
      </c>
      <c r="T176" s="2" t="s">
        <v>65</v>
      </c>
      <c r="U176" s="2" t="s">
        <v>66</v>
      </c>
      <c r="V176" s="2" t="s">
        <v>1334</v>
      </c>
      <c r="W176" s="3">
        <v>0</v>
      </c>
      <c r="X176" t="str">
        <f t="shared" si="6"/>
        <v>January</v>
      </c>
      <c r="Y176" t="str">
        <f t="shared" si="7"/>
        <v>Q1</v>
      </c>
      <c r="Z176" s="7">
        <f t="shared" si="8"/>
        <v>19.989999999999998</v>
      </c>
    </row>
    <row r="177" spans="1:26" x14ac:dyDescent="0.3">
      <c r="A177" s="4" t="s">
        <v>1335</v>
      </c>
      <c r="B177" s="9" t="s">
        <v>633</v>
      </c>
      <c r="C177" s="4" t="s">
        <v>1336</v>
      </c>
      <c r="D177" s="4" t="s">
        <v>1337</v>
      </c>
      <c r="E177" s="4" t="s">
        <v>1338</v>
      </c>
      <c r="F177" s="4" t="s">
        <v>1339</v>
      </c>
      <c r="G177" s="4" t="s">
        <v>119</v>
      </c>
      <c r="H177" s="4" t="s">
        <v>120</v>
      </c>
      <c r="I177" s="4" t="s">
        <v>31</v>
      </c>
      <c r="J177" s="4" t="s">
        <v>1340</v>
      </c>
      <c r="K177" s="4" t="s">
        <v>209</v>
      </c>
      <c r="L177" s="4">
        <v>1</v>
      </c>
      <c r="M177" s="5">
        <v>119.99</v>
      </c>
      <c r="N177" s="4" t="s">
        <v>63</v>
      </c>
      <c r="O177" s="5">
        <v>30</v>
      </c>
      <c r="P177" s="5">
        <v>0</v>
      </c>
      <c r="Q177" s="5">
        <v>6.3</v>
      </c>
      <c r="R177" s="5">
        <v>96.29</v>
      </c>
      <c r="S177" s="4" t="s">
        <v>64</v>
      </c>
      <c r="T177" s="4" t="s">
        <v>183</v>
      </c>
      <c r="U177" s="4" t="s">
        <v>66</v>
      </c>
      <c r="V177" s="4" t="s">
        <v>1341</v>
      </c>
      <c r="W177" s="5">
        <v>0</v>
      </c>
      <c r="X177" t="str">
        <f t="shared" si="6"/>
        <v>February</v>
      </c>
      <c r="Y177" t="str">
        <f t="shared" si="7"/>
        <v>Q1</v>
      </c>
      <c r="Z177" s="7">
        <f t="shared" si="8"/>
        <v>89.99</v>
      </c>
    </row>
    <row r="178" spans="1:26" x14ac:dyDescent="0.3">
      <c r="A178" s="2" t="s">
        <v>1342</v>
      </c>
      <c r="B178" s="8" t="s">
        <v>1321</v>
      </c>
      <c r="C178" s="2" t="s">
        <v>1343</v>
      </c>
      <c r="D178" s="2" t="s">
        <v>1344</v>
      </c>
      <c r="E178" s="2" t="s">
        <v>1345</v>
      </c>
      <c r="F178" s="2" t="s">
        <v>1346</v>
      </c>
      <c r="G178" s="2" t="s">
        <v>394</v>
      </c>
      <c r="H178" s="2" t="s">
        <v>395</v>
      </c>
      <c r="I178" s="2" t="s">
        <v>31</v>
      </c>
      <c r="J178" s="2" t="s">
        <v>217</v>
      </c>
      <c r="K178" s="2" t="s">
        <v>110</v>
      </c>
      <c r="L178" s="2">
        <v>1</v>
      </c>
      <c r="M178" s="3">
        <v>22.99</v>
      </c>
      <c r="N178" s="2" t="s">
        <v>78</v>
      </c>
      <c r="O178" s="3">
        <v>2.2999999999999998</v>
      </c>
      <c r="P178" s="3">
        <v>4.99</v>
      </c>
      <c r="Q178" s="3">
        <v>1.76</v>
      </c>
      <c r="R178" s="3">
        <v>27.44</v>
      </c>
      <c r="S178" s="2" t="s">
        <v>123</v>
      </c>
      <c r="T178" s="2" t="s">
        <v>144</v>
      </c>
      <c r="U178" s="2" t="s">
        <v>66</v>
      </c>
      <c r="V178" s="2" t="s">
        <v>1347</v>
      </c>
      <c r="W178" s="3">
        <v>0</v>
      </c>
      <c r="X178" t="str">
        <f t="shared" si="6"/>
        <v>March</v>
      </c>
      <c r="Y178" t="str">
        <f t="shared" si="7"/>
        <v>Q1</v>
      </c>
      <c r="Z178" s="7">
        <f t="shared" si="8"/>
        <v>20.689999999999998</v>
      </c>
    </row>
    <row r="179" spans="1:26" x14ac:dyDescent="0.3">
      <c r="A179" s="4" t="s">
        <v>1348</v>
      </c>
      <c r="B179" s="9" t="s">
        <v>635</v>
      </c>
      <c r="C179" s="4" t="s">
        <v>1349</v>
      </c>
      <c r="D179" s="4" t="s">
        <v>1350</v>
      </c>
      <c r="E179" s="4" t="s">
        <v>1351</v>
      </c>
      <c r="F179" s="4" t="s">
        <v>1352</v>
      </c>
      <c r="G179" s="4" t="s">
        <v>224</v>
      </c>
      <c r="H179" s="4" t="s">
        <v>225</v>
      </c>
      <c r="I179" s="4" t="s">
        <v>31</v>
      </c>
      <c r="J179" s="4" t="s">
        <v>1353</v>
      </c>
      <c r="K179" s="4" t="s">
        <v>48</v>
      </c>
      <c r="L179" s="4">
        <v>2</v>
      </c>
      <c r="M179" s="5">
        <v>132.97</v>
      </c>
      <c r="N179" s="4" t="s">
        <v>34</v>
      </c>
      <c r="O179" s="5">
        <v>0</v>
      </c>
      <c r="P179" s="5">
        <v>0</v>
      </c>
      <c r="Q179" s="5">
        <v>9.31</v>
      </c>
      <c r="R179" s="5">
        <v>142.28</v>
      </c>
      <c r="S179" s="4" t="s">
        <v>35</v>
      </c>
      <c r="T179" s="4" t="s">
        <v>99</v>
      </c>
      <c r="U179" s="4" t="s">
        <v>51</v>
      </c>
      <c r="V179" s="4" t="s">
        <v>542</v>
      </c>
      <c r="W179" s="5">
        <v>0</v>
      </c>
      <c r="X179" t="str">
        <f t="shared" si="6"/>
        <v>March</v>
      </c>
      <c r="Y179" t="str">
        <f t="shared" si="7"/>
        <v>Q1</v>
      </c>
      <c r="Z179" s="7">
        <f t="shared" si="8"/>
        <v>132.97</v>
      </c>
    </row>
    <row r="180" spans="1:26" x14ac:dyDescent="0.3">
      <c r="A180" s="2" t="s">
        <v>1354</v>
      </c>
      <c r="B180" s="8" t="s">
        <v>527</v>
      </c>
      <c r="C180" s="2" t="s">
        <v>1355</v>
      </c>
      <c r="D180" s="2" t="s">
        <v>1356</v>
      </c>
      <c r="E180" s="2" t="s">
        <v>1357</v>
      </c>
      <c r="F180" s="2" t="s">
        <v>1358</v>
      </c>
      <c r="G180" s="2" t="s">
        <v>140</v>
      </c>
      <c r="H180" s="2" t="s">
        <v>141</v>
      </c>
      <c r="I180" s="2" t="s">
        <v>31</v>
      </c>
      <c r="J180" s="2" t="s">
        <v>1359</v>
      </c>
      <c r="K180" s="2" t="s">
        <v>143</v>
      </c>
      <c r="L180" s="2">
        <v>4</v>
      </c>
      <c r="M180" s="3">
        <v>294.95999999999998</v>
      </c>
      <c r="N180" s="2" t="s">
        <v>63</v>
      </c>
      <c r="O180" s="3">
        <v>73.739999999999995</v>
      </c>
      <c r="P180" s="3">
        <v>0</v>
      </c>
      <c r="Q180" s="3">
        <v>18.8</v>
      </c>
      <c r="R180" s="3">
        <v>240.02</v>
      </c>
      <c r="S180" s="2" t="s">
        <v>35</v>
      </c>
      <c r="T180" s="2" t="s">
        <v>65</v>
      </c>
      <c r="U180" s="2" t="s">
        <v>66</v>
      </c>
      <c r="V180" s="2" t="s">
        <v>570</v>
      </c>
      <c r="W180" s="3">
        <v>0</v>
      </c>
      <c r="X180" t="str">
        <f t="shared" si="6"/>
        <v>November</v>
      </c>
      <c r="Y180" t="str">
        <f t="shared" si="7"/>
        <v>Q4</v>
      </c>
      <c r="Z180" s="7">
        <f t="shared" si="8"/>
        <v>221.21999999999997</v>
      </c>
    </row>
    <row r="181" spans="1:26" x14ac:dyDescent="0.3">
      <c r="A181" s="4" t="s">
        <v>1360</v>
      </c>
      <c r="B181" s="9" t="s">
        <v>358</v>
      </c>
      <c r="C181" s="4" t="s">
        <v>1361</v>
      </c>
      <c r="D181" s="4" t="s">
        <v>1362</v>
      </c>
      <c r="E181" s="4" t="s">
        <v>1363</v>
      </c>
      <c r="F181" s="4" t="s">
        <v>1364</v>
      </c>
      <c r="G181" s="4" t="s">
        <v>251</v>
      </c>
      <c r="H181" s="4" t="s">
        <v>252</v>
      </c>
      <c r="I181" s="4" t="s">
        <v>31</v>
      </c>
      <c r="J181" s="4" t="s">
        <v>142</v>
      </c>
      <c r="K181" s="4" t="s">
        <v>143</v>
      </c>
      <c r="L181" s="4">
        <v>1</v>
      </c>
      <c r="M181" s="5">
        <v>159.97999999999999</v>
      </c>
      <c r="N181" s="4" t="s">
        <v>34</v>
      </c>
      <c r="O181" s="5">
        <v>0</v>
      </c>
      <c r="P181" s="5">
        <v>0</v>
      </c>
      <c r="Q181" s="5">
        <v>12.8</v>
      </c>
      <c r="R181" s="5">
        <v>172.78</v>
      </c>
      <c r="S181" s="4" t="s">
        <v>64</v>
      </c>
      <c r="T181" s="4" t="s">
        <v>36</v>
      </c>
      <c r="U181" s="4" t="s">
        <v>66</v>
      </c>
      <c r="V181" s="4" t="s">
        <v>1294</v>
      </c>
      <c r="W181" s="5">
        <v>0</v>
      </c>
      <c r="X181" t="str">
        <f t="shared" si="6"/>
        <v>October</v>
      </c>
      <c r="Y181" t="str">
        <f t="shared" si="7"/>
        <v>Q4</v>
      </c>
      <c r="Z181" s="7">
        <f t="shared" si="8"/>
        <v>159.97999999999999</v>
      </c>
    </row>
    <row r="182" spans="1:26" x14ac:dyDescent="0.3">
      <c r="A182" s="2" t="s">
        <v>1365</v>
      </c>
      <c r="B182" s="8" t="s">
        <v>1315</v>
      </c>
      <c r="C182" s="2" t="s">
        <v>1366</v>
      </c>
      <c r="D182" s="2" t="s">
        <v>1367</v>
      </c>
      <c r="E182" s="2" t="s">
        <v>1368</v>
      </c>
      <c r="F182" s="2" t="s">
        <v>1369</v>
      </c>
      <c r="G182" s="2" t="s">
        <v>242</v>
      </c>
      <c r="H182" s="2" t="s">
        <v>243</v>
      </c>
      <c r="I182" s="2" t="s">
        <v>31</v>
      </c>
      <c r="J182" s="2" t="s">
        <v>1370</v>
      </c>
      <c r="K182" s="2" t="s">
        <v>143</v>
      </c>
      <c r="L182" s="2">
        <v>2</v>
      </c>
      <c r="M182" s="3">
        <v>128.97</v>
      </c>
      <c r="N182" s="2" t="s">
        <v>78</v>
      </c>
      <c r="O182" s="3">
        <v>12.9</v>
      </c>
      <c r="P182" s="3">
        <v>0</v>
      </c>
      <c r="Q182" s="3">
        <v>8.1199999999999992</v>
      </c>
      <c r="R182" s="3">
        <v>124.19</v>
      </c>
      <c r="S182" s="2" t="s">
        <v>64</v>
      </c>
      <c r="T182" s="2" t="s">
        <v>183</v>
      </c>
      <c r="U182" s="2" t="s">
        <v>317</v>
      </c>
      <c r="V182" s="2"/>
      <c r="W182" s="3">
        <v>0</v>
      </c>
      <c r="X182" t="str">
        <f t="shared" si="6"/>
        <v>March</v>
      </c>
      <c r="Y182" t="str">
        <f t="shared" si="7"/>
        <v>Q1</v>
      </c>
      <c r="Z182" s="7">
        <f t="shared" si="8"/>
        <v>116.07</v>
      </c>
    </row>
    <row r="183" spans="1:26" x14ac:dyDescent="0.3">
      <c r="A183" s="4" t="s">
        <v>1371</v>
      </c>
      <c r="B183" s="9" t="s">
        <v>482</v>
      </c>
      <c r="C183" s="4" t="s">
        <v>1372</v>
      </c>
      <c r="D183" s="4" t="s">
        <v>1165</v>
      </c>
      <c r="E183" s="4" t="s">
        <v>1373</v>
      </c>
      <c r="F183" s="4" t="s">
        <v>1374</v>
      </c>
      <c r="G183" s="4" t="s">
        <v>29</v>
      </c>
      <c r="H183" s="4" t="s">
        <v>30</v>
      </c>
      <c r="I183" s="4" t="s">
        <v>31</v>
      </c>
      <c r="J183" s="4" t="s">
        <v>1375</v>
      </c>
      <c r="K183" s="4" t="s">
        <v>48</v>
      </c>
      <c r="L183" s="4">
        <v>3</v>
      </c>
      <c r="M183" s="5">
        <v>174.96</v>
      </c>
      <c r="N183" s="4" t="s">
        <v>152</v>
      </c>
      <c r="O183" s="5">
        <v>8.75</v>
      </c>
      <c r="P183" s="5">
        <v>0</v>
      </c>
      <c r="Q183" s="5">
        <v>11.63</v>
      </c>
      <c r="R183" s="5">
        <v>177.84</v>
      </c>
      <c r="S183" s="4" t="s">
        <v>64</v>
      </c>
      <c r="T183" s="4" t="s">
        <v>99</v>
      </c>
      <c r="U183" s="4" t="s">
        <v>100</v>
      </c>
      <c r="V183" s="4"/>
      <c r="W183" s="5">
        <v>0</v>
      </c>
      <c r="X183" t="str">
        <f t="shared" si="6"/>
        <v>June</v>
      </c>
      <c r="Y183" t="str">
        <f t="shared" si="7"/>
        <v>Q2</v>
      </c>
      <c r="Z183" s="7">
        <f t="shared" si="8"/>
        <v>166.21</v>
      </c>
    </row>
    <row r="184" spans="1:26" x14ac:dyDescent="0.3">
      <c r="A184" s="2" t="s">
        <v>1376</v>
      </c>
      <c r="B184" s="8" t="s">
        <v>1377</v>
      </c>
      <c r="C184" s="2" t="s">
        <v>1378</v>
      </c>
      <c r="D184" s="2" t="s">
        <v>1379</v>
      </c>
      <c r="E184" s="2" t="s">
        <v>1380</v>
      </c>
      <c r="F184" s="2" t="s">
        <v>1381</v>
      </c>
      <c r="G184" s="2" t="s">
        <v>131</v>
      </c>
      <c r="H184" s="2" t="s">
        <v>88</v>
      </c>
      <c r="I184" s="2" t="s">
        <v>31</v>
      </c>
      <c r="J184" s="2" t="s">
        <v>1382</v>
      </c>
      <c r="K184" s="2" t="s">
        <v>110</v>
      </c>
      <c r="L184" s="2">
        <v>2</v>
      </c>
      <c r="M184" s="3">
        <v>101.97</v>
      </c>
      <c r="N184" s="2" t="s">
        <v>78</v>
      </c>
      <c r="O184" s="3">
        <v>10.199999999999999</v>
      </c>
      <c r="P184" s="3">
        <v>0</v>
      </c>
      <c r="Q184" s="3">
        <v>6.42</v>
      </c>
      <c r="R184" s="3">
        <v>98.19</v>
      </c>
      <c r="S184" s="2" t="s">
        <v>35</v>
      </c>
      <c r="T184" s="2" t="s">
        <v>99</v>
      </c>
      <c r="U184" s="2" t="s">
        <v>66</v>
      </c>
      <c r="V184" s="2" t="s">
        <v>617</v>
      </c>
      <c r="W184" s="3">
        <v>0</v>
      </c>
      <c r="X184" t="str">
        <f t="shared" si="6"/>
        <v>November</v>
      </c>
      <c r="Y184" t="str">
        <f t="shared" si="7"/>
        <v>Q4</v>
      </c>
      <c r="Z184" s="7">
        <f t="shared" si="8"/>
        <v>91.77</v>
      </c>
    </row>
    <row r="185" spans="1:26" x14ac:dyDescent="0.3">
      <c r="A185" s="4" t="s">
        <v>1383</v>
      </c>
      <c r="B185" s="9" t="s">
        <v>585</v>
      </c>
      <c r="C185" s="4" t="s">
        <v>1384</v>
      </c>
      <c r="D185" s="4" t="s">
        <v>1385</v>
      </c>
      <c r="E185" s="4" t="s">
        <v>1386</v>
      </c>
      <c r="F185" s="4" t="s">
        <v>1387</v>
      </c>
      <c r="G185" s="4" t="s">
        <v>29</v>
      </c>
      <c r="H185" s="4" t="s">
        <v>30</v>
      </c>
      <c r="I185" s="4" t="s">
        <v>31</v>
      </c>
      <c r="J185" s="4" t="s">
        <v>1388</v>
      </c>
      <c r="K185" s="4" t="s">
        <v>77</v>
      </c>
      <c r="L185" s="4">
        <v>4</v>
      </c>
      <c r="M185" s="5">
        <v>290.93</v>
      </c>
      <c r="N185" s="4" t="s">
        <v>34</v>
      </c>
      <c r="O185" s="5">
        <v>0</v>
      </c>
      <c r="P185" s="5">
        <v>0</v>
      </c>
      <c r="Q185" s="5">
        <v>20.37</v>
      </c>
      <c r="R185" s="5">
        <v>311.3</v>
      </c>
      <c r="S185" s="4" t="s">
        <v>123</v>
      </c>
      <c r="T185" s="4" t="s">
        <v>183</v>
      </c>
      <c r="U185" s="4" t="s">
        <v>66</v>
      </c>
      <c r="V185" s="4" t="s">
        <v>380</v>
      </c>
      <c r="W185" s="5">
        <v>0</v>
      </c>
      <c r="X185" t="str">
        <f t="shared" si="6"/>
        <v>July</v>
      </c>
      <c r="Y185" t="str">
        <f t="shared" si="7"/>
        <v>Q3</v>
      </c>
      <c r="Z185" s="7">
        <f t="shared" si="8"/>
        <v>290.93</v>
      </c>
    </row>
    <row r="186" spans="1:26" x14ac:dyDescent="0.3">
      <c r="A186" s="2" t="s">
        <v>1389</v>
      </c>
      <c r="B186" s="8" t="s">
        <v>112</v>
      </c>
      <c r="C186" s="2" t="s">
        <v>1390</v>
      </c>
      <c r="D186" s="2" t="s">
        <v>1391</v>
      </c>
      <c r="E186" s="2" t="s">
        <v>1392</v>
      </c>
      <c r="F186" s="2" t="s">
        <v>1393</v>
      </c>
      <c r="G186" s="2" t="s">
        <v>131</v>
      </c>
      <c r="H186" s="2" t="s">
        <v>88</v>
      </c>
      <c r="I186" s="2" t="s">
        <v>31</v>
      </c>
      <c r="J186" s="2" t="s">
        <v>1394</v>
      </c>
      <c r="K186" s="2" t="s">
        <v>62</v>
      </c>
      <c r="L186" s="2">
        <v>2</v>
      </c>
      <c r="M186" s="3">
        <v>119.96</v>
      </c>
      <c r="N186" s="2" t="s">
        <v>163</v>
      </c>
      <c r="O186" s="3">
        <v>23.99</v>
      </c>
      <c r="P186" s="3">
        <v>0</v>
      </c>
      <c r="Q186" s="3">
        <v>9.6</v>
      </c>
      <c r="R186" s="3">
        <v>105.57</v>
      </c>
      <c r="S186" s="2" t="s">
        <v>35</v>
      </c>
      <c r="T186" s="2" t="s">
        <v>50</v>
      </c>
      <c r="U186" s="2" t="s">
        <v>66</v>
      </c>
      <c r="V186" s="2" t="s">
        <v>633</v>
      </c>
      <c r="W186" s="3">
        <v>0</v>
      </c>
      <c r="X186" t="str">
        <f t="shared" si="6"/>
        <v>January</v>
      </c>
      <c r="Y186" t="str">
        <f t="shared" si="7"/>
        <v>Q1</v>
      </c>
      <c r="Z186" s="7">
        <f t="shared" si="8"/>
        <v>95.97</v>
      </c>
    </row>
    <row r="187" spans="1:26" x14ac:dyDescent="0.3">
      <c r="A187" s="4" t="s">
        <v>1395</v>
      </c>
      <c r="B187" s="9" t="s">
        <v>192</v>
      </c>
      <c r="C187" s="4" t="s">
        <v>1396</v>
      </c>
      <c r="D187" s="4" t="s">
        <v>1397</v>
      </c>
      <c r="E187" s="4" t="s">
        <v>1398</v>
      </c>
      <c r="F187" s="4" t="s">
        <v>1399</v>
      </c>
      <c r="G187" s="4" t="s">
        <v>1183</v>
      </c>
      <c r="H187" s="4" t="s">
        <v>88</v>
      </c>
      <c r="I187" s="4" t="s">
        <v>31</v>
      </c>
      <c r="J187" s="4" t="s">
        <v>1400</v>
      </c>
      <c r="K187" s="4" t="s">
        <v>33</v>
      </c>
      <c r="L187" s="4">
        <v>2</v>
      </c>
      <c r="M187" s="5">
        <v>90.98</v>
      </c>
      <c r="N187" s="4" t="s">
        <v>34</v>
      </c>
      <c r="O187" s="5">
        <v>0</v>
      </c>
      <c r="P187" s="5">
        <v>0</v>
      </c>
      <c r="Q187" s="5">
        <v>5.46</v>
      </c>
      <c r="R187" s="5">
        <v>96.44</v>
      </c>
      <c r="S187" s="4" t="s">
        <v>35</v>
      </c>
      <c r="T187" s="4" t="s">
        <v>36</v>
      </c>
      <c r="U187" s="4" t="s">
        <v>100</v>
      </c>
      <c r="V187" s="4"/>
      <c r="W187" s="5">
        <v>0</v>
      </c>
      <c r="X187" t="str">
        <f t="shared" si="6"/>
        <v>August</v>
      </c>
      <c r="Y187" t="str">
        <f t="shared" si="7"/>
        <v>Q3</v>
      </c>
      <c r="Z187" s="7">
        <f t="shared" si="8"/>
        <v>90.98</v>
      </c>
    </row>
    <row r="188" spans="1:26" x14ac:dyDescent="0.3">
      <c r="A188" s="2" t="s">
        <v>1401</v>
      </c>
      <c r="B188" s="8" t="s">
        <v>579</v>
      </c>
      <c r="C188" s="2" t="s">
        <v>1402</v>
      </c>
      <c r="D188" s="2" t="s">
        <v>1403</v>
      </c>
      <c r="E188" s="2" t="s">
        <v>1404</v>
      </c>
      <c r="F188" s="2" t="s">
        <v>1405</v>
      </c>
      <c r="G188" s="2" t="s">
        <v>180</v>
      </c>
      <c r="H188" s="2" t="s">
        <v>181</v>
      </c>
      <c r="I188" s="2" t="s">
        <v>31</v>
      </c>
      <c r="J188" s="2" t="s">
        <v>379</v>
      </c>
      <c r="K188" s="2" t="s">
        <v>209</v>
      </c>
      <c r="L188" s="2">
        <v>1</v>
      </c>
      <c r="M188" s="3">
        <v>89.99</v>
      </c>
      <c r="N188" s="2" t="s">
        <v>78</v>
      </c>
      <c r="O188" s="3">
        <v>9</v>
      </c>
      <c r="P188" s="3">
        <v>0</v>
      </c>
      <c r="Q188" s="3">
        <v>4.8600000000000003</v>
      </c>
      <c r="R188" s="3">
        <v>85.85</v>
      </c>
      <c r="S188" s="2" t="s">
        <v>123</v>
      </c>
      <c r="T188" s="2" t="s">
        <v>99</v>
      </c>
      <c r="U188" s="2" t="s">
        <v>317</v>
      </c>
      <c r="V188" s="2"/>
      <c r="W188" s="3">
        <v>0</v>
      </c>
      <c r="X188" t="str">
        <f t="shared" si="6"/>
        <v>July</v>
      </c>
      <c r="Y188" t="str">
        <f t="shared" si="7"/>
        <v>Q3</v>
      </c>
      <c r="Z188" s="7">
        <f t="shared" si="8"/>
        <v>80.989999999999995</v>
      </c>
    </row>
    <row r="189" spans="1:26" x14ac:dyDescent="0.3">
      <c r="A189" s="4" t="s">
        <v>1406</v>
      </c>
      <c r="B189" s="9" t="s">
        <v>478</v>
      </c>
      <c r="C189" s="4" t="s">
        <v>1407</v>
      </c>
      <c r="D189" s="4" t="s">
        <v>1408</v>
      </c>
      <c r="E189" s="4" t="s">
        <v>1409</v>
      </c>
      <c r="F189" s="4" t="s">
        <v>1410</v>
      </c>
      <c r="G189" s="4" t="s">
        <v>171</v>
      </c>
      <c r="H189" s="4" t="s">
        <v>88</v>
      </c>
      <c r="I189" s="4" t="s">
        <v>31</v>
      </c>
      <c r="J189" s="4" t="s">
        <v>678</v>
      </c>
      <c r="K189" s="4" t="s">
        <v>679</v>
      </c>
      <c r="L189" s="4">
        <v>1</v>
      </c>
      <c r="M189" s="5">
        <v>14.99</v>
      </c>
      <c r="N189" s="4" t="s">
        <v>163</v>
      </c>
      <c r="O189" s="5">
        <v>3</v>
      </c>
      <c r="P189" s="5">
        <v>9.99</v>
      </c>
      <c r="Q189" s="5">
        <v>0.96</v>
      </c>
      <c r="R189" s="5">
        <v>22.94</v>
      </c>
      <c r="S189" s="4" t="s">
        <v>35</v>
      </c>
      <c r="T189" s="4" t="s">
        <v>99</v>
      </c>
      <c r="U189" s="4" t="s">
        <v>66</v>
      </c>
      <c r="V189" s="4" t="s">
        <v>519</v>
      </c>
      <c r="W189" s="5">
        <v>0</v>
      </c>
      <c r="X189" t="str">
        <f t="shared" si="6"/>
        <v>May</v>
      </c>
      <c r="Y189" t="str">
        <f t="shared" si="7"/>
        <v>Q2</v>
      </c>
      <c r="Z189" s="7">
        <f t="shared" si="8"/>
        <v>11.99</v>
      </c>
    </row>
    <row r="190" spans="1:26" x14ac:dyDescent="0.3">
      <c r="A190" s="2" t="s">
        <v>1411</v>
      </c>
      <c r="B190" s="8" t="s">
        <v>943</v>
      </c>
      <c r="C190" s="2" t="s">
        <v>1412</v>
      </c>
      <c r="D190" s="2" t="s">
        <v>1413</v>
      </c>
      <c r="E190" s="2" t="s">
        <v>1414</v>
      </c>
      <c r="F190" s="2" t="s">
        <v>1415</v>
      </c>
      <c r="G190" s="2" t="s">
        <v>242</v>
      </c>
      <c r="H190" s="2" t="s">
        <v>243</v>
      </c>
      <c r="I190" s="2" t="s">
        <v>31</v>
      </c>
      <c r="J190" s="2" t="s">
        <v>1416</v>
      </c>
      <c r="K190" s="2" t="s">
        <v>143</v>
      </c>
      <c r="L190" s="2">
        <v>2</v>
      </c>
      <c r="M190" s="3">
        <v>209.96</v>
      </c>
      <c r="N190" s="2" t="s">
        <v>49</v>
      </c>
      <c r="O190" s="3">
        <v>31.49</v>
      </c>
      <c r="P190" s="3">
        <v>0</v>
      </c>
      <c r="Q190" s="3">
        <v>16.059999999999999</v>
      </c>
      <c r="R190" s="3">
        <v>194.53</v>
      </c>
      <c r="S190" s="2" t="s">
        <v>64</v>
      </c>
      <c r="T190" s="2" t="s">
        <v>50</v>
      </c>
      <c r="U190" s="2" t="s">
        <v>66</v>
      </c>
      <c r="V190" s="2" t="s">
        <v>1417</v>
      </c>
      <c r="W190" s="3">
        <v>0</v>
      </c>
      <c r="X190" t="str">
        <f t="shared" si="6"/>
        <v>October</v>
      </c>
      <c r="Y190" t="str">
        <f t="shared" si="7"/>
        <v>Q4</v>
      </c>
      <c r="Z190" s="7">
        <f t="shared" si="8"/>
        <v>178.47</v>
      </c>
    </row>
    <row r="191" spans="1:26" x14ac:dyDescent="0.3">
      <c r="A191" s="4" t="s">
        <v>1418</v>
      </c>
      <c r="B191" s="9" t="s">
        <v>649</v>
      </c>
      <c r="C191" s="4" t="s">
        <v>1419</v>
      </c>
      <c r="D191" s="4" t="s">
        <v>1420</v>
      </c>
      <c r="E191" s="4" t="s">
        <v>1421</v>
      </c>
      <c r="F191" s="4" t="s">
        <v>1422</v>
      </c>
      <c r="G191" s="4" t="s">
        <v>676</v>
      </c>
      <c r="H191" s="4" t="s">
        <v>677</v>
      </c>
      <c r="I191" s="4" t="s">
        <v>31</v>
      </c>
      <c r="J191" s="4" t="s">
        <v>316</v>
      </c>
      <c r="K191" s="4" t="s">
        <v>48</v>
      </c>
      <c r="L191" s="4">
        <v>1</v>
      </c>
      <c r="M191" s="5">
        <v>34.99</v>
      </c>
      <c r="N191" s="4" t="s">
        <v>34</v>
      </c>
      <c r="O191" s="5">
        <v>0</v>
      </c>
      <c r="P191" s="5">
        <v>5.99</v>
      </c>
      <c r="Q191" s="5">
        <v>2.4500000000000002</v>
      </c>
      <c r="R191" s="5">
        <v>43.43</v>
      </c>
      <c r="S191" s="4" t="s">
        <v>35</v>
      </c>
      <c r="T191" s="4" t="s">
        <v>173</v>
      </c>
      <c r="U191" s="4" t="s">
        <v>317</v>
      </c>
      <c r="V191" s="4"/>
      <c r="W191" s="5">
        <v>0</v>
      </c>
      <c r="X191" t="str">
        <f t="shared" si="6"/>
        <v>August</v>
      </c>
      <c r="Y191" t="str">
        <f t="shared" si="7"/>
        <v>Q3</v>
      </c>
      <c r="Z191" s="7">
        <f t="shared" si="8"/>
        <v>34.99</v>
      </c>
    </row>
    <row r="192" spans="1:26" x14ac:dyDescent="0.3">
      <c r="A192" s="2" t="s">
        <v>1423</v>
      </c>
      <c r="B192" s="8" t="s">
        <v>519</v>
      </c>
      <c r="C192" s="2" t="s">
        <v>1424</v>
      </c>
      <c r="D192" s="2" t="s">
        <v>1425</v>
      </c>
      <c r="E192" s="2" t="s">
        <v>1426</v>
      </c>
      <c r="F192" s="2" t="s">
        <v>1427</v>
      </c>
      <c r="G192" s="2" t="s">
        <v>131</v>
      </c>
      <c r="H192" s="2" t="s">
        <v>88</v>
      </c>
      <c r="I192" s="2" t="s">
        <v>31</v>
      </c>
      <c r="J192" s="2" t="s">
        <v>1428</v>
      </c>
      <c r="K192" s="2" t="s">
        <v>143</v>
      </c>
      <c r="L192" s="2">
        <v>2</v>
      </c>
      <c r="M192" s="3">
        <v>134.97</v>
      </c>
      <c r="N192" s="2" t="s">
        <v>34</v>
      </c>
      <c r="O192" s="3">
        <v>0</v>
      </c>
      <c r="P192" s="3">
        <v>0</v>
      </c>
      <c r="Q192" s="3">
        <v>13.5</v>
      </c>
      <c r="R192" s="3">
        <v>148.47</v>
      </c>
      <c r="S192" s="2" t="s">
        <v>64</v>
      </c>
      <c r="T192" s="2" t="s">
        <v>173</v>
      </c>
      <c r="U192" s="2" t="s">
        <v>317</v>
      </c>
      <c r="V192" s="2"/>
      <c r="W192" s="3">
        <v>0</v>
      </c>
      <c r="X192" t="str">
        <f t="shared" si="6"/>
        <v>May</v>
      </c>
      <c r="Y192" t="str">
        <f t="shared" si="7"/>
        <v>Q2</v>
      </c>
      <c r="Z192" s="7">
        <f t="shared" si="8"/>
        <v>134.97</v>
      </c>
    </row>
    <row r="193" spans="1:26" x14ac:dyDescent="0.3">
      <c r="A193" s="4" t="s">
        <v>1429</v>
      </c>
      <c r="B193" s="9" t="s">
        <v>1430</v>
      </c>
      <c r="C193" s="4" t="s">
        <v>1431</v>
      </c>
      <c r="D193" s="4" t="s">
        <v>621</v>
      </c>
      <c r="E193" s="4" t="s">
        <v>1432</v>
      </c>
      <c r="F193" s="4" t="s">
        <v>1433</v>
      </c>
      <c r="G193" s="4" t="s">
        <v>676</v>
      </c>
      <c r="H193" s="4" t="s">
        <v>677</v>
      </c>
      <c r="I193" s="4" t="s">
        <v>31</v>
      </c>
      <c r="J193" s="4" t="s">
        <v>316</v>
      </c>
      <c r="K193" s="4" t="s">
        <v>48</v>
      </c>
      <c r="L193" s="4">
        <v>1</v>
      </c>
      <c r="M193" s="5">
        <v>34.99</v>
      </c>
      <c r="N193" s="4" t="s">
        <v>78</v>
      </c>
      <c r="O193" s="5">
        <v>3.5</v>
      </c>
      <c r="P193" s="5">
        <v>7.99</v>
      </c>
      <c r="Q193" s="5">
        <v>2.68</v>
      </c>
      <c r="R193" s="5">
        <v>42.16</v>
      </c>
      <c r="S193" s="4" t="s">
        <v>35</v>
      </c>
      <c r="T193" s="4" t="s">
        <v>36</v>
      </c>
      <c r="U193" s="4" t="s">
        <v>100</v>
      </c>
      <c r="V193" s="4"/>
      <c r="W193" s="5">
        <v>0</v>
      </c>
      <c r="X193" t="str">
        <f t="shared" si="6"/>
        <v>December</v>
      </c>
      <c r="Y193" t="str">
        <f t="shared" si="7"/>
        <v>Q4</v>
      </c>
      <c r="Z193" s="7">
        <f t="shared" si="8"/>
        <v>31.490000000000002</v>
      </c>
    </row>
    <row r="194" spans="1:26" x14ac:dyDescent="0.3">
      <c r="A194" s="2" t="s">
        <v>1434</v>
      </c>
      <c r="B194" s="8" t="s">
        <v>1095</v>
      </c>
      <c r="C194" s="2" t="s">
        <v>1435</v>
      </c>
      <c r="D194" s="2" t="s">
        <v>1436</v>
      </c>
      <c r="E194" s="2" t="s">
        <v>1437</v>
      </c>
      <c r="F194" s="2" t="s">
        <v>1438</v>
      </c>
      <c r="G194" s="2" t="s">
        <v>59</v>
      </c>
      <c r="H194" s="2" t="s">
        <v>60</v>
      </c>
      <c r="I194" s="2" t="s">
        <v>31</v>
      </c>
      <c r="J194" s="2" t="s">
        <v>1439</v>
      </c>
      <c r="K194" s="2" t="s">
        <v>77</v>
      </c>
      <c r="L194" s="2">
        <v>4</v>
      </c>
      <c r="M194" s="3">
        <v>276.92</v>
      </c>
      <c r="N194" s="2" t="s">
        <v>78</v>
      </c>
      <c r="O194" s="3">
        <v>27.69</v>
      </c>
      <c r="P194" s="3">
        <v>0</v>
      </c>
      <c r="Q194" s="3">
        <v>19.940000000000001</v>
      </c>
      <c r="R194" s="3">
        <v>269.17</v>
      </c>
      <c r="S194" s="2" t="s">
        <v>35</v>
      </c>
      <c r="T194" s="2" t="s">
        <v>173</v>
      </c>
      <c r="U194" s="2" t="s">
        <v>66</v>
      </c>
      <c r="V194" s="2" t="s">
        <v>562</v>
      </c>
      <c r="W194" s="3">
        <v>0</v>
      </c>
      <c r="X194" t="str">
        <f t="shared" si="6"/>
        <v>June</v>
      </c>
      <c r="Y194" t="str">
        <f t="shared" si="7"/>
        <v>Q2</v>
      </c>
      <c r="Z194" s="7">
        <f t="shared" si="8"/>
        <v>249.23000000000002</v>
      </c>
    </row>
    <row r="195" spans="1:26" x14ac:dyDescent="0.3">
      <c r="A195" s="4" t="s">
        <v>1440</v>
      </c>
      <c r="B195" s="9" t="s">
        <v>455</v>
      </c>
      <c r="C195" s="4" t="s">
        <v>1441</v>
      </c>
      <c r="D195" s="4" t="s">
        <v>1442</v>
      </c>
      <c r="E195" s="4" t="s">
        <v>1443</v>
      </c>
      <c r="F195" s="4" t="s">
        <v>1444</v>
      </c>
      <c r="G195" s="4" t="s">
        <v>29</v>
      </c>
      <c r="H195" s="4" t="s">
        <v>30</v>
      </c>
      <c r="I195" s="4" t="s">
        <v>31</v>
      </c>
      <c r="J195" s="4" t="s">
        <v>444</v>
      </c>
      <c r="K195" s="4" t="s">
        <v>48</v>
      </c>
      <c r="L195" s="4">
        <v>1</v>
      </c>
      <c r="M195" s="5">
        <v>64.989999999999995</v>
      </c>
      <c r="N195" s="4" t="s">
        <v>163</v>
      </c>
      <c r="O195" s="5">
        <v>13</v>
      </c>
      <c r="P195" s="5">
        <v>7.99</v>
      </c>
      <c r="Q195" s="5">
        <v>3.12</v>
      </c>
      <c r="R195" s="5">
        <v>63.1</v>
      </c>
      <c r="S195" s="4" t="s">
        <v>123</v>
      </c>
      <c r="T195" s="4" t="s">
        <v>99</v>
      </c>
      <c r="U195" s="4" t="s">
        <v>66</v>
      </c>
      <c r="V195" s="4" t="s">
        <v>69</v>
      </c>
      <c r="W195" s="5">
        <v>0</v>
      </c>
      <c r="X195" t="str">
        <f t="shared" ref="X195:X258" si="9">TEXT(B195,"MMMM")</f>
        <v>June</v>
      </c>
      <c r="Y195" t="str">
        <f t="shared" ref="Y195:Y258" si="10">IF(MONTH(B195)&lt;=3,"Q1",IF(MONTH(B195)&lt;=6,"Q2",IF(MONTH(B195)&lt;=9,"Q3","Q4")))</f>
        <v>Q2</v>
      </c>
      <c r="Z195" s="7">
        <f t="shared" ref="Z195:Z258" si="11">M195-O195</f>
        <v>51.989999999999995</v>
      </c>
    </row>
    <row r="196" spans="1:26" x14ac:dyDescent="0.3">
      <c r="A196" s="2" t="s">
        <v>1445</v>
      </c>
      <c r="B196" s="8" t="s">
        <v>1446</v>
      </c>
      <c r="C196" s="2" t="s">
        <v>1447</v>
      </c>
      <c r="D196" s="2" t="s">
        <v>1172</v>
      </c>
      <c r="E196" s="2" t="s">
        <v>1448</v>
      </c>
      <c r="F196" s="2" t="s">
        <v>1449</v>
      </c>
      <c r="G196" s="2" t="s">
        <v>403</v>
      </c>
      <c r="H196" s="2" t="s">
        <v>404</v>
      </c>
      <c r="I196" s="2" t="s">
        <v>31</v>
      </c>
      <c r="J196" s="2" t="s">
        <v>678</v>
      </c>
      <c r="K196" s="2" t="s">
        <v>679</v>
      </c>
      <c r="L196" s="2">
        <v>1</v>
      </c>
      <c r="M196" s="3">
        <v>14.99</v>
      </c>
      <c r="N196" s="2" t="s">
        <v>78</v>
      </c>
      <c r="O196" s="3">
        <v>1.5</v>
      </c>
      <c r="P196" s="3">
        <v>5.99</v>
      </c>
      <c r="Q196" s="3">
        <v>1.08</v>
      </c>
      <c r="R196" s="3">
        <v>20.56</v>
      </c>
      <c r="S196" s="2" t="s">
        <v>123</v>
      </c>
      <c r="T196" s="2" t="s">
        <v>173</v>
      </c>
      <c r="U196" s="2" t="s">
        <v>317</v>
      </c>
      <c r="V196" s="2"/>
      <c r="W196" s="3">
        <v>0</v>
      </c>
      <c r="X196" t="str">
        <f t="shared" si="9"/>
        <v>January</v>
      </c>
      <c r="Y196" t="str">
        <f t="shared" si="10"/>
        <v>Q1</v>
      </c>
      <c r="Z196" s="7">
        <f t="shared" si="11"/>
        <v>13.49</v>
      </c>
    </row>
    <row r="197" spans="1:26" x14ac:dyDescent="0.3">
      <c r="A197" s="4" t="s">
        <v>1450</v>
      </c>
      <c r="B197" s="9" t="s">
        <v>52</v>
      </c>
      <c r="C197" s="4" t="s">
        <v>1451</v>
      </c>
      <c r="D197" s="4" t="s">
        <v>1452</v>
      </c>
      <c r="E197" s="4" t="s">
        <v>1453</v>
      </c>
      <c r="F197" s="4" t="s">
        <v>1454</v>
      </c>
      <c r="G197" s="4" t="s">
        <v>323</v>
      </c>
      <c r="H197" s="4" t="s">
        <v>324</v>
      </c>
      <c r="I197" s="4" t="s">
        <v>31</v>
      </c>
      <c r="J197" s="4" t="s">
        <v>1455</v>
      </c>
      <c r="K197" s="4" t="s">
        <v>143</v>
      </c>
      <c r="L197" s="4">
        <v>2</v>
      </c>
      <c r="M197" s="5">
        <v>110.97</v>
      </c>
      <c r="N197" s="4" t="s">
        <v>78</v>
      </c>
      <c r="O197" s="5">
        <v>11.1</v>
      </c>
      <c r="P197" s="5">
        <v>0</v>
      </c>
      <c r="Q197" s="5">
        <v>9.99</v>
      </c>
      <c r="R197" s="5">
        <v>109.86</v>
      </c>
      <c r="S197" s="4" t="s">
        <v>111</v>
      </c>
      <c r="T197" s="4" t="s">
        <v>99</v>
      </c>
      <c r="U197" s="4" t="s">
        <v>66</v>
      </c>
      <c r="V197" s="4" t="s">
        <v>1456</v>
      </c>
      <c r="W197" s="5">
        <v>0</v>
      </c>
      <c r="X197" t="str">
        <f t="shared" si="9"/>
        <v>December</v>
      </c>
      <c r="Y197" t="str">
        <f t="shared" si="10"/>
        <v>Q4</v>
      </c>
      <c r="Z197" s="7">
        <f t="shared" si="11"/>
        <v>99.87</v>
      </c>
    </row>
    <row r="198" spans="1:26" x14ac:dyDescent="0.3">
      <c r="A198" s="2" t="s">
        <v>1457</v>
      </c>
      <c r="B198" s="8" t="s">
        <v>1458</v>
      </c>
      <c r="C198" s="2" t="s">
        <v>1459</v>
      </c>
      <c r="D198" s="2" t="s">
        <v>248</v>
      </c>
      <c r="E198" s="2" t="s">
        <v>1460</v>
      </c>
      <c r="F198" s="2" t="s">
        <v>1461</v>
      </c>
      <c r="G198" s="2" t="s">
        <v>282</v>
      </c>
      <c r="H198" s="2" t="s">
        <v>88</v>
      </c>
      <c r="I198" s="2" t="s">
        <v>31</v>
      </c>
      <c r="J198" s="2" t="s">
        <v>1462</v>
      </c>
      <c r="K198" s="2" t="s">
        <v>62</v>
      </c>
      <c r="L198" s="2">
        <v>2</v>
      </c>
      <c r="M198" s="3">
        <v>199.96</v>
      </c>
      <c r="N198" s="2" t="s">
        <v>163</v>
      </c>
      <c r="O198" s="3">
        <v>39.99</v>
      </c>
      <c r="P198" s="3">
        <v>0</v>
      </c>
      <c r="Q198" s="3">
        <v>11.2</v>
      </c>
      <c r="R198" s="3">
        <v>171.17</v>
      </c>
      <c r="S198" s="2" t="s">
        <v>64</v>
      </c>
      <c r="T198" s="2" t="s">
        <v>36</v>
      </c>
      <c r="U198" s="2" t="s">
        <v>66</v>
      </c>
      <c r="V198" s="2" t="s">
        <v>421</v>
      </c>
      <c r="W198" s="3">
        <v>0</v>
      </c>
      <c r="X198" t="str">
        <f t="shared" si="9"/>
        <v>June</v>
      </c>
      <c r="Y198" t="str">
        <f t="shared" si="10"/>
        <v>Q2</v>
      </c>
      <c r="Z198" s="7">
        <f t="shared" si="11"/>
        <v>159.97</v>
      </c>
    </row>
    <row r="199" spans="1:26" x14ac:dyDescent="0.3">
      <c r="A199" s="4" t="s">
        <v>1463</v>
      </c>
      <c r="B199" s="9" t="s">
        <v>372</v>
      </c>
      <c r="C199" s="4" t="s">
        <v>1464</v>
      </c>
      <c r="D199" s="4" t="s">
        <v>1465</v>
      </c>
      <c r="E199" s="4" t="s">
        <v>1466</v>
      </c>
      <c r="F199" s="4" t="s">
        <v>1467</v>
      </c>
      <c r="G199" s="4" t="s">
        <v>291</v>
      </c>
      <c r="H199" s="4" t="s">
        <v>292</v>
      </c>
      <c r="I199" s="4" t="s">
        <v>31</v>
      </c>
      <c r="J199" s="4" t="s">
        <v>1468</v>
      </c>
      <c r="K199" s="4" t="s">
        <v>33</v>
      </c>
      <c r="L199" s="4">
        <v>2</v>
      </c>
      <c r="M199" s="5">
        <v>179.97</v>
      </c>
      <c r="N199" s="4" t="s">
        <v>34</v>
      </c>
      <c r="O199" s="5">
        <v>0</v>
      </c>
      <c r="P199" s="5">
        <v>0</v>
      </c>
      <c r="Q199" s="5">
        <v>10.8</v>
      </c>
      <c r="R199" s="5">
        <v>190.77</v>
      </c>
      <c r="S199" s="4" t="s">
        <v>123</v>
      </c>
      <c r="T199" s="4" t="s">
        <v>36</v>
      </c>
      <c r="U199" s="4" t="s">
        <v>51</v>
      </c>
      <c r="V199" s="4" t="s">
        <v>1469</v>
      </c>
      <c r="W199" s="5">
        <v>0</v>
      </c>
      <c r="X199" t="str">
        <f t="shared" si="9"/>
        <v>March</v>
      </c>
      <c r="Y199" t="str">
        <f t="shared" si="10"/>
        <v>Q1</v>
      </c>
      <c r="Z199" s="7">
        <f t="shared" si="11"/>
        <v>179.97</v>
      </c>
    </row>
    <row r="200" spans="1:26" x14ac:dyDescent="0.3">
      <c r="A200" s="2" t="s">
        <v>1470</v>
      </c>
      <c r="B200" s="8" t="s">
        <v>1471</v>
      </c>
      <c r="C200" s="2" t="s">
        <v>1472</v>
      </c>
      <c r="D200" s="2" t="s">
        <v>1298</v>
      </c>
      <c r="E200" s="2" t="s">
        <v>1473</v>
      </c>
      <c r="F200" s="2" t="s">
        <v>1474</v>
      </c>
      <c r="G200" s="2" t="s">
        <v>323</v>
      </c>
      <c r="H200" s="2" t="s">
        <v>324</v>
      </c>
      <c r="I200" s="2" t="s">
        <v>31</v>
      </c>
      <c r="J200" s="2" t="s">
        <v>1475</v>
      </c>
      <c r="K200" s="2" t="s">
        <v>62</v>
      </c>
      <c r="L200" s="2">
        <v>2</v>
      </c>
      <c r="M200" s="3">
        <v>274.97000000000003</v>
      </c>
      <c r="N200" s="2" t="s">
        <v>78</v>
      </c>
      <c r="O200" s="3">
        <v>27.5</v>
      </c>
      <c r="P200" s="3">
        <v>0</v>
      </c>
      <c r="Q200" s="3">
        <v>17.32</v>
      </c>
      <c r="R200" s="3">
        <v>264.79000000000002</v>
      </c>
      <c r="S200" s="2" t="s">
        <v>35</v>
      </c>
      <c r="T200" s="2" t="s">
        <v>144</v>
      </c>
      <c r="U200" s="2" t="s">
        <v>66</v>
      </c>
      <c r="V200" s="2" t="s">
        <v>858</v>
      </c>
      <c r="W200" s="3">
        <v>0</v>
      </c>
      <c r="X200" t="str">
        <f t="shared" si="9"/>
        <v>April</v>
      </c>
      <c r="Y200" t="str">
        <f t="shared" si="10"/>
        <v>Q2</v>
      </c>
      <c r="Z200" s="7">
        <f t="shared" si="11"/>
        <v>247.47000000000003</v>
      </c>
    </row>
    <row r="201" spans="1:26" x14ac:dyDescent="0.3">
      <c r="A201" s="4" t="s">
        <v>1476</v>
      </c>
      <c r="B201" s="9" t="s">
        <v>1477</v>
      </c>
      <c r="C201" s="4" t="s">
        <v>1478</v>
      </c>
      <c r="D201" s="4" t="s">
        <v>1479</v>
      </c>
      <c r="E201" s="4" t="s">
        <v>1480</v>
      </c>
      <c r="F201" s="4" t="s">
        <v>1481</v>
      </c>
      <c r="G201" s="4" t="s">
        <v>107</v>
      </c>
      <c r="H201" s="4" t="s">
        <v>108</v>
      </c>
      <c r="I201" s="4" t="s">
        <v>31</v>
      </c>
      <c r="J201" s="4" t="s">
        <v>387</v>
      </c>
      <c r="K201" s="4" t="s">
        <v>33</v>
      </c>
      <c r="L201" s="4">
        <v>1</v>
      </c>
      <c r="M201" s="5">
        <v>35.99</v>
      </c>
      <c r="N201" s="4" t="s">
        <v>152</v>
      </c>
      <c r="O201" s="5">
        <v>1.8</v>
      </c>
      <c r="P201" s="5">
        <v>5.99</v>
      </c>
      <c r="Q201" s="5">
        <v>2.74</v>
      </c>
      <c r="R201" s="5">
        <v>42.92</v>
      </c>
      <c r="S201" s="4" t="s">
        <v>64</v>
      </c>
      <c r="T201" s="4" t="s">
        <v>99</v>
      </c>
      <c r="U201" s="4" t="s">
        <v>37</v>
      </c>
      <c r="V201" s="4" t="s">
        <v>351</v>
      </c>
      <c r="W201" s="5">
        <v>42.92</v>
      </c>
      <c r="X201" t="str">
        <f t="shared" si="9"/>
        <v>June</v>
      </c>
      <c r="Y201" t="str">
        <f t="shared" si="10"/>
        <v>Q2</v>
      </c>
      <c r="Z201" s="7">
        <f t="shared" si="11"/>
        <v>34.190000000000005</v>
      </c>
    </row>
    <row r="202" spans="1:26" x14ac:dyDescent="0.3">
      <c r="A202" s="2" t="s">
        <v>1482</v>
      </c>
      <c r="B202" s="8" t="s">
        <v>1043</v>
      </c>
      <c r="C202" s="2" t="s">
        <v>1483</v>
      </c>
      <c r="D202" s="2" t="s">
        <v>1484</v>
      </c>
      <c r="E202" s="2" t="s">
        <v>1485</v>
      </c>
      <c r="F202" s="2" t="s">
        <v>1486</v>
      </c>
      <c r="G202" s="2" t="s">
        <v>224</v>
      </c>
      <c r="H202" s="2" t="s">
        <v>225</v>
      </c>
      <c r="I202" s="2" t="s">
        <v>31</v>
      </c>
      <c r="J202" s="2" t="s">
        <v>1487</v>
      </c>
      <c r="K202" s="2" t="s">
        <v>33</v>
      </c>
      <c r="L202" s="2">
        <v>2</v>
      </c>
      <c r="M202" s="3">
        <v>181.97</v>
      </c>
      <c r="N202" s="2" t="s">
        <v>34</v>
      </c>
      <c r="O202" s="3">
        <v>0</v>
      </c>
      <c r="P202" s="3">
        <v>0</v>
      </c>
      <c r="Q202" s="3">
        <v>18.2</v>
      </c>
      <c r="R202" s="3">
        <v>200.17</v>
      </c>
      <c r="S202" s="2" t="s">
        <v>111</v>
      </c>
      <c r="T202" s="2" t="s">
        <v>36</v>
      </c>
      <c r="U202" s="2" t="s">
        <v>66</v>
      </c>
      <c r="V202" s="2" t="s">
        <v>1488</v>
      </c>
      <c r="W202" s="3">
        <v>0</v>
      </c>
      <c r="X202" t="str">
        <f t="shared" si="9"/>
        <v>February</v>
      </c>
      <c r="Y202" t="str">
        <f t="shared" si="10"/>
        <v>Q1</v>
      </c>
      <c r="Z202" s="7">
        <f t="shared" si="11"/>
        <v>181.97</v>
      </c>
    </row>
    <row r="203" spans="1:26" x14ac:dyDescent="0.3">
      <c r="A203" s="4" t="s">
        <v>1489</v>
      </c>
      <c r="B203" s="9" t="s">
        <v>1490</v>
      </c>
      <c r="C203" s="4" t="s">
        <v>1491</v>
      </c>
      <c r="D203" s="4" t="s">
        <v>1492</v>
      </c>
      <c r="E203" s="4" t="s">
        <v>1493</v>
      </c>
      <c r="F203" s="4" t="s">
        <v>1494</v>
      </c>
      <c r="G203" s="4" t="s">
        <v>394</v>
      </c>
      <c r="H203" s="4" t="s">
        <v>395</v>
      </c>
      <c r="I203" s="4" t="s">
        <v>31</v>
      </c>
      <c r="J203" s="4" t="s">
        <v>1495</v>
      </c>
      <c r="K203" s="4" t="s">
        <v>62</v>
      </c>
      <c r="L203" s="4">
        <v>2</v>
      </c>
      <c r="M203" s="5">
        <v>153.96</v>
      </c>
      <c r="N203" s="4" t="s">
        <v>34</v>
      </c>
      <c r="O203" s="5">
        <v>0</v>
      </c>
      <c r="P203" s="5">
        <v>0</v>
      </c>
      <c r="Q203" s="5">
        <v>13.09</v>
      </c>
      <c r="R203" s="5">
        <v>167.05</v>
      </c>
      <c r="S203" s="4" t="s">
        <v>111</v>
      </c>
      <c r="T203" s="4" t="s">
        <v>173</v>
      </c>
      <c r="U203" s="4" t="s">
        <v>317</v>
      </c>
      <c r="V203" s="4"/>
      <c r="W203" s="5">
        <v>0</v>
      </c>
      <c r="X203" t="str">
        <f t="shared" si="9"/>
        <v>February</v>
      </c>
      <c r="Y203" t="str">
        <f t="shared" si="10"/>
        <v>Q1</v>
      </c>
      <c r="Z203" s="7">
        <f t="shared" si="11"/>
        <v>153.96</v>
      </c>
    </row>
    <row r="204" spans="1:26" x14ac:dyDescent="0.3">
      <c r="A204" s="2" t="s">
        <v>1496</v>
      </c>
      <c r="B204" s="8" t="s">
        <v>1086</v>
      </c>
      <c r="C204" s="2" t="s">
        <v>1497</v>
      </c>
      <c r="D204" s="2" t="s">
        <v>1498</v>
      </c>
      <c r="E204" s="2" t="s">
        <v>1499</v>
      </c>
      <c r="F204" s="2" t="s">
        <v>1500</v>
      </c>
      <c r="G204" s="2" t="s">
        <v>140</v>
      </c>
      <c r="H204" s="2" t="s">
        <v>141</v>
      </c>
      <c r="I204" s="2" t="s">
        <v>31</v>
      </c>
      <c r="J204" s="2" t="s">
        <v>1501</v>
      </c>
      <c r="K204" s="2" t="s">
        <v>679</v>
      </c>
      <c r="L204" s="2">
        <v>4</v>
      </c>
      <c r="M204" s="3">
        <v>349.94</v>
      </c>
      <c r="N204" s="2" t="s">
        <v>34</v>
      </c>
      <c r="O204" s="3">
        <v>0</v>
      </c>
      <c r="P204" s="3">
        <v>0</v>
      </c>
      <c r="Q204" s="3">
        <v>28</v>
      </c>
      <c r="R204" s="3">
        <v>377.94</v>
      </c>
      <c r="S204" s="2" t="s">
        <v>64</v>
      </c>
      <c r="T204" s="2" t="s">
        <v>99</v>
      </c>
      <c r="U204" s="2" t="s">
        <v>66</v>
      </c>
      <c r="V204" s="2" t="s">
        <v>1502</v>
      </c>
      <c r="W204" s="3">
        <v>0</v>
      </c>
      <c r="X204" t="str">
        <f t="shared" si="9"/>
        <v>August</v>
      </c>
      <c r="Y204" t="str">
        <f t="shared" si="10"/>
        <v>Q3</v>
      </c>
      <c r="Z204" s="7">
        <f t="shared" si="11"/>
        <v>349.94</v>
      </c>
    </row>
    <row r="205" spans="1:26" x14ac:dyDescent="0.3">
      <c r="A205" s="4" t="s">
        <v>1503</v>
      </c>
      <c r="B205" s="9" t="s">
        <v>256</v>
      </c>
      <c r="C205" s="4" t="s">
        <v>1504</v>
      </c>
      <c r="D205" s="4" t="s">
        <v>1505</v>
      </c>
      <c r="E205" s="4" t="s">
        <v>1506</v>
      </c>
      <c r="F205" s="4" t="s">
        <v>1507</v>
      </c>
      <c r="G205" s="4" t="s">
        <v>323</v>
      </c>
      <c r="H205" s="4" t="s">
        <v>324</v>
      </c>
      <c r="I205" s="4" t="s">
        <v>31</v>
      </c>
      <c r="J205" s="4" t="s">
        <v>1508</v>
      </c>
      <c r="K205" s="4" t="s">
        <v>364</v>
      </c>
      <c r="L205" s="4">
        <v>2</v>
      </c>
      <c r="M205" s="5">
        <v>154.96</v>
      </c>
      <c r="N205" s="4" t="s">
        <v>34</v>
      </c>
      <c r="O205" s="5">
        <v>0</v>
      </c>
      <c r="P205" s="5">
        <v>0</v>
      </c>
      <c r="Q205" s="5">
        <v>13.95</v>
      </c>
      <c r="R205" s="5">
        <v>168.91</v>
      </c>
      <c r="S205" s="4" t="s">
        <v>35</v>
      </c>
      <c r="T205" s="4" t="s">
        <v>99</v>
      </c>
      <c r="U205" s="4" t="s">
        <v>66</v>
      </c>
      <c r="V205" s="4" t="s">
        <v>455</v>
      </c>
      <c r="W205" s="5">
        <v>0</v>
      </c>
      <c r="X205" t="str">
        <f t="shared" si="9"/>
        <v>June</v>
      </c>
      <c r="Y205" t="str">
        <f t="shared" si="10"/>
        <v>Q2</v>
      </c>
      <c r="Z205" s="7">
        <f t="shared" si="11"/>
        <v>154.96</v>
      </c>
    </row>
    <row r="206" spans="1:26" x14ac:dyDescent="0.3">
      <c r="A206" s="2" t="s">
        <v>1509</v>
      </c>
      <c r="B206" s="8" t="s">
        <v>1102</v>
      </c>
      <c r="C206" s="2" t="s">
        <v>1510</v>
      </c>
      <c r="D206" s="2" t="s">
        <v>1511</v>
      </c>
      <c r="E206" s="2" t="s">
        <v>1512</v>
      </c>
      <c r="F206" s="2" t="s">
        <v>1513</v>
      </c>
      <c r="G206" s="2" t="s">
        <v>282</v>
      </c>
      <c r="H206" s="2" t="s">
        <v>88</v>
      </c>
      <c r="I206" s="2" t="s">
        <v>31</v>
      </c>
      <c r="J206" s="2" t="s">
        <v>1514</v>
      </c>
      <c r="K206" s="2" t="s">
        <v>77</v>
      </c>
      <c r="L206" s="2">
        <v>3</v>
      </c>
      <c r="M206" s="3">
        <v>194.97</v>
      </c>
      <c r="N206" s="2" t="s">
        <v>34</v>
      </c>
      <c r="O206" s="3">
        <v>0</v>
      </c>
      <c r="P206" s="3">
        <v>0</v>
      </c>
      <c r="Q206" s="3">
        <v>15.6</v>
      </c>
      <c r="R206" s="3">
        <v>210.57</v>
      </c>
      <c r="S206" s="2" t="s">
        <v>79</v>
      </c>
      <c r="T206" s="2" t="s">
        <v>173</v>
      </c>
      <c r="U206" s="2" t="s">
        <v>37</v>
      </c>
      <c r="V206" s="2" t="s">
        <v>389</v>
      </c>
      <c r="W206" s="3">
        <v>210.57</v>
      </c>
      <c r="X206" t="str">
        <f t="shared" si="9"/>
        <v>September</v>
      </c>
      <c r="Y206" t="str">
        <f t="shared" si="10"/>
        <v>Q3</v>
      </c>
      <c r="Z206" s="7">
        <f t="shared" si="11"/>
        <v>194.97</v>
      </c>
    </row>
    <row r="207" spans="1:26" x14ac:dyDescent="0.3">
      <c r="A207" s="4" t="s">
        <v>1515</v>
      </c>
      <c r="B207" s="9" t="s">
        <v>1516</v>
      </c>
      <c r="C207" s="4" t="s">
        <v>1517</v>
      </c>
      <c r="D207" s="4" t="s">
        <v>1518</v>
      </c>
      <c r="E207" s="4" t="s">
        <v>1519</v>
      </c>
      <c r="F207" s="4" t="s">
        <v>1520</v>
      </c>
      <c r="G207" s="4" t="s">
        <v>291</v>
      </c>
      <c r="H207" s="4" t="s">
        <v>292</v>
      </c>
      <c r="I207" s="4" t="s">
        <v>31</v>
      </c>
      <c r="J207" s="4" t="s">
        <v>234</v>
      </c>
      <c r="K207" s="4" t="s">
        <v>62</v>
      </c>
      <c r="L207" s="4">
        <v>1</v>
      </c>
      <c r="M207" s="5">
        <v>49.98</v>
      </c>
      <c r="N207" s="4" t="s">
        <v>49</v>
      </c>
      <c r="O207" s="5">
        <v>7.5</v>
      </c>
      <c r="P207" s="5">
        <v>4.99</v>
      </c>
      <c r="Q207" s="5">
        <v>2.97</v>
      </c>
      <c r="R207" s="5">
        <v>50.44</v>
      </c>
      <c r="S207" s="4" t="s">
        <v>35</v>
      </c>
      <c r="T207" s="4" t="s">
        <v>325</v>
      </c>
      <c r="U207" s="4" t="s">
        <v>66</v>
      </c>
      <c r="V207" s="4" t="s">
        <v>1521</v>
      </c>
      <c r="W207" s="5">
        <v>0</v>
      </c>
      <c r="X207" t="str">
        <f t="shared" si="9"/>
        <v>March</v>
      </c>
      <c r="Y207" t="str">
        <f t="shared" si="10"/>
        <v>Q1</v>
      </c>
      <c r="Z207" s="7">
        <f t="shared" si="11"/>
        <v>42.48</v>
      </c>
    </row>
    <row r="208" spans="1:26" x14ac:dyDescent="0.3">
      <c r="A208" s="2" t="s">
        <v>1522</v>
      </c>
      <c r="B208" s="8" t="s">
        <v>945</v>
      </c>
      <c r="C208" s="2" t="s">
        <v>1523</v>
      </c>
      <c r="D208" s="2" t="s">
        <v>1524</v>
      </c>
      <c r="E208" s="2" t="s">
        <v>1525</v>
      </c>
      <c r="F208" s="2" t="s">
        <v>1526</v>
      </c>
      <c r="G208" s="2" t="s">
        <v>692</v>
      </c>
      <c r="H208" s="2" t="s">
        <v>693</v>
      </c>
      <c r="I208" s="2" t="s">
        <v>31</v>
      </c>
      <c r="J208" s="2" t="s">
        <v>1175</v>
      </c>
      <c r="K208" s="2" t="s">
        <v>143</v>
      </c>
      <c r="L208" s="2">
        <v>1</v>
      </c>
      <c r="M208" s="3">
        <v>54.99</v>
      </c>
      <c r="N208" s="2" t="s">
        <v>152</v>
      </c>
      <c r="O208" s="3">
        <v>2.75</v>
      </c>
      <c r="P208" s="3">
        <v>4.99</v>
      </c>
      <c r="Q208" s="3">
        <v>5.22</v>
      </c>
      <c r="R208" s="3">
        <v>62.45</v>
      </c>
      <c r="S208" s="2" t="s">
        <v>35</v>
      </c>
      <c r="T208" s="2" t="s">
        <v>183</v>
      </c>
      <c r="U208" s="2" t="s">
        <v>66</v>
      </c>
      <c r="V208" s="2" t="s">
        <v>1527</v>
      </c>
      <c r="W208" s="3">
        <v>0</v>
      </c>
      <c r="X208" t="str">
        <f t="shared" si="9"/>
        <v>September</v>
      </c>
      <c r="Y208" t="str">
        <f t="shared" si="10"/>
        <v>Q3</v>
      </c>
      <c r="Z208" s="7">
        <f t="shared" si="11"/>
        <v>52.24</v>
      </c>
    </row>
    <row r="209" spans="1:26" x14ac:dyDescent="0.3">
      <c r="A209" s="4" t="s">
        <v>1528</v>
      </c>
      <c r="B209" s="9" t="s">
        <v>1529</v>
      </c>
      <c r="C209" s="4" t="s">
        <v>1530</v>
      </c>
      <c r="D209" s="4" t="s">
        <v>1531</v>
      </c>
      <c r="E209" s="4" t="s">
        <v>1532</v>
      </c>
      <c r="F209" s="4" t="s">
        <v>1533</v>
      </c>
      <c r="G209" s="4" t="s">
        <v>87</v>
      </c>
      <c r="H209" s="4" t="s">
        <v>88</v>
      </c>
      <c r="I209" s="4" t="s">
        <v>31</v>
      </c>
      <c r="J209" s="4" t="s">
        <v>1534</v>
      </c>
      <c r="K209" s="4" t="s">
        <v>77</v>
      </c>
      <c r="L209" s="4">
        <v>2</v>
      </c>
      <c r="M209" s="5">
        <v>54.98</v>
      </c>
      <c r="N209" s="4" t="s">
        <v>78</v>
      </c>
      <c r="O209" s="5">
        <v>5.5</v>
      </c>
      <c r="P209" s="5">
        <v>5.99</v>
      </c>
      <c r="Q209" s="5">
        <v>4.21</v>
      </c>
      <c r="R209" s="5">
        <v>59.68</v>
      </c>
      <c r="S209" s="4" t="s">
        <v>111</v>
      </c>
      <c r="T209" s="4" t="s">
        <v>99</v>
      </c>
      <c r="U209" s="4" t="s">
        <v>66</v>
      </c>
      <c r="V209" s="4" t="s">
        <v>1102</v>
      </c>
      <c r="W209" s="5">
        <v>0</v>
      </c>
      <c r="X209" t="str">
        <f t="shared" si="9"/>
        <v>September</v>
      </c>
      <c r="Y209" t="str">
        <f t="shared" si="10"/>
        <v>Q3</v>
      </c>
      <c r="Z209" s="7">
        <f t="shared" si="11"/>
        <v>49.48</v>
      </c>
    </row>
    <row r="210" spans="1:26" x14ac:dyDescent="0.3">
      <c r="A210" s="2" t="s">
        <v>1535</v>
      </c>
      <c r="B210" s="8" t="s">
        <v>806</v>
      </c>
      <c r="C210" s="2" t="s">
        <v>1536</v>
      </c>
      <c r="D210" s="2" t="s">
        <v>799</v>
      </c>
      <c r="E210" s="2" t="s">
        <v>1537</v>
      </c>
      <c r="F210" s="2" t="s">
        <v>1538</v>
      </c>
      <c r="G210" s="2" t="s">
        <v>59</v>
      </c>
      <c r="H210" s="2" t="s">
        <v>60</v>
      </c>
      <c r="I210" s="2" t="s">
        <v>31</v>
      </c>
      <c r="J210" s="2" t="s">
        <v>577</v>
      </c>
      <c r="K210" s="2" t="s">
        <v>364</v>
      </c>
      <c r="L210" s="2">
        <v>1</v>
      </c>
      <c r="M210" s="3">
        <v>19.989999999999998</v>
      </c>
      <c r="N210" s="2" t="s">
        <v>34</v>
      </c>
      <c r="O210" s="3">
        <v>0</v>
      </c>
      <c r="P210" s="3">
        <v>9.99</v>
      </c>
      <c r="Q210" s="3">
        <v>1.4</v>
      </c>
      <c r="R210" s="3">
        <v>31.38</v>
      </c>
      <c r="S210" s="2" t="s">
        <v>64</v>
      </c>
      <c r="T210" s="2" t="s">
        <v>173</v>
      </c>
      <c r="U210" s="2" t="s">
        <v>66</v>
      </c>
      <c r="V210" s="2" t="s">
        <v>1539</v>
      </c>
      <c r="W210" s="3">
        <v>0</v>
      </c>
      <c r="X210" t="str">
        <f t="shared" si="9"/>
        <v>March</v>
      </c>
      <c r="Y210" t="str">
        <f t="shared" si="10"/>
        <v>Q1</v>
      </c>
      <c r="Z210" s="7">
        <f t="shared" si="11"/>
        <v>19.989999999999998</v>
      </c>
    </row>
    <row r="211" spans="1:26" x14ac:dyDescent="0.3">
      <c r="A211" s="4" t="s">
        <v>1540</v>
      </c>
      <c r="B211" s="9" t="s">
        <v>633</v>
      </c>
      <c r="C211" s="4" t="s">
        <v>1541</v>
      </c>
      <c r="D211" s="4" t="s">
        <v>1542</v>
      </c>
      <c r="E211" s="4" t="s">
        <v>1543</v>
      </c>
      <c r="F211" s="4" t="s">
        <v>1544</v>
      </c>
      <c r="G211" s="4" t="s">
        <v>282</v>
      </c>
      <c r="H211" s="4" t="s">
        <v>88</v>
      </c>
      <c r="I211" s="4" t="s">
        <v>31</v>
      </c>
      <c r="J211" s="4" t="s">
        <v>1545</v>
      </c>
      <c r="K211" s="4" t="s">
        <v>209</v>
      </c>
      <c r="L211" s="4">
        <v>3</v>
      </c>
      <c r="M211" s="5">
        <v>135.96</v>
      </c>
      <c r="N211" s="4" t="s">
        <v>78</v>
      </c>
      <c r="O211" s="5">
        <v>13.6</v>
      </c>
      <c r="P211" s="5">
        <v>0</v>
      </c>
      <c r="Q211" s="5">
        <v>9.7899999999999991</v>
      </c>
      <c r="R211" s="5">
        <v>132.15</v>
      </c>
      <c r="S211" s="4" t="s">
        <v>123</v>
      </c>
      <c r="T211" s="4" t="s">
        <v>99</v>
      </c>
      <c r="U211" s="4" t="s">
        <v>66</v>
      </c>
      <c r="V211" s="4" t="s">
        <v>1546</v>
      </c>
      <c r="W211" s="5">
        <v>0</v>
      </c>
      <c r="X211" t="str">
        <f t="shared" si="9"/>
        <v>February</v>
      </c>
      <c r="Y211" t="str">
        <f t="shared" si="10"/>
        <v>Q1</v>
      </c>
      <c r="Z211" s="7">
        <f t="shared" si="11"/>
        <v>122.36000000000001</v>
      </c>
    </row>
    <row r="212" spans="1:26" x14ac:dyDescent="0.3">
      <c r="A212" s="2" t="s">
        <v>1547</v>
      </c>
      <c r="B212" s="8" t="s">
        <v>1548</v>
      </c>
      <c r="C212" s="2" t="s">
        <v>1549</v>
      </c>
      <c r="D212" s="2" t="s">
        <v>425</v>
      </c>
      <c r="E212" s="2" t="s">
        <v>1550</v>
      </c>
      <c r="F212" s="2" t="s">
        <v>1551</v>
      </c>
      <c r="G212" s="2" t="s">
        <v>802</v>
      </c>
      <c r="H212" s="2" t="s">
        <v>88</v>
      </c>
      <c r="I212" s="2" t="s">
        <v>31</v>
      </c>
      <c r="J212" s="2" t="s">
        <v>1552</v>
      </c>
      <c r="K212" s="2" t="s">
        <v>122</v>
      </c>
      <c r="L212" s="2">
        <v>2</v>
      </c>
      <c r="M212" s="3">
        <v>99.98</v>
      </c>
      <c r="N212" s="2" t="s">
        <v>152</v>
      </c>
      <c r="O212" s="3">
        <v>5</v>
      </c>
      <c r="P212" s="3">
        <v>0</v>
      </c>
      <c r="Q212" s="3">
        <v>7.6</v>
      </c>
      <c r="R212" s="3">
        <v>102.58</v>
      </c>
      <c r="S212" s="2" t="s">
        <v>111</v>
      </c>
      <c r="T212" s="2" t="s">
        <v>99</v>
      </c>
      <c r="U212" s="2" t="s">
        <v>51</v>
      </c>
      <c r="V212" s="2" t="s">
        <v>164</v>
      </c>
      <c r="W212" s="3">
        <v>0</v>
      </c>
      <c r="X212" t="str">
        <f t="shared" si="9"/>
        <v>February</v>
      </c>
      <c r="Y212" t="str">
        <f t="shared" si="10"/>
        <v>Q1</v>
      </c>
      <c r="Z212" s="7">
        <f t="shared" si="11"/>
        <v>94.98</v>
      </c>
    </row>
    <row r="213" spans="1:26" x14ac:dyDescent="0.3">
      <c r="A213" s="4" t="s">
        <v>1553</v>
      </c>
      <c r="B213" s="9" t="s">
        <v>311</v>
      </c>
      <c r="C213" s="4" t="s">
        <v>1554</v>
      </c>
      <c r="D213" s="4" t="s">
        <v>1555</v>
      </c>
      <c r="E213" s="4" t="s">
        <v>1556</v>
      </c>
      <c r="F213" s="4" t="s">
        <v>1557</v>
      </c>
      <c r="G213" s="4" t="s">
        <v>224</v>
      </c>
      <c r="H213" s="4" t="s">
        <v>225</v>
      </c>
      <c r="I213" s="4" t="s">
        <v>31</v>
      </c>
      <c r="J213" s="4" t="s">
        <v>1558</v>
      </c>
      <c r="K213" s="4" t="s">
        <v>48</v>
      </c>
      <c r="L213" s="4">
        <v>2</v>
      </c>
      <c r="M213" s="5">
        <v>117.98</v>
      </c>
      <c r="N213" s="4" t="s">
        <v>34</v>
      </c>
      <c r="O213" s="5">
        <v>0</v>
      </c>
      <c r="P213" s="5">
        <v>0</v>
      </c>
      <c r="Q213" s="5">
        <v>8.26</v>
      </c>
      <c r="R213" s="5">
        <v>126.24</v>
      </c>
      <c r="S213" s="4" t="s">
        <v>35</v>
      </c>
      <c r="T213" s="4" t="s">
        <v>65</v>
      </c>
      <c r="U213" s="4" t="s">
        <v>100</v>
      </c>
      <c r="V213" s="4"/>
      <c r="W213" s="5">
        <v>0</v>
      </c>
      <c r="X213" t="str">
        <f t="shared" si="9"/>
        <v>June</v>
      </c>
      <c r="Y213" t="str">
        <f t="shared" si="10"/>
        <v>Q2</v>
      </c>
      <c r="Z213" s="7">
        <f t="shared" si="11"/>
        <v>117.98</v>
      </c>
    </row>
    <row r="214" spans="1:26" x14ac:dyDescent="0.3">
      <c r="A214" s="2" t="s">
        <v>1559</v>
      </c>
      <c r="B214" s="8" t="s">
        <v>1560</v>
      </c>
      <c r="C214" s="2" t="s">
        <v>1561</v>
      </c>
      <c r="D214" s="2" t="s">
        <v>1562</v>
      </c>
      <c r="E214" s="2" t="s">
        <v>1563</v>
      </c>
      <c r="F214" s="2" t="s">
        <v>1564</v>
      </c>
      <c r="G214" s="2" t="s">
        <v>171</v>
      </c>
      <c r="H214" s="2" t="s">
        <v>88</v>
      </c>
      <c r="I214" s="2" t="s">
        <v>31</v>
      </c>
      <c r="J214" s="2" t="s">
        <v>1565</v>
      </c>
      <c r="K214" s="2" t="s">
        <v>62</v>
      </c>
      <c r="L214" s="2">
        <v>3</v>
      </c>
      <c r="M214" s="3">
        <v>339.95</v>
      </c>
      <c r="N214" s="2" t="s">
        <v>34</v>
      </c>
      <c r="O214" s="3">
        <v>0</v>
      </c>
      <c r="P214" s="3">
        <v>0</v>
      </c>
      <c r="Q214" s="3">
        <v>20.399999999999999</v>
      </c>
      <c r="R214" s="3">
        <v>360.35</v>
      </c>
      <c r="S214" s="2" t="s">
        <v>35</v>
      </c>
      <c r="T214" s="2" t="s">
        <v>99</v>
      </c>
      <c r="U214" s="2" t="s">
        <v>37</v>
      </c>
      <c r="V214" s="2" t="s">
        <v>1252</v>
      </c>
      <c r="W214" s="3">
        <v>360.35</v>
      </c>
      <c r="X214" t="str">
        <f t="shared" si="9"/>
        <v>December</v>
      </c>
      <c r="Y214" t="str">
        <f t="shared" si="10"/>
        <v>Q4</v>
      </c>
      <c r="Z214" s="7">
        <f t="shared" si="11"/>
        <v>339.95</v>
      </c>
    </row>
    <row r="215" spans="1:26" x14ac:dyDescent="0.3">
      <c r="A215" s="4" t="s">
        <v>1566</v>
      </c>
      <c r="B215" s="9" t="s">
        <v>1567</v>
      </c>
      <c r="C215" s="4" t="s">
        <v>1568</v>
      </c>
      <c r="D215" s="4" t="s">
        <v>1569</v>
      </c>
      <c r="E215" s="4" t="s">
        <v>1570</v>
      </c>
      <c r="F215" s="4" t="s">
        <v>1571</v>
      </c>
      <c r="G215" s="4" t="s">
        <v>640</v>
      </c>
      <c r="H215" s="4" t="s">
        <v>161</v>
      </c>
      <c r="I215" s="4" t="s">
        <v>31</v>
      </c>
      <c r="J215" s="4" t="s">
        <v>1572</v>
      </c>
      <c r="K215" s="4" t="s">
        <v>143</v>
      </c>
      <c r="L215" s="4">
        <v>2</v>
      </c>
      <c r="M215" s="5">
        <v>157.97999999999999</v>
      </c>
      <c r="N215" s="4" t="s">
        <v>34</v>
      </c>
      <c r="O215" s="5">
        <v>0</v>
      </c>
      <c r="P215" s="5">
        <v>0</v>
      </c>
      <c r="Q215" s="5">
        <v>14.22</v>
      </c>
      <c r="R215" s="5">
        <v>172.2</v>
      </c>
      <c r="S215" s="4" t="s">
        <v>111</v>
      </c>
      <c r="T215" s="4" t="s">
        <v>36</v>
      </c>
      <c r="U215" s="4" t="s">
        <v>66</v>
      </c>
      <c r="V215" s="4" t="s">
        <v>1573</v>
      </c>
      <c r="W215" s="5">
        <v>0</v>
      </c>
      <c r="X215" t="str">
        <f t="shared" si="9"/>
        <v>September</v>
      </c>
      <c r="Y215" t="str">
        <f t="shared" si="10"/>
        <v>Q3</v>
      </c>
      <c r="Z215" s="7">
        <f t="shared" si="11"/>
        <v>157.97999999999999</v>
      </c>
    </row>
    <row r="216" spans="1:26" x14ac:dyDescent="0.3">
      <c r="A216" s="2" t="s">
        <v>1574</v>
      </c>
      <c r="B216" s="8" t="s">
        <v>1575</v>
      </c>
      <c r="C216" s="2" t="s">
        <v>1576</v>
      </c>
      <c r="D216" s="2" t="s">
        <v>1577</v>
      </c>
      <c r="E216" s="2" t="s">
        <v>1578</v>
      </c>
      <c r="F216" s="2" t="s">
        <v>1579</v>
      </c>
      <c r="G216" s="2" t="s">
        <v>180</v>
      </c>
      <c r="H216" s="2" t="s">
        <v>181</v>
      </c>
      <c r="I216" s="2" t="s">
        <v>31</v>
      </c>
      <c r="J216" s="2" t="s">
        <v>371</v>
      </c>
      <c r="K216" s="2" t="s">
        <v>122</v>
      </c>
      <c r="L216" s="2">
        <v>1</v>
      </c>
      <c r="M216" s="3">
        <v>109.99</v>
      </c>
      <c r="N216" s="2" t="s">
        <v>34</v>
      </c>
      <c r="O216" s="3">
        <v>0</v>
      </c>
      <c r="P216" s="3">
        <v>0</v>
      </c>
      <c r="Q216" s="3">
        <v>9.9</v>
      </c>
      <c r="R216" s="3">
        <v>119.89</v>
      </c>
      <c r="S216" s="2" t="s">
        <v>64</v>
      </c>
      <c r="T216" s="2" t="s">
        <v>173</v>
      </c>
      <c r="U216" s="2" t="s">
        <v>66</v>
      </c>
      <c r="V216" s="2" t="s">
        <v>1580</v>
      </c>
      <c r="W216" s="3">
        <v>0</v>
      </c>
      <c r="X216" t="str">
        <f t="shared" si="9"/>
        <v>April</v>
      </c>
      <c r="Y216" t="str">
        <f t="shared" si="10"/>
        <v>Q2</v>
      </c>
      <c r="Z216" s="7">
        <f t="shared" si="11"/>
        <v>109.99</v>
      </c>
    </row>
    <row r="217" spans="1:26" x14ac:dyDescent="0.3">
      <c r="A217" s="4" t="s">
        <v>1581</v>
      </c>
      <c r="B217" s="9" t="s">
        <v>1582</v>
      </c>
      <c r="C217" s="4" t="s">
        <v>1583</v>
      </c>
      <c r="D217" s="4" t="s">
        <v>1584</v>
      </c>
      <c r="E217" s="4" t="s">
        <v>1585</v>
      </c>
      <c r="F217" s="4" t="s">
        <v>1586</v>
      </c>
      <c r="G217" s="4" t="s">
        <v>45</v>
      </c>
      <c r="H217" s="4" t="s">
        <v>46</v>
      </c>
      <c r="I217" s="4" t="s">
        <v>31</v>
      </c>
      <c r="J217" s="4" t="s">
        <v>1587</v>
      </c>
      <c r="K217" s="4" t="s">
        <v>209</v>
      </c>
      <c r="L217" s="4">
        <v>3</v>
      </c>
      <c r="M217" s="5">
        <v>174.97</v>
      </c>
      <c r="N217" s="4" t="s">
        <v>34</v>
      </c>
      <c r="O217" s="5">
        <v>0</v>
      </c>
      <c r="P217" s="5">
        <v>0</v>
      </c>
      <c r="Q217" s="5">
        <v>15.75</v>
      </c>
      <c r="R217" s="5">
        <v>190.72</v>
      </c>
      <c r="S217" s="4" t="s">
        <v>437</v>
      </c>
      <c r="T217" s="4" t="s">
        <v>36</v>
      </c>
      <c r="U217" s="4" t="s">
        <v>37</v>
      </c>
      <c r="V217" s="4" t="s">
        <v>877</v>
      </c>
      <c r="W217" s="5">
        <v>190.72</v>
      </c>
      <c r="X217" t="str">
        <f t="shared" si="9"/>
        <v>July</v>
      </c>
      <c r="Y217" t="str">
        <f t="shared" si="10"/>
        <v>Q3</v>
      </c>
      <c r="Z217" s="7">
        <f t="shared" si="11"/>
        <v>174.97</v>
      </c>
    </row>
    <row r="218" spans="1:26" x14ac:dyDescent="0.3">
      <c r="A218" s="2" t="s">
        <v>1588</v>
      </c>
      <c r="B218" s="8" t="s">
        <v>1589</v>
      </c>
      <c r="C218" s="2" t="s">
        <v>1590</v>
      </c>
      <c r="D218" s="2" t="s">
        <v>1591</v>
      </c>
      <c r="E218" s="2" t="s">
        <v>1592</v>
      </c>
      <c r="F218" s="2" t="s">
        <v>1593</v>
      </c>
      <c r="G218" s="2" t="s">
        <v>224</v>
      </c>
      <c r="H218" s="2" t="s">
        <v>225</v>
      </c>
      <c r="I218" s="2" t="s">
        <v>31</v>
      </c>
      <c r="J218" s="2" t="s">
        <v>1594</v>
      </c>
      <c r="K218" s="2" t="s">
        <v>110</v>
      </c>
      <c r="L218" s="2">
        <v>2</v>
      </c>
      <c r="M218" s="3">
        <v>175.97</v>
      </c>
      <c r="N218" s="2" t="s">
        <v>163</v>
      </c>
      <c r="O218" s="3">
        <v>35.19</v>
      </c>
      <c r="P218" s="3">
        <v>0</v>
      </c>
      <c r="Q218" s="3">
        <v>8.4499999999999993</v>
      </c>
      <c r="R218" s="3">
        <v>149.22999999999999</v>
      </c>
      <c r="S218" s="2" t="s">
        <v>35</v>
      </c>
      <c r="T218" s="2" t="s">
        <v>36</v>
      </c>
      <c r="U218" s="2" t="s">
        <v>66</v>
      </c>
      <c r="V218" s="2" t="s">
        <v>758</v>
      </c>
      <c r="W218" s="3">
        <v>0</v>
      </c>
      <c r="X218" t="str">
        <f t="shared" si="9"/>
        <v>May</v>
      </c>
      <c r="Y218" t="str">
        <f t="shared" si="10"/>
        <v>Q2</v>
      </c>
      <c r="Z218" s="7">
        <f t="shared" si="11"/>
        <v>140.78</v>
      </c>
    </row>
    <row r="219" spans="1:26" x14ac:dyDescent="0.3">
      <c r="A219" s="4" t="s">
        <v>1595</v>
      </c>
      <c r="B219" s="9" t="s">
        <v>1596</v>
      </c>
      <c r="C219" s="4" t="s">
        <v>1597</v>
      </c>
      <c r="D219" s="4" t="s">
        <v>1598</v>
      </c>
      <c r="E219" s="4" t="s">
        <v>1599</v>
      </c>
      <c r="F219" s="4" t="s">
        <v>1600</v>
      </c>
      <c r="G219" s="4" t="s">
        <v>394</v>
      </c>
      <c r="H219" s="4" t="s">
        <v>395</v>
      </c>
      <c r="I219" s="4" t="s">
        <v>31</v>
      </c>
      <c r="J219" s="4" t="s">
        <v>533</v>
      </c>
      <c r="K219" s="4" t="s">
        <v>209</v>
      </c>
      <c r="L219" s="4">
        <v>1</v>
      </c>
      <c r="M219" s="5">
        <v>239.98</v>
      </c>
      <c r="N219" s="4" t="s">
        <v>49</v>
      </c>
      <c r="O219" s="5">
        <v>36</v>
      </c>
      <c r="P219" s="5">
        <v>0</v>
      </c>
      <c r="Q219" s="5">
        <v>12.24</v>
      </c>
      <c r="R219" s="5">
        <v>216.22</v>
      </c>
      <c r="S219" s="4" t="s">
        <v>35</v>
      </c>
      <c r="T219" s="4" t="s">
        <v>99</v>
      </c>
      <c r="U219" s="4" t="s">
        <v>66</v>
      </c>
      <c r="V219" s="4" t="s">
        <v>804</v>
      </c>
      <c r="W219" s="5">
        <v>0</v>
      </c>
      <c r="X219" t="str">
        <f t="shared" si="9"/>
        <v>December</v>
      </c>
      <c r="Y219" t="str">
        <f t="shared" si="10"/>
        <v>Q4</v>
      </c>
      <c r="Z219" s="7">
        <f t="shared" si="11"/>
        <v>203.98</v>
      </c>
    </row>
    <row r="220" spans="1:26" x14ac:dyDescent="0.3">
      <c r="A220" s="2" t="s">
        <v>1601</v>
      </c>
      <c r="B220" s="8" t="s">
        <v>656</v>
      </c>
      <c r="C220" s="2" t="s">
        <v>1602</v>
      </c>
      <c r="D220" s="2" t="s">
        <v>1603</v>
      </c>
      <c r="E220" s="2" t="s">
        <v>1604</v>
      </c>
      <c r="F220" s="2" t="s">
        <v>1605</v>
      </c>
      <c r="G220" s="2" t="s">
        <v>347</v>
      </c>
      <c r="H220" s="2" t="s">
        <v>60</v>
      </c>
      <c r="I220" s="2" t="s">
        <v>31</v>
      </c>
      <c r="J220" s="2" t="s">
        <v>1606</v>
      </c>
      <c r="K220" s="2" t="s">
        <v>110</v>
      </c>
      <c r="L220" s="2">
        <v>3</v>
      </c>
      <c r="M220" s="3">
        <v>154.96</v>
      </c>
      <c r="N220" s="2" t="s">
        <v>63</v>
      </c>
      <c r="O220" s="3">
        <v>38.74</v>
      </c>
      <c r="P220" s="3">
        <v>0</v>
      </c>
      <c r="Q220" s="3">
        <v>8.14</v>
      </c>
      <c r="R220" s="3">
        <v>124.36</v>
      </c>
      <c r="S220" s="2" t="s">
        <v>437</v>
      </c>
      <c r="T220" s="2" t="s">
        <v>99</v>
      </c>
      <c r="U220" s="2" t="s">
        <v>66</v>
      </c>
      <c r="V220" s="2" t="s">
        <v>917</v>
      </c>
      <c r="W220" s="3">
        <v>0</v>
      </c>
      <c r="X220" t="str">
        <f t="shared" si="9"/>
        <v>September</v>
      </c>
      <c r="Y220" t="str">
        <f t="shared" si="10"/>
        <v>Q3</v>
      </c>
      <c r="Z220" s="7">
        <f t="shared" si="11"/>
        <v>116.22</v>
      </c>
    </row>
    <row r="221" spans="1:26" x14ac:dyDescent="0.3">
      <c r="A221" s="4" t="s">
        <v>1607</v>
      </c>
      <c r="B221" s="9" t="s">
        <v>570</v>
      </c>
      <c r="C221" s="4" t="s">
        <v>1608</v>
      </c>
      <c r="D221" s="4" t="s">
        <v>1609</v>
      </c>
      <c r="E221" s="4" t="s">
        <v>1610</v>
      </c>
      <c r="F221" s="4" t="s">
        <v>1611</v>
      </c>
      <c r="G221" s="4" t="s">
        <v>692</v>
      </c>
      <c r="H221" s="4" t="s">
        <v>693</v>
      </c>
      <c r="I221" s="4" t="s">
        <v>31</v>
      </c>
      <c r="J221" s="4" t="s">
        <v>1054</v>
      </c>
      <c r="K221" s="4" t="s">
        <v>364</v>
      </c>
      <c r="L221" s="4">
        <v>1</v>
      </c>
      <c r="M221" s="5">
        <v>44.99</v>
      </c>
      <c r="N221" s="4" t="s">
        <v>152</v>
      </c>
      <c r="O221" s="5">
        <v>2.25</v>
      </c>
      <c r="P221" s="5">
        <v>7.99</v>
      </c>
      <c r="Q221" s="5">
        <v>3.85</v>
      </c>
      <c r="R221" s="5">
        <v>54.58</v>
      </c>
      <c r="S221" s="4" t="s">
        <v>111</v>
      </c>
      <c r="T221" s="4" t="s">
        <v>173</v>
      </c>
      <c r="U221" s="4" t="s">
        <v>66</v>
      </c>
      <c r="V221" s="4" t="s">
        <v>1377</v>
      </c>
      <c r="W221" s="5">
        <v>0</v>
      </c>
      <c r="X221" t="str">
        <f t="shared" si="9"/>
        <v>November</v>
      </c>
      <c r="Y221" t="str">
        <f t="shared" si="10"/>
        <v>Q4</v>
      </c>
      <c r="Z221" s="7">
        <f t="shared" si="11"/>
        <v>42.74</v>
      </c>
    </row>
    <row r="222" spans="1:26" x14ac:dyDescent="0.3">
      <c r="A222" s="2" t="s">
        <v>1612</v>
      </c>
      <c r="B222" s="8" t="s">
        <v>877</v>
      </c>
      <c r="C222" s="2" t="s">
        <v>1613</v>
      </c>
      <c r="D222" s="2" t="s">
        <v>1614</v>
      </c>
      <c r="E222" s="2" t="s">
        <v>1615</v>
      </c>
      <c r="F222" s="2" t="s">
        <v>1616</v>
      </c>
      <c r="G222" s="2" t="s">
        <v>140</v>
      </c>
      <c r="H222" s="2" t="s">
        <v>141</v>
      </c>
      <c r="I222" s="2" t="s">
        <v>31</v>
      </c>
      <c r="J222" s="2" t="s">
        <v>1148</v>
      </c>
      <c r="K222" s="2" t="s">
        <v>33</v>
      </c>
      <c r="L222" s="2">
        <v>1</v>
      </c>
      <c r="M222" s="3">
        <v>18.989999999999998</v>
      </c>
      <c r="N222" s="2" t="s">
        <v>78</v>
      </c>
      <c r="O222" s="3">
        <v>1.9</v>
      </c>
      <c r="P222" s="3">
        <v>5.99</v>
      </c>
      <c r="Q222" s="3">
        <v>1.2</v>
      </c>
      <c r="R222" s="3">
        <v>24.28</v>
      </c>
      <c r="S222" s="2" t="s">
        <v>35</v>
      </c>
      <c r="T222" s="2" t="s">
        <v>144</v>
      </c>
      <c r="U222" s="2" t="s">
        <v>51</v>
      </c>
      <c r="V222" s="2" t="s">
        <v>593</v>
      </c>
      <c r="W222" s="3">
        <v>0</v>
      </c>
      <c r="X222" t="str">
        <f t="shared" si="9"/>
        <v>July</v>
      </c>
      <c r="Y222" t="str">
        <f t="shared" si="10"/>
        <v>Q3</v>
      </c>
      <c r="Z222" s="7">
        <f t="shared" si="11"/>
        <v>17.09</v>
      </c>
    </row>
    <row r="223" spans="1:26" x14ac:dyDescent="0.3">
      <c r="A223" s="4" t="s">
        <v>1617</v>
      </c>
      <c r="B223" s="9" t="s">
        <v>1618</v>
      </c>
      <c r="C223" s="4" t="s">
        <v>1619</v>
      </c>
      <c r="D223" s="4" t="s">
        <v>712</v>
      </c>
      <c r="E223" s="4" t="s">
        <v>1620</v>
      </c>
      <c r="F223" s="4" t="s">
        <v>1621</v>
      </c>
      <c r="G223" s="4" t="s">
        <v>692</v>
      </c>
      <c r="H223" s="4" t="s">
        <v>693</v>
      </c>
      <c r="I223" s="4" t="s">
        <v>31</v>
      </c>
      <c r="J223" s="4" t="s">
        <v>1622</v>
      </c>
      <c r="K223" s="4" t="s">
        <v>143</v>
      </c>
      <c r="L223" s="4">
        <v>3</v>
      </c>
      <c r="M223" s="5">
        <v>224.97</v>
      </c>
      <c r="N223" s="4" t="s">
        <v>63</v>
      </c>
      <c r="O223" s="5">
        <v>56.24</v>
      </c>
      <c r="P223" s="5">
        <v>0</v>
      </c>
      <c r="Q223" s="5">
        <v>13.5</v>
      </c>
      <c r="R223" s="5">
        <v>182.23</v>
      </c>
      <c r="S223" s="4" t="s">
        <v>111</v>
      </c>
      <c r="T223" s="4" t="s">
        <v>173</v>
      </c>
      <c r="U223" s="4" t="s">
        <v>66</v>
      </c>
      <c r="V223" s="4" t="s">
        <v>1623</v>
      </c>
      <c r="W223" s="5">
        <v>0</v>
      </c>
      <c r="X223" t="str">
        <f t="shared" si="9"/>
        <v>February</v>
      </c>
      <c r="Y223" t="str">
        <f t="shared" si="10"/>
        <v>Q1</v>
      </c>
      <c r="Z223" s="7">
        <f t="shared" si="11"/>
        <v>168.73</v>
      </c>
    </row>
    <row r="224" spans="1:26" x14ac:dyDescent="0.3">
      <c r="A224" s="2" t="s">
        <v>1624</v>
      </c>
      <c r="B224" s="8" t="s">
        <v>1625</v>
      </c>
      <c r="C224" s="2" t="s">
        <v>1626</v>
      </c>
      <c r="D224" s="2" t="s">
        <v>1627</v>
      </c>
      <c r="E224" s="2" t="s">
        <v>1628</v>
      </c>
      <c r="F224" s="2" t="s">
        <v>1629</v>
      </c>
      <c r="G224" s="2" t="s">
        <v>282</v>
      </c>
      <c r="H224" s="2" t="s">
        <v>88</v>
      </c>
      <c r="I224" s="2" t="s">
        <v>31</v>
      </c>
      <c r="J224" s="2" t="s">
        <v>1630</v>
      </c>
      <c r="K224" s="2" t="s">
        <v>77</v>
      </c>
      <c r="L224" s="2">
        <v>3</v>
      </c>
      <c r="M224" s="3">
        <v>304.95999999999998</v>
      </c>
      <c r="N224" s="2" t="s">
        <v>34</v>
      </c>
      <c r="O224" s="3">
        <v>0</v>
      </c>
      <c r="P224" s="3">
        <v>0</v>
      </c>
      <c r="Q224" s="3">
        <v>27.45</v>
      </c>
      <c r="R224" s="3">
        <v>332.41</v>
      </c>
      <c r="S224" s="2" t="s">
        <v>35</v>
      </c>
      <c r="T224" s="2" t="s">
        <v>183</v>
      </c>
      <c r="U224" s="2" t="s">
        <v>66</v>
      </c>
      <c r="V224" s="2" t="s">
        <v>1631</v>
      </c>
      <c r="W224" s="3">
        <v>0</v>
      </c>
      <c r="X224" t="str">
        <f t="shared" si="9"/>
        <v>October</v>
      </c>
      <c r="Y224" t="str">
        <f t="shared" si="10"/>
        <v>Q4</v>
      </c>
      <c r="Z224" s="7">
        <f t="shared" si="11"/>
        <v>304.95999999999998</v>
      </c>
    </row>
    <row r="225" spans="1:26" x14ac:dyDescent="0.3">
      <c r="A225" s="4" t="s">
        <v>1632</v>
      </c>
      <c r="B225" s="9" t="s">
        <v>1633</v>
      </c>
      <c r="C225" s="4" t="s">
        <v>1634</v>
      </c>
      <c r="D225" s="4" t="s">
        <v>1635</v>
      </c>
      <c r="E225" s="4" t="s">
        <v>1636</v>
      </c>
      <c r="F225" s="4" t="s">
        <v>1637</v>
      </c>
      <c r="G225" s="4" t="s">
        <v>160</v>
      </c>
      <c r="H225" s="4" t="s">
        <v>161</v>
      </c>
      <c r="I225" s="4" t="s">
        <v>31</v>
      </c>
      <c r="J225" s="4" t="s">
        <v>1638</v>
      </c>
      <c r="K225" s="4" t="s">
        <v>209</v>
      </c>
      <c r="L225" s="4">
        <v>2</v>
      </c>
      <c r="M225" s="5">
        <v>74.98</v>
      </c>
      <c r="N225" s="4" t="s">
        <v>78</v>
      </c>
      <c r="O225" s="5">
        <v>7.5</v>
      </c>
      <c r="P225" s="5">
        <v>4.99</v>
      </c>
      <c r="Q225" s="5">
        <v>4.05</v>
      </c>
      <c r="R225" s="5">
        <v>76.52</v>
      </c>
      <c r="S225" s="4" t="s">
        <v>332</v>
      </c>
      <c r="T225" s="4" t="s">
        <v>99</v>
      </c>
      <c r="U225" s="4" t="s">
        <v>100</v>
      </c>
      <c r="V225" s="4"/>
      <c r="W225" s="5">
        <v>0</v>
      </c>
      <c r="X225" t="str">
        <f t="shared" si="9"/>
        <v>April</v>
      </c>
      <c r="Y225" t="str">
        <f t="shared" si="10"/>
        <v>Q2</v>
      </c>
      <c r="Z225" s="7">
        <f t="shared" si="11"/>
        <v>67.48</v>
      </c>
    </row>
    <row r="226" spans="1:26" x14ac:dyDescent="0.3">
      <c r="A226" s="2" t="s">
        <v>1639</v>
      </c>
      <c r="B226" s="8" t="s">
        <v>1640</v>
      </c>
      <c r="C226" s="2" t="s">
        <v>1641</v>
      </c>
      <c r="D226" s="2" t="s">
        <v>1642</v>
      </c>
      <c r="E226" s="2" t="s">
        <v>1643</v>
      </c>
      <c r="F226" s="2" t="s">
        <v>1644</v>
      </c>
      <c r="G226" s="2" t="s">
        <v>29</v>
      </c>
      <c r="H226" s="2" t="s">
        <v>30</v>
      </c>
      <c r="I226" s="2" t="s">
        <v>31</v>
      </c>
      <c r="J226" s="2" t="s">
        <v>1645</v>
      </c>
      <c r="K226" s="2" t="s">
        <v>77</v>
      </c>
      <c r="L226" s="2">
        <v>5</v>
      </c>
      <c r="M226" s="3">
        <v>204.95</v>
      </c>
      <c r="N226" s="2" t="s">
        <v>63</v>
      </c>
      <c r="O226" s="3">
        <v>51.24</v>
      </c>
      <c r="P226" s="3">
        <v>0</v>
      </c>
      <c r="Q226" s="3">
        <v>12.3</v>
      </c>
      <c r="R226" s="3">
        <v>166.01</v>
      </c>
      <c r="S226" s="2" t="s">
        <v>35</v>
      </c>
      <c r="T226" s="2" t="s">
        <v>36</v>
      </c>
      <c r="U226" s="2" t="s">
        <v>66</v>
      </c>
      <c r="V226" s="2" t="s">
        <v>124</v>
      </c>
      <c r="W226" s="3">
        <v>0</v>
      </c>
      <c r="X226" t="str">
        <f t="shared" si="9"/>
        <v>October</v>
      </c>
      <c r="Y226" t="str">
        <f t="shared" si="10"/>
        <v>Q4</v>
      </c>
      <c r="Z226" s="7">
        <f t="shared" si="11"/>
        <v>153.70999999999998</v>
      </c>
    </row>
    <row r="227" spans="1:26" x14ac:dyDescent="0.3">
      <c r="A227" s="4" t="s">
        <v>1646</v>
      </c>
      <c r="B227" s="9" t="s">
        <v>210</v>
      </c>
      <c r="C227" s="4" t="s">
        <v>1647</v>
      </c>
      <c r="D227" s="4" t="s">
        <v>1648</v>
      </c>
      <c r="E227" s="4" t="s">
        <v>1649</v>
      </c>
      <c r="F227" s="4" t="s">
        <v>1650</v>
      </c>
      <c r="G227" s="4" t="s">
        <v>207</v>
      </c>
      <c r="H227" s="4" t="s">
        <v>141</v>
      </c>
      <c r="I227" s="4" t="s">
        <v>31</v>
      </c>
      <c r="J227" s="4" t="s">
        <v>1651</v>
      </c>
      <c r="K227" s="4" t="s">
        <v>33</v>
      </c>
      <c r="L227" s="4">
        <v>2</v>
      </c>
      <c r="M227" s="5">
        <v>84.98</v>
      </c>
      <c r="N227" s="4" t="s">
        <v>78</v>
      </c>
      <c r="O227" s="5">
        <v>8.5</v>
      </c>
      <c r="P227" s="5">
        <v>0</v>
      </c>
      <c r="Q227" s="5">
        <v>4.59</v>
      </c>
      <c r="R227" s="5">
        <v>81.069999999999993</v>
      </c>
      <c r="S227" s="4" t="s">
        <v>332</v>
      </c>
      <c r="T227" s="4" t="s">
        <v>99</v>
      </c>
      <c r="U227" s="4" t="s">
        <v>66</v>
      </c>
      <c r="V227" s="4" t="s">
        <v>1323</v>
      </c>
      <c r="W227" s="5">
        <v>0</v>
      </c>
      <c r="X227" t="str">
        <f t="shared" si="9"/>
        <v>August</v>
      </c>
      <c r="Y227" t="str">
        <f t="shared" si="10"/>
        <v>Q3</v>
      </c>
      <c r="Z227" s="7">
        <f t="shared" si="11"/>
        <v>76.48</v>
      </c>
    </row>
    <row r="228" spans="1:26" x14ac:dyDescent="0.3">
      <c r="A228" s="2" t="s">
        <v>1652</v>
      </c>
      <c r="B228" s="8" t="s">
        <v>1653</v>
      </c>
      <c r="C228" s="2" t="s">
        <v>1654</v>
      </c>
      <c r="D228" s="2" t="s">
        <v>1655</v>
      </c>
      <c r="E228" s="2" t="s">
        <v>1656</v>
      </c>
      <c r="F228" s="2" t="s">
        <v>1657</v>
      </c>
      <c r="G228" s="2" t="s">
        <v>428</v>
      </c>
      <c r="H228" s="2" t="s">
        <v>429</v>
      </c>
      <c r="I228" s="2" t="s">
        <v>31</v>
      </c>
      <c r="J228" s="2" t="s">
        <v>172</v>
      </c>
      <c r="K228" s="2" t="s">
        <v>122</v>
      </c>
      <c r="L228" s="2">
        <v>1</v>
      </c>
      <c r="M228" s="3">
        <v>69.989999999999995</v>
      </c>
      <c r="N228" s="2" t="s">
        <v>78</v>
      </c>
      <c r="O228" s="3">
        <v>7</v>
      </c>
      <c r="P228" s="3">
        <v>7.99</v>
      </c>
      <c r="Q228" s="3">
        <v>5.04</v>
      </c>
      <c r="R228" s="3">
        <v>76.02</v>
      </c>
      <c r="S228" s="2" t="s">
        <v>35</v>
      </c>
      <c r="T228" s="2" t="s">
        <v>144</v>
      </c>
      <c r="U228" s="2" t="s">
        <v>37</v>
      </c>
      <c r="V228" s="2" t="s">
        <v>1658</v>
      </c>
      <c r="W228" s="3">
        <v>76.02</v>
      </c>
      <c r="X228" t="str">
        <f t="shared" si="9"/>
        <v>May</v>
      </c>
      <c r="Y228" t="str">
        <f t="shared" si="10"/>
        <v>Q2</v>
      </c>
      <c r="Z228" s="7">
        <f t="shared" si="11"/>
        <v>62.989999999999995</v>
      </c>
    </row>
    <row r="229" spans="1:26" x14ac:dyDescent="0.3">
      <c r="A229" s="4" t="s">
        <v>1659</v>
      </c>
      <c r="B229" s="9" t="s">
        <v>202</v>
      </c>
      <c r="C229" s="4" t="s">
        <v>1660</v>
      </c>
      <c r="D229" s="4" t="s">
        <v>1661</v>
      </c>
      <c r="E229" s="4" t="s">
        <v>1662</v>
      </c>
      <c r="F229" s="4" t="s">
        <v>1663</v>
      </c>
      <c r="G229" s="4" t="s">
        <v>45</v>
      </c>
      <c r="H229" s="4" t="s">
        <v>46</v>
      </c>
      <c r="I229" s="4" t="s">
        <v>31</v>
      </c>
      <c r="J229" s="4" t="s">
        <v>283</v>
      </c>
      <c r="K229" s="4" t="s">
        <v>209</v>
      </c>
      <c r="L229" s="4">
        <v>1</v>
      </c>
      <c r="M229" s="5">
        <v>49.99</v>
      </c>
      <c r="N229" s="4" t="s">
        <v>78</v>
      </c>
      <c r="O229" s="5">
        <v>5</v>
      </c>
      <c r="P229" s="5">
        <v>9.99</v>
      </c>
      <c r="Q229" s="5">
        <v>2.7</v>
      </c>
      <c r="R229" s="5">
        <v>57.68</v>
      </c>
      <c r="S229" s="4" t="s">
        <v>123</v>
      </c>
      <c r="T229" s="4" t="s">
        <v>173</v>
      </c>
      <c r="U229" s="4" t="s">
        <v>66</v>
      </c>
      <c r="V229" s="4" t="s">
        <v>210</v>
      </c>
      <c r="W229" s="5">
        <v>0</v>
      </c>
      <c r="X229" t="str">
        <f t="shared" si="9"/>
        <v>August</v>
      </c>
      <c r="Y229" t="str">
        <f t="shared" si="10"/>
        <v>Q3</v>
      </c>
      <c r="Z229" s="7">
        <f t="shared" si="11"/>
        <v>44.99</v>
      </c>
    </row>
    <row r="230" spans="1:26" x14ac:dyDescent="0.3">
      <c r="A230" s="2" t="s">
        <v>1664</v>
      </c>
      <c r="B230" s="8" t="s">
        <v>1596</v>
      </c>
      <c r="C230" s="2" t="s">
        <v>1665</v>
      </c>
      <c r="D230" s="2" t="s">
        <v>1666</v>
      </c>
      <c r="E230" s="2" t="s">
        <v>1667</v>
      </c>
      <c r="F230" s="2" t="s">
        <v>1668</v>
      </c>
      <c r="G230" s="2" t="s">
        <v>45</v>
      </c>
      <c r="H230" s="2" t="s">
        <v>46</v>
      </c>
      <c r="I230" s="2" t="s">
        <v>31</v>
      </c>
      <c r="J230" s="2" t="s">
        <v>1669</v>
      </c>
      <c r="K230" s="2" t="s">
        <v>77</v>
      </c>
      <c r="L230" s="2">
        <v>2</v>
      </c>
      <c r="M230" s="3">
        <v>104.98</v>
      </c>
      <c r="N230" s="2" t="s">
        <v>63</v>
      </c>
      <c r="O230" s="3">
        <v>26.24</v>
      </c>
      <c r="P230" s="3">
        <v>0</v>
      </c>
      <c r="Q230" s="3">
        <v>7.09</v>
      </c>
      <c r="R230" s="3">
        <v>85.83</v>
      </c>
      <c r="S230" s="2" t="s">
        <v>35</v>
      </c>
      <c r="T230" s="2" t="s">
        <v>99</v>
      </c>
      <c r="U230" s="2" t="s">
        <v>66</v>
      </c>
      <c r="V230" s="2" t="s">
        <v>804</v>
      </c>
      <c r="W230" s="3">
        <v>0</v>
      </c>
      <c r="X230" t="str">
        <f t="shared" si="9"/>
        <v>December</v>
      </c>
      <c r="Y230" t="str">
        <f t="shared" si="10"/>
        <v>Q4</v>
      </c>
      <c r="Z230" s="7">
        <f t="shared" si="11"/>
        <v>78.740000000000009</v>
      </c>
    </row>
    <row r="231" spans="1:26" x14ac:dyDescent="0.3">
      <c r="A231" s="4" t="s">
        <v>1670</v>
      </c>
      <c r="B231" s="9" t="s">
        <v>1671</v>
      </c>
      <c r="C231" s="4" t="s">
        <v>1672</v>
      </c>
      <c r="D231" s="4" t="s">
        <v>1673</v>
      </c>
      <c r="E231" s="4" t="s">
        <v>1674</v>
      </c>
      <c r="F231" s="4" t="s">
        <v>1675</v>
      </c>
      <c r="G231" s="4" t="s">
        <v>29</v>
      </c>
      <c r="H231" s="4" t="s">
        <v>30</v>
      </c>
      <c r="I231" s="4" t="s">
        <v>31</v>
      </c>
      <c r="J231" s="4" t="s">
        <v>1676</v>
      </c>
      <c r="K231" s="4" t="s">
        <v>209</v>
      </c>
      <c r="L231" s="4">
        <v>2</v>
      </c>
      <c r="M231" s="5">
        <v>79.98</v>
      </c>
      <c r="N231" s="4" t="s">
        <v>78</v>
      </c>
      <c r="O231" s="5">
        <v>8</v>
      </c>
      <c r="P231" s="5">
        <v>0</v>
      </c>
      <c r="Q231" s="5">
        <v>6.48</v>
      </c>
      <c r="R231" s="5">
        <v>78.459999999999994</v>
      </c>
      <c r="S231" s="4" t="s">
        <v>35</v>
      </c>
      <c r="T231" s="4" t="s">
        <v>183</v>
      </c>
      <c r="U231" s="4" t="s">
        <v>66</v>
      </c>
      <c r="V231" s="4" t="s">
        <v>851</v>
      </c>
      <c r="W231" s="5">
        <v>0</v>
      </c>
      <c r="X231" t="str">
        <f t="shared" si="9"/>
        <v>June</v>
      </c>
      <c r="Y231" t="str">
        <f t="shared" si="10"/>
        <v>Q2</v>
      </c>
      <c r="Z231" s="7">
        <f t="shared" si="11"/>
        <v>71.98</v>
      </c>
    </row>
    <row r="232" spans="1:26" x14ac:dyDescent="0.3">
      <c r="A232" s="2" t="s">
        <v>1677</v>
      </c>
      <c r="B232" s="8" t="s">
        <v>1527</v>
      </c>
      <c r="C232" s="2" t="s">
        <v>1678</v>
      </c>
      <c r="D232" s="2" t="s">
        <v>1679</v>
      </c>
      <c r="E232" s="2" t="s">
        <v>1680</v>
      </c>
      <c r="F232" s="2" t="s">
        <v>1681</v>
      </c>
      <c r="G232" s="2" t="s">
        <v>251</v>
      </c>
      <c r="H232" s="2" t="s">
        <v>252</v>
      </c>
      <c r="I232" s="2" t="s">
        <v>31</v>
      </c>
      <c r="J232" s="2" t="s">
        <v>1682</v>
      </c>
      <c r="K232" s="2" t="s">
        <v>209</v>
      </c>
      <c r="L232" s="2">
        <v>2</v>
      </c>
      <c r="M232" s="3">
        <v>94.97</v>
      </c>
      <c r="N232" s="2" t="s">
        <v>34</v>
      </c>
      <c r="O232" s="3">
        <v>0</v>
      </c>
      <c r="P232" s="3">
        <v>0</v>
      </c>
      <c r="Q232" s="3">
        <v>7.6</v>
      </c>
      <c r="R232" s="3">
        <v>102.57</v>
      </c>
      <c r="S232" s="2" t="s">
        <v>79</v>
      </c>
      <c r="T232" s="2" t="s">
        <v>99</v>
      </c>
      <c r="U232" s="2" t="s">
        <v>66</v>
      </c>
      <c r="V232" s="2" t="s">
        <v>1683</v>
      </c>
      <c r="W232" s="3">
        <v>0</v>
      </c>
      <c r="X232" t="str">
        <f t="shared" si="9"/>
        <v>September</v>
      </c>
      <c r="Y232" t="str">
        <f t="shared" si="10"/>
        <v>Q3</v>
      </c>
      <c r="Z232" s="7">
        <f t="shared" si="11"/>
        <v>94.97</v>
      </c>
    </row>
    <row r="233" spans="1:26" x14ac:dyDescent="0.3">
      <c r="A233" s="4" t="s">
        <v>1684</v>
      </c>
      <c r="B233" s="9" t="s">
        <v>212</v>
      </c>
      <c r="C233" s="4" t="s">
        <v>1685</v>
      </c>
      <c r="D233" s="4" t="s">
        <v>1686</v>
      </c>
      <c r="E233" s="4" t="s">
        <v>1687</v>
      </c>
      <c r="F233" s="4" t="s">
        <v>1688</v>
      </c>
      <c r="G233" s="4" t="s">
        <v>224</v>
      </c>
      <c r="H233" s="4" t="s">
        <v>225</v>
      </c>
      <c r="I233" s="4" t="s">
        <v>31</v>
      </c>
      <c r="J233" s="4" t="s">
        <v>1689</v>
      </c>
      <c r="K233" s="4" t="s">
        <v>209</v>
      </c>
      <c r="L233" s="4">
        <v>2</v>
      </c>
      <c r="M233" s="5">
        <v>191.97</v>
      </c>
      <c r="N233" s="4" t="s">
        <v>63</v>
      </c>
      <c r="O233" s="5">
        <v>47.99</v>
      </c>
      <c r="P233" s="5">
        <v>0</v>
      </c>
      <c r="Q233" s="5">
        <v>11.52</v>
      </c>
      <c r="R233" s="5">
        <v>155.5</v>
      </c>
      <c r="S233" s="4" t="s">
        <v>437</v>
      </c>
      <c r="T233" s="4" t="s">
        <v>99</v>
      </c>
      <c r="U233" s="4" t="s">
        <v>51</v>
      </c>
      <c r="V233" s="4" t="s">
        <v>701</v>
      </c>
      <c r="W233" s="5">
        <v>0</v>
      </c>
      <c r="X233" t="str">
        <f t="shared" si="9"/>
        <v>March</v>
      </c>
      <c r="Y233" t="str">
        <f t="shared" si="10"/>
        <v>Q1</v>
      </c>
      <c r="Z233" s="7">
        <f t="shared" si="11"/>
        <v>143.97999999999999</v>
      </c>
    </row>
    <row r="234" spans="1:26" x14ac:dyDescent="0.3">
      <c r="A234" s="2" t="s">
        <v>1690</v>
      </c>
      <c r="B234" s="8" t="s">
        <v>680</v>
      </c>
      <c r="C234" s="2" t="s">
        <v>1691</v>
      </c>
      <c r="D234" s="2" t="s">
        <v>1692</v>
      </c>
      <c r="E234" s="2" t="s">
        <v>1693</v>
      </c>
      <c r="F234" s="2" t="s">
        <v>1694</v>
      </c>
      <c r="G234" s="2" t="s">
        <v>251</v>
      </c>
      <c r="H234" s="2" t="s">
        <v>252</v>
      </c>
      <c r="I234" s="2" t="s">
        <v>31</v>
      </c>
      <c r="J234" s="2" t="s">
        <v>1695</v>
      </c>
      <c r="K234" s="2" t="s">
        <v>33</v>
      </c>
      <c r="L234" s="2">
        <v>1</v>
      </c>
      <c r="M234" s="3">
        <v>71.98</v>
      </c>
      <c r="N234" s="2" t="s">
        <v>78</v>
      </c>
      <c r="O234" s="3">
        <v>7.2</v>
      </c>
      <c r="P234" s="3">
        <v>5.99</v>
      </c>
      <c r="Q234" s="3">
        <v>5.51</v>
      </c>
      <c r="R234" s="3">
        <v>76.28</v>
      </c>
      <c r="S234" s="2" t="s">
        <v>79</v>
      </c>
      <c r="T234" s="2" t="s">
        <v>65</v>
      </c>
      <c r="U234" s="2" t="s">
        <v>66</v>
      </c>
      <c r="V234" s="2" t="s">
        <v>1546</v>
      </c>
      <c r="W234" s="3">
        <v>0</v>
      </c>
      <c r="X234" t="str">
        <f t="shared" si="9"/>
        <v>February</v>
      </c>
      <c r="Y234" t="str">
        <f t="shared" si="10"/>
        <v>Q1</v>
      </c>
      <c r="Z234" s="7">
        <f t="shared" si="11"/>
        <v>64.78</v>
      </c>
    </row>
    <row r="235" spans="1:26" x14ac:dyDescent="0.3">
      <c r="A235" s="4" t="s">
        <v>1696</v>
      </c>
      <c r="B235" s="9" t="s">
        <v>1070</v>
      </c>
      <c r="C235" s="4" t="s">
        <v>1697</v>
      </c>
      <c r="D235" s="4" t="s">
        <v>1698</v>
      </c>
      <c r="E235" s="4" t="s">
        <v>1699</v>
      </c>
      <c r="F235" s="4" t="s">
        <v>1700</v>
      </c>
      <c r="G235" s="4" t="s">
        <v>403</v>
      </c>
      <c r="H235" s="4" t="s">
        <v>404</v>
      </c>
      <c r="I235" s="4" t="s">
        <v>31</v>
      </c>
      <c r="J235" s="4" t="s">
        <v>1701</v>
      </c>
      <c r="K235" s="4" t="s">
        <v>143</v>
      </c>
      <c r="L235" s="4">
        <v>3</v>
      </c>
      <c r="M235" s="5">
        <v>102.97</v>
      </c>
      <c r="N235" s="4" t="s">
        <v>34</v>
      </c>
      <c r="O235" s="5">
        <v>0</v>
      </c>
      <c r="P235" s="5">
        <v>0</v>
      </c>
      <c r="Q235" s="5">
        <v>7.21</v>
      </c>
      <c r="R235" s="5">
        <v>110.18</v>
      </c>
      <c r="S235" s="4" t="s">
        <v>64</v>
      </c>
      <c r="T235" s="4" t="s">
        <v>173</v>
      </c>
      <c r="U235" s="4" t="s">
        <v>51</v>
      </c>
      <c r="V235" s="4" t="s">
        <v>1271</v>
      </c>
      <c r="W235" s="5">
        <v>0</v>
      </c>
      <c r="X235" t="str">
        <f t="shared" si="9"/>
        <v>November</v>
      </c>
      <c r="Y235" t="str">
        <f t="shared" si="10"/>
        <v>Q4</v>
      </c>
      <c r="Z235" s="7">
        <f t="shared" si="11"/>
        <v>102.97</v>
      </c>
    </row>
    <row r="236" spans="1:26" x14ac:dyDescent="0.3">
      <c r="A236" s="2" t="s">
        <v>1702</v>
      </c>
      <c r="B236" s="8" t="s">
        <v>1703</v>
      </c>
      <c r="C236" s="2" t="s">
        <v>1704</v>
      </c>
      <c r="D236" s="2" t="s">
        <v>1132</v>
      </c>
      <c r="E236" s="2" t="s">
        <v>1705</v>
      </c>
      <c r="F236" s="2" t="s">
        <v>1706</v>
      </c>
      <c r="G236" s="2" t="s">
        <v>59</v>
      </c>
      <c r="H236" s="2" t="s">
        <v>60</v>
      </c>
      <c r="I236" s="2" t="s">
        <v>31</v>
      </c>
      <c r="J236" s="2" t="s">
        <v>632</v>
      </c>
      <c r="K236" s="2" t="s">
        <v>33</v>
      </c>
      <c r="L236" s="2">
        <v>1</v>
      </c>
      <c r="M236" s="3">
        <v>49.99</v>
      </c>
      <c r="N236" s="2" t="s">
        <v>152</v>
      </c>
      <c r="O236" s="3">
        <v>2.5</v>
      </c>
      <c r="P236" s="3">
        <v>5.99</v>
      </c>
      <c r="Q236" s="3">
        <v>4.2699999999999996</v>
      </c>
      <c r="R236" s="3">
        <v>57.75</v>
      </c>
      <c r="S236" s="2" t="s">
        <v>64</v>
      </c>
      <c r="T236" s="2" t="s">
        <v>183</v>
      </c>
      <c r="U236" s="2" t="s">
        <v>317</v>
      </c>
      <c r="V236" s="2"/>
      <c r="W236" s="3">
        <v>0</v>
      </c>
      <c r="X236" t="str">
        <f t="shared" si="9"/>
        <v>June</v>
      </c>
      <c r="Y236" t="str">
        <f t="shared" si="10"/>
        <v>Q2</v>
      </c>
      <c r="Z236" s="7">
        <f t="shared" si="11"/>
        <v>47.49</v>
      </c>
    </row>
    <row r="237" spans="1:26" x14ac:dyDescent="0.3">
      <c r="A237" s="4" t="s">
        <v>1707</v>
      </c>
      <c r="B237" s="9" t="s">
        <v>1658</v>
      </c>
      <c r="C237" s="4" t="s">
        <v>1708</v>
      </c>
      <c r="D237" s="4" t="s">
        <v>1709</v>
      </c>
      <c r="E237" s="4" t="s">
        <v>1710</v>
      </c>
      <c r="F237" s="4" t="s">
        <v>1711</v>
      </c>
      <c r="G237" s="4" t="s">
        <v>692</v>
      </c>
      <c r="H237" s="4" t="s">
        <v>693</v>
      </c>
      <c r="I237" s="4" t="s">
        <v>31</v>
      </c>
      <c r="J237" s="4" t="s">
        <v>387</v>
      </c>
      <c r="K237" s="4" t="s">
        <v>33</v>
      </c>
      <c r="L237" s="4">
        <v>1</v>
      </c>
      <c r="M237" s="5">
        <v>35.99</v>
      </c>
      <c r="N237" s="4" t="s">
        <v>163</v>
      </c>
      <c r="O237" s="5">
        <v>7.2</v>
      </c>
      <c r="P237" s="5">
        <v>9.99</v>
      </c>
      <c r="Q237" s="5">
        <v>2.4500000000000002</v>
      </c>
      <c r="R237" s="5">
        <v>41.23</v>
      </c>
      <c r="S237" s="4" t="s">
        <v>123</v>
      </c>
      <c r="T237" s="4" t="s">
        <v>99</v>
      </c>
      <c r="U237" s="4" t="s">
        <v>37</v>
      </c>
      <c r="V237" s="4" t="s">
        <v>952</v>
      </c>
      <c r="W237" s="5">
        <v>41.23</v>
      </c>
      <c r="X237" t="str">
        <f t="shared" si="9"/>
        <v>May</v>
      </c>
      <c r="Y237" t="str">
        <f t="shared" si="10"/>
        <v>Q2</v>
      </c>
      <c r="Z237" s="7">
        <f t="shared" si="11"/>
        <v>28.790000000000003</v>
      </c>
    </row>
    <row r="238" spans="1:26" x14ac:dyDescent="0.3">
      <c r="A238" s="2" t="s">
        <v>1712</v>
      </c>
      <c r="B238" s="8" t="s">
        <v>1713</v>
      </c>
      <c r="C238" s="2" t="s">
        <v>1714</v>
      </c>
      <c r="D238" s="2" t="s">
        <v>1715</v>
      </c>
      <c r="E238" s="2" t="s">
        <v>1716</v>
      </c>
      <c r="F238" s="2" t="s">
        <v>1717</v>
      </c>
      <c r="G238" s="2" t="s">
        <v>291</v>
      </c>
      <c r="H238" s="2" t="s">
        <v>292</v>
      </c>
      <c r="I238" s="2" t="s">
        <v>31</v>
      </c>
      <c r="J238" s="2" t="s">
        <v>1718</v>
      </c>
      <c r="K238" s="2" t="s">
        <v>209</v>
      </c>
      <c r="L238" s="2">
        <v>4</v>
      </c>
      <c r="M238" s="3">
        <v>245.94</v>
      </c>
      <c r="N238" s="2" t="s">
        <v>152</v>
      </c>
      <c r="O238" s="3">
        <v>12.3</v>
      </c>
      <c r="P238" s="3">
        <v>0</v>
      </c>
      <c r="Q238" s="3">
        <v>16.350000000000001</v>
      </c>
      <c r="R238" s="3">
        <v>249.99</v>
      </c>
      <c r="S238" s="2" t="s">
        <v>79</v>
      </c>
      <c r="T238" s="2" t="s">
        <v>36</v>
      </c>
      <c r="U238" s="2" t="s">
        <v>37</v>
      </c>
      <c r="V238" s="2" t="s">
        <v>1142</v>
      </c>
      <c r="W238" s="3">
        <v>249.99</v>
      </c>
      <c r="X238" t="str">
        <f t="shared" si="9"/>
        <v>October</v>
      </c>
      <c r="Y238" t="str">
        <f t="shared" si="10"/>
        <v>Q4</v>
      </c>
      <c r="Z238" s="7">
        <f t="shared" si="11"/>
        <v>233.64</v>
      </c>
    </row>
    <row r="239" spans="1:26" x14ac:dyDescent="0.3">
      <c r="A239" s="4" t="s">
        <v>1719</v>
      </c>
      <c r="B239" s="9" t="s">
        <v>155</v>
      </c>
      <c r="C239" s="4" t="s">
        <v>1720</v>
      </c>
      <c r="D239" s="4" t="s">
        <v>1721</v>
      </c>
      <c r="E239" s="4" t="s">
        <v>1722</v>
      </c>
      <c r="F239" s="4" t="s">
        <v>1723</v>
      </c>
      <c r="G239" s="4" t="s">
        <v>160</v>
      </c>
      <c r="H239" s="4" t="s">
        <v>161</v>
      </c>
      <c r="I239" s="4" t="s">
        <v>31</v>
      </c>
      <c r="J239" s="4" t="s">
        <v>1724</v>
      </c>
      <c r="K239" s="4" t="s">
        <v>143</v>
      </c>
      <c r="L239" s="4">
        <v>2</v>
      </c>
      <c r="M239" s="5">
        <v>109.98</v>
      </c>
      <c r="N239" s="4" t="s">
        <v>34</v>
      </c>
      <c r="O239" s="5">
        <v>0</v>
      </c>
      <c r="P239" s="5">
        <v>0</v>
      </c>
      <c r="Q239" s="5">
        <v>9.9</v>
      </c>
      <c r="R239" s="5">
        <v>119.88</v>
      </c>
      <c r="S239" s="4" t="s">
        <v>64</v>
      </c>
      <c r="T239" s="4" t="s">
        <v>144</v>
      </c>
      <c r="U239" s="4" t="s">
        <v>66</v>
      </c>
      <c r="V239" s="4" t="s">
        <v>164</v>
      </c>
      <c r="W239" s="5">
        <v>0</v>
      </c>
      <c r="X239" t="str">
        <f t="shared" si="9"/>
        <v>February</v>
      </c>
      <c r="Y239" t="str">
        <f t="shared" si="10"/>
        <v>Q1</v>
      </c>
      <c r="Z239" s="7">
        <f t="shared" si="11"/>
        <v>109.98</v>
      </c>
    </row>
    <row r="240" spans="1:26" x14ac:dyDescent="0.3">
      <c r="A240" s="2" t="s">
        <v>1725</v>
      </c>
      <c r="B240" s="8" t="s">
        <v>333</v>
      </c>
      <c r="C240" s="2" t="s">
        <v>1726</v>
      </c>
      <c r="D240" s="2" t="s">
        <v>1727</v>
      </c>
      <c r="E240" s="2" t="s">
        <v>1728</v>
      </c>
      <c r="F240" s="2" t="s">
        <v>1729</v>
      </c>
      <c r="G240" s="2" t="s">
        <v>1730</v>
      </c>
      <c r="H240" s="2" t="s">
        <v>161</v>
      </c>
      <c r="I240" s="2" t="s">
        <v>31</v>
      </c>
      <c r="J240" s="2" t="s">
        <v>283</v>
      </c>
      <c r="K240" s="2" t="s">
        <v>209</v>
      </c>
      <c r="L240" s="2">
        <v>1</v>
      </c>
      <c r="M240" s="3">
        <v>49.99</v>
      </c>
      <c r="N240" s="2" t="s">
        <v>63</v>
      </c>
      <c r="O240" s="3">
        <v>12.5</v>
      </c>
      <c r="P240" s="3">
        <v>7.99</v>
      </c>
      <c r="Q240" s="3">
        <v>3.19</v>
      </c>
      <c r="R240" s="3">
        <v>48.67</v>
      </c>
      <c r="S240" s="2" t="s">
        <v>123</v>
      </c>
      <c r="T240" s="2" t="s">
        <v>173</v>
      </c>
      <c r="U240" s="2" t="s">
        <v>66</v>
      </c>
      <c r="V240" s="2" t="s">
        <v>511</v>
      </c>
      <c r="W240" s="3">
        <v>0</v>
      </c>
      <c r="X240" t="str">
        <f t="shared" si="9"/>
        <v>April</v>
      </c>
      <c r="Y240" t="str">
        <f t="shared" si="10"/>
        <v>Q2</v>
      </c>
      <c r="Z240" s="7">
        <f t="shared" si="11"/>
        <v>37.49</v>
      </c>
    </row>
    <row r="241" spans="1:26" x14ac:dyDescent="0.3">
      <c r="A241" s="4" t="s">
        <v>1731</v>
      </c>
      <c r="B241" s="9" t="s">
        <v>1732</v>
      </c>
      <c r="C241" s="4" t="s">
        <v>1044</v>
      </c>
      <c r="D241" s="4" t="s">
        <v>1733</v>
      </c>
      <c r="E241" s="4" t="s">
        <v>1734</v>
      </c>
      <c r="F241" s="4" t="s">
        <v>1735</v>
      </c>
      <c r="G241" s="4" t="s">
        <v>224</v>
      </c>
      <c r="H241" s="4" t="s">
        <v>225</v>
      </c>
      <c r="I241" s="4" t="s">
        <v>31</v>
      </c>
      <c r="J241" s="4" t="s">
        <v>1736</v>
      </c>
      <c r="K241" s="4" t="s">
        <v>364</v>
      </c>
      <c r="L241" s="4">
        <v>2</v>
      </c>
      <c r="M241" s="5">
        <v>77.98</v>
      </c>
      <c r="N241" s="4" t="s">
        <v>34</v>
      </c>
      <c r="O241" s="5">
        <v>0</v>
      </c>
      <c r="P241" s="5">
        <v>0</v>
      </c>
      <c r="Q241" s="5">
        <v>7.02</v>
      </c>
      <c r="R241" s="5">
        <v>85</v>
      </c>
      <c r="S241" s="4" t="s">
        <v>35</v>
      </c>
      <c r="T241" s="4" t="s">
        <v>325</v>
      </c>
      <c r="U241" s="4" t="s">
        <v>66</v>
      </c>
      <c r="V241" s="4" t="s">
        <v>145</v>
      </c>
      <c r="W241" s="5">
        <v>0</v>
      </c>
      <c r="X241" t="str">
        <f t="shared" si="9"/>
        <v>July</v>
      </c>
      <c r="Y241" t="str">
        <f t="shared" si="10"/>
        <v>Q3</v>
      </c>
      <c r="Z241" s="7">
        <f t="shared" si="11"/>
        <v>77.98</v>
      </c>
    </row>
    <row r="242" spans="1:26" x14ac:dyDescent="0.3">
      <c r="A242" s="2" t="s">
        <v>1737</v>
      </c>
      <c r="B242" s="8" t="s">
        <v>1456</v>
      </c>
      <c r="C242" s="2" t="s">
        <v>1738</v>
      </c>
      <c r="D242" s="2" t="s">
        <v>1739</v>
      </c>
      <c r="E242" s="2" t="s">
        <v>1740</v>
      </c>
      <c r="F242" s="2" t="s">
        <v>1741</v>
      </c>
      <c r="G242" s="2" t="s">
        <v>291</v>
      </c>
      <c r="H242" s="2" t="s">
        <v>292</v>
      </c>
      <c r="I242" s="2" t="s">
        <v>31</v>
      </c>
      <c r="J242" s="2" t="s">
        <v>1141</v>
      </c>
      <c r="K242" s="2" t="s">
        <v>122</v>
      </c>
      <c r="L242" s="2">
        <v>1</v>
      </c>
      <c r="M242" s="3">
        <v>74.989999999999995</v>
      </c>
      <c r="N242" s="2" t="s">
        <v>63</v>
      </c>
      <c r="O242" s="3">
        <v>18.75</v>
      </c>
      <c r="P242" s="3">
        <v>7.99</v>
      </c>
      <c r="Q242" s="3">
        <v>3.94</v>
      </c>
      <c r="R242" s="3">
        <v>68.17</v>
      </c>
      <c r="S242" s="2" t="s">
        <v>35</v>
      </c>
      <c r="T242" s="2" t="s">
        <v>99</v>
      </c>
      <c r="U242" s="2" t="s">
        <v>66</v>
      </c>
      <c r="V242" s="2" t="s">
        <v>1742</v>
      </c>
      <c r="W242" s="3">
        <v>0</v>
      </c>
      <c r="X242" t="str">
        <f t="shared" si="9"/>
        <v>December</v>
      </c>
      <c r="Y242" t="str">
        <f t="shared" si="10"/>
        <v>Q4</v>
      </c>
      <c r="Z242" s="7">
        <f t="shared" si="11"/>
        <v>56.239999999999995</v>
      </c>
    </row>
    <row r="243" spans="1:26" x14ac:dyDescent="0.3">
      <c r="A243" s="4" t="s">
        <v>1743</v>
      </c>
      <c r="B243" s="9" t="s">
        <v>445</v>
      </c>
      <c r="C243" s="4" t="s">
        <v>1744</v>
      </c>
      <c r="D243" s="4" t="s">
        <v>1745</v>
      </c>
      <c r="E243" s="4" t="s">
        <v>1746</v>
      </c>
      <c r="F243" s="4" t="s">
        <v>1747</v>
      </c>
      <c r="G243" s="4" t="s">
        <v>282</v>
      </c>
      <c r="H243" s="4" t="s">
        <v>88</v>
      </c>
      <c r="I243" s="4" t="s">
        <v>31</v>
      </c>
      <c r="J243" s="4" t="s">
        <v>444</v>
      </c>
      <c r="K243" s="4" t="s">
        <v>48</v>
      </c>
      <c r="L243" s="4">
        <v>1</v>
      </c>
      <c r="M243" s="5">
        <v>64.989999999999995</v>
      </c>
      <c r="N243" s="4" t="s">
        <v>34</v>
      </c>
      <c r="O243" s="5">
        <v>0</v>
      </c>
      <c r="P243" s="5">
        <v>4.99</v>
      </c>
      <c r="Q243" s="5">
        <v>4.55</v>
      </c>
      <c r="R243" s="5">
        <v>74.53</v>
      </c>
      <c r="S243" s="4" t="s">
        <v>64</v>
      </c>
      <c r="T243" s="4" t="s">
        <v>99</v>
      </c>
      <c r="U243" s="4" t="s">
        <v>37</v>
      </c>
      <c r="V243" s="4" t="s">
        <v>1748</v>
      </c>
      <c r="W243" s="5">
        <v>74.53</v>
      </c>
      <c r="X243" t="str">
        <f t="shared" si="9"/>
        <v>August</v>
      </c>
      <c r="Y243" t="str">
        <f t="shared" si="10"/>
        <v>Q3</v>
      </c>
      <c r="Z243" s="7">
        <f t="shared" si="11"/>
        <v>64.989999999999995</v>
      </c>
    </row>
    <row r="244" spans="1:26" x14ac:dyDescent="0.3">
      <c r="A244" s="2" t="s">
        <v>1749</v>
      </c>
      <c r="B244" s="8" t="s">
        <v>92</v>
      </c>
      <c r="C244" s="2" t="s">
        <v>1750</v>
      </c>
      <c r="D244" s="2" t="s">
        <v>1751</v>
      </c>
      <c r="E244" s="2" t="s">
        <v>1752</v>
      </c>
      <c r="F244" s="2" t="s">
        <v>1753</v>
      </c>
      <c r="G244" s="2" t="s">
        <v>207</v>
      </c>
      <c r="H244" s="2" t="s">
        <v>141</v>
      </c>
      <c r="I244" s="2" t="s">
        <v>31</v>
      </c>
      <c r="J244" s="2" t="s">
        <v>1754</v>
      </c>
      <c r="K244" s="2" t="s">
        <v>62</v>
      </c>
      <c r="L244" s="2">
        <v>2</v>
      </c>
      <c r="M244" s="3">
        <v>131.96</v>
      </c>
      <c r="N244" s="2" t="s">
        <v>34</v>
      </c>
      <c r="O244" s="3">
        <v>0</v>
      </c>
      <c r="P244" s="3">
        <v>0</v>
      </c>
      <c r="Q244" s="3">
        <v>9.24</v>
      </c>
      <c r="R244" s="3">
        <v>141.19999999999999</v>
      </c>
      <c r="S244" s="2" t="s">
        <v>123</v>
      </c>
      <c r="T244" s="2" t="s">
        <v>325</v>
      </c>
      <c r="U244" s="2" t="s">
        <v>100</v>
      </c>
      <c r="V244" s="2"/>
      <c r="W244" s="3">
        <v>0</v>
      </c>
      <c r="X244" t="str">
        <f t="shared" si="9"/>
        <v>August</v>
      </c>
      <c r="Y244" t="str">
        <f t="shared" si="10"/>
        <v>Q3</v>
      </c>
      <c r="Z244" s="7">
        <f t="shared" si="11"/>
        <v>131.96</v>
      </c>
    </row>
    <row r="245" spans="1:26" x14ac:dyDescent="0.3">
      <c r="A245" s="4" t="s">
        <v>1755</v>
      </c>
      <c r="B245" s="9" t="s">
        <v>1567</v>
      </c>
      <c r="C245" s="4" t="s">
        <v>1756</v>
      </c>
      <c r="D245" s="4" t="s">
        <v>1757</v>
      </c>
      <c r="E245" s="4" t="s">
        <v>1758</v>
      </c>
      <c r="F245" s="4" t="s">
        <v>1759</v>
      </c>
      <c r="G245" s="4" t="s">
        <v>242</v>
      </c>
      <c r="H245" s="4" t="s">
        <v>243</v>
      </c>
      <c r="I245" s="4" t="s">
        <v>31</v>
      </c>
      <c r="J245" s="4" t="s">
        <v>1760</v>
      </c>
      <c r="K245" s="4" t="s">
        <v>122</v>
      </c>
      <c r="L245" s="4">
        <v>2</v>
      </c>
      <c r="M245" s="5">
        <v>182.96</v>
      </c>
      <c r="N245" s="4" t="s">
        <v>152</v>
      </c>
      <c r="O245" s="5">
        <v>9.15</v>
      </c>
      <c r="P245" s="5">
        <v>0</v>
      </c>
      <c r="Q245" s="5">
        <v>15.64</v>
      </c>
      <c r="R245" s="5">
        <v>189.45</v>
      </c>
      <c r="S245" s="4" t="s">
        <v>35</v>
      </c>
      <c r="T245" s="4" t="s">
        <v>99</v>
      </c>
      <c r="U245" s="4" t="s">
        <v>66</v>
      </c>
      <c r="V245" s="4" t="s">
        <v>1761</v>
      </c>
      <c r="W245" s="5">
        <v>0</v>
      </c>
      <c r="X245" t="str">
        <f t="shared" si="9"/>
        <v>September</v>
      </c>
      <c r="Y245" t="str">
        <f t="shared" si="10"/>
        <v>Q3</v>
      </c>
      <c r="Z245" s="7">
        <f t="shared" si="11"/>
        <v>173.81</v>
      </c>
    </row>
    <row r="246" spans="1:26" x14ac:dyDescent="0.3">
      <c r="A246" s="2" t="s">
        <v>1762</v>
      </c>
      <c r="B246" s="8" t="s">
        <v>1057</v>
      </c>
      <c r="C246" s="2" t="s">
        <v>1763</v>
      </c>
      <c r="D246" s="2" t="s">
        <v>1764</v>
      </c>
      <c r="E246" s="2" t="s">
        <v>1765</v>
      </c>
      <c r="F246" s="2" t="s">
        <v>1766</v>
      </c>
      <c r="G246" s="2" t="s">
        <v>224</v>
      </c>
      <c r="H246" s="2" t="s">
        <v>225</v>
      </c>
      <c r="I246" s="2" t="s">
        <v>31</v>
      </c>
      <c r="J246" s="2" t="s">
        <v>1767</v>
      </c>
      <c r="K246" s="2" t="s">
        <v>209</v>
      </c>
      <c r="L246" s="2">
        <v>2</v>
      </c>
      <c r="M246" s="3">
        <v>129.97</v>
      </c>
      <c r="N246" s="2" t="s">
        <v>34</v>
      </c>
      <c r="O246" s="3">
        <v>0</v>
      </c>
      <c r="P246" s="3">
        <v>0</v>
      </c>
      <c r="Q246" s="3">
        <v>7.8</v>
      </c>
      <c r="R246" s="3">
        <v>137.77000000000001</v>
      </c>
      <c r="S246" s="2" t="s">
        <v>123</v>
      </c>
      <c r="T246" s="2" t="s">
        <v>99</v>
      </c>
      <c r="U246" s="2" t="s">
        <v>37</v>
      </c>
      <c r="V246" s="2" t="s">
        <v>1063</v>
      </c>
      <c r="W246" s="3">
        <v>137.77000000000001</v>
      </c>
      <c r="X246" t="str">
        <f t="shared" si="9"/>
        <v>December</v>
      </c>
      <c r="Y246" t="str">
        <f t="shared" si="10"/>
        <v>Q4</v>
      </c>
      <c r="Z246" s="7">
        <f t="shared" si="11"/>
        <v>129.97</v>
      </c>
    </row>
    <row r="247" spans="1:26" x14ac:dyDescent="0.3">
      <c r="A247" s="4" t="s">
        <v>1768</v>
      </c>
      <c r="B247" s="9" t="s">
        <v>1207</v>
      </c>
      <c r="C247" s="4" t="s">
        <v>1769</v>
      </c>
      <c r="D247" s="4" t="s">
        <v>814</v>
      </c>
      <c r="E247" s="4" t="s">
        <v>1770</v>
      </c>
      <c r="F247" s="4" t="s">
        <v>1771</v>
      </c>
      <c r="G247" s="4" t="s">
        <v>394</v>
      </c>
      <c r="H247" s="4" t="s">
        <v>395</v>
      </c>
      <c r="I247" s="4" t="s">
        <v>31</v>
      </c>
      <c r="J247" s="4" t="s">
        <v>1772</v>
      </c>
      <c r="K247" s="4" t="s">
        <v>48</v>
      </c>
      <c r="L247" s="4">
        <v>3</v>
      </c>
      <c r="M247" s="5">
        <v>202.95</v>
      </c>
      <c r="N247" s="4" t="s">
        <v>152</v>
      </c>
      <c r="O247" s="5">
        <v>10.15</v>
      </c>
      <c r="P247" s="5">
        <v>0</v>
      </c>
      <c r="Q247" s="5">
        <v>11.57</v>
      </c>
      <c r="R247" s="5">
        <v>204.37</v>
      </c>
      <c r="S247" s="4" t="s">
        <v>123</v>
      </c>
      <c r="T247" s="4" t="s">
        <v>99</v>
      </c>
      <c r="U247" s="4" t="s">
        <v>66</v>
      </c>
      <c r="V247" s="4" t="s">
        <v>194</v>
      </c>
      <c r="W247" s="5">
        <v>0</v>
      </c>
      <c r="X247" t="str">
        <f t="shared" si="9"/>
        <v>December</v>
      </c>
      <c r="Y247" t="str">
        <f t="shared" si="10"/>
        <v>Q4</v>
      </c>
      <c r="Z247" s="7">
        <f t="shared" si="11"/>
        <v>192.79999999999998</v>
      </c>
    </row>
    <row r="248" spans="1:26" x14ac:dyDescent="0.3">
      <c r="A248" s="2" t="s">
        <v>1773</v>
      </c>
      <c r="B248" s="8" t="s">
        <v>1774</v>
      </c>
      <c r="C248" s="2" t="s">
        <v>1775</v>
      </c>
      <c r="D248" s="2" t="s">
        <v>1776</v>
      </c>
      <c r="E248" s="2" t="s">
        <v>1777</v>
      </c>
      <c r="F248" s="2" t="s">
        <v>1778</v>
      </c>
      <c r="G248" s="2" t="s">
        <v>1183</v>
      </c>
      <c r="H248" s="2" t="s">
        <v>88</v>
      </c>
      <c r="I248" s="2" t="s">
        <v>31</v>
      </c>
      <c r="J248" s="2" t="s">
        <v>1779</v>
      </c>
      <c r="K248" s="2" t="s">
        <v>143</v>
      </c>
      <c r="L248" s="2">
        <v>2</v>
      </c>
      <c r="M248" s="3">
        <v>169.98</v>
      </c>
      <c r="N248" s="2" t="s">
        <v>78</v>
      </c>
      <c r="O248" s="3">
        <v>17</v>
      </c>
      <c r="P248" s="3">
        <v>0</v>
      </c>
      <c r="Q248" s="3">
        <v>13</v>
      </c>
      <c r="R248" s="3">
        <v>165.98</v>
      </c>
      <c r="S248" s="2" t="s">
        <v>123</v>
      </c>
      <c r="T248" s="2" t="s">
        <v>99</v>
      </c>
      <c r="U248" s="2" t="s">
        <v>66</v>
      </c>
      <c r="V248" s="2" t="s">
        <v>439</v>
      </c>
      <c r="W248" s="3">
        <v>0</v>
      </c>
      <c r="X248" t="str">
        <f t="shared" si="9"/>
        <v>August</v>
      </c>
      <c r="Y248" t="str">
        <f t="shared" si="10"/>
        <v>Q3</v>
      </c>
      <c r="Z248" s="7">
        <f t="shared" si="11"/>
        <v>152.97999999999999</v>
      </c>
    </row>
    <row r="249" spans="1:26" x14ac:dyDescent="0.3">
      <c r="A249" s="4" t="s">
        <v>1780</v>
      </c>
      <c r="B249" s="9" t="s">
        <v>1781</v>
      </c>
      <c r="C249" s="4" t="s">
        <v>1782</v>
      </c>
      <c r="D249" s="4" t="s">
        <v>1783</v>
      </c>
      <c r="E249" s="4" t="s">
        <v>1784</v>
      </c>
      <c r="F249" s="4" t="s">
        <v>1785</v>
      </c>
      <c r="G249" s="4" t="s">
        <v>282</v>
      </c>
      <c r="H249" s="4" t="s">
        <v>88</v>
      </c>
      <c r="I249" s="4" t="s">
        <v>31</v>
      </c>
      <c r="J249" s="4" t="s">
        <v>1786</v>
      </c>
      <c r="K249" s="4" t="s">
        <v>122</v>
      </c>
      <c r="L249" s="4">
        <v>2</v>
      </c>
      <c r="M249" s="5">
        <v>102.98</v>
      </c>
      <c r="N249" s="4" t="s">
        <v>78</v>
      </c>
      <c r="O249" s="5">
        <v>10.3</v>
      </c>
      <c r="P249" s="5">
        <v>0</v>
      </c>
      <c r="Q249" s="5">
        <v>8.34</v>
      </c>
      <c r="R249" s="5">
        <v>101.02</v>
      </c>
      <c r="S249" s="4" t="s">
        <v>35</v>
      </c>
      <c r="T249" s="4" t="s">
        <v>144</v>
      </c>
      <c r="U249" s="4" t="s">
        <v>66</v>
      </c>
      <c r="V249" s="4" t="s">
        <v>1787</v>
      </c>
      <c r="W249" s="5">
        <v>0</v>
      </c>
      <c r="X249" t="str">
        <f t="shared" si="9"/>
        <v>October</v>
      </c>
      <c r="Y249" t="str">
        <f t="shared" si="10"/>
        <v>Q4</v>
      </c>
      <c r="Z249" s="7">
        <f t="shared" si="11"/>
        <v>92.68</v>
      </c>
    </row>
    <row r="250" spans="1:26" x14ac:dyDescent="0.3">
      <c r="A250" s="2" t="s">
        <v>1788</v>
      </c>
      <c r="B250" s="8" t="s">
        <v>758</v>
      </c>
      <c r="C250" s="2" t="s">
        <v>1789</v>
      </c>
      <c r="D250" s="2" t="s">
        <v>1790</v>
      </c>
      <c r="E250" s="2" t="s">
        <v>1791</v>
      </c>
      <c r="F250" s="2" t="s">
        <v>1792</v>
      </c>
      <c r="G250" s="2" t="s">
        <v>1183</v>
      </c>
      <c r="H250" s="2" t="s">
        <v>88</v>
      </c>
      <c r="I250" s="2" t="s">
        <v>31</v>
      </c>
      <c r="J250" s="2" t="s">
        <v>1793</v>
      </c>
      <c r="K250" s="2" t="s">
        <v>110</v>
      </c>
      <c r="L250" s="2">
        <v>3</v>
      </c>
      <c r="M250" s="3">
        <v>214.94</v>
      </c>
      <c r="N250" s="2" t="s">
        <v>34</v>
      </c>
      <c r="O250" s="3">
        <v>0</v>
      </c>
      <c r="P250" s="3">
        <v>0</v>
      </c>
      <c r="Q250" s="3">
        <v>12.9</v>
      </c>
      <c r="R250" s="3">
        <v>227.84</v>
      </c>
      <c r="S250" s="2" t="s">
        <v>332</v>
      </c>
      <c r="T250" s="2" t="s">
        <v>173</v>
      </c>
      <c r="U250" s="2" t="s">
        <v>317</v>
      </c>
      <c r="V250" s="2"/>
      <c r="W250" s="3">
        <v>0</v>
      </c>
      <c r="X250" t="str">
        <f t="shared" si="9"/>
        <v>May</v>
      </c>
      <c r="Y250" t="str">
        <f t="shared" si="10"/>
        <v>Q2</v>
      </c>
      <c r="Z250" s="7">
        <f t="shared" si="11"/>
        <v>214.94</v>
      </c>
    </row>
    <row r="251" spans="1:26" x14ac:dyDescent="0.3">
      <c r="A251" s="4" t="s">
        <v>1794</v>
      </c>
      <c r="B251" s="9" t="s">
        <v>513</v>
      </c>
      <c r="C251" s="4" t="s">
        <v>1795</v>
      </c>
      <c r="D251" s="4" t="s">
        <v>1796</v>
      </c>
      <c r="E251" s="4" t="s">
        <v>1797</v>
      </c>
      <c r="F251" s="4" t="s">
        <v>1798</v>
      </c>
      <c r="G251" s="4" t="s">
        <v>180</v>
      </c>
      <c r="H251" s="4" t="s">
        <v>181</v>
      </c>
      <c r="I251" s="4" t="s">
        <v>31</v>
      </c>
      <c r="J251" s="4" t="s">
        <v>1799</v>
      </c>
      <c r="K251" s="4" t="s">
        <v>364</v>
      </c>
      <c r="L251" s="4">
        <v>4</v>
      </c>
      <c r="M251" s="5">
        <v>306.93</v>
      </c>
      <c r="N251" s="4" t="s">
        <v>34</v>
      </c>
      <c r="O251" s="5">
        <v>0</v>
      </c>
      <c r="P251" s="5">
        <v>0</v>
      </c>
      <c r="Q251" s="5">
        <v>30.69</v>
      </c>
      <c r="R251" s="5">
        <v>337.62</v>
      </c>
      <c r="S251" s="4" t="s">
        <v>123</v>
      </c>
      <c r="T251" s="4" t="s">
        <v>99</v>
      </c>
      <c r="U251" s="4" t="s">
        <v>37</v>
      </c>
      <c r="V251" s="4" t="s">
        <v>482</v>
      </c>
      <c r="W251" s="5">
        <v>337.62</v>
      </c>
      <c r="X251" t="str">
        <f t="shared" si="9"/>
        <v>May</v>
      </c>
      <c r="Y251" t="str">
        <f t="shared" si="10"/>
        <v>Q2</v>
      </c>
      <c r="Z251" s="7">
        <f t="shared" si="11"/>
        <v>306.93</v>
      </c>
    </row>
    <row r="252" spans="1:26" x14ac:dyDescent="0.3">
      <c r="A252" s="2" t="s">
        <v>1800</v>
      </c>
      <c r="B252" s="8" t="s">
        <v>1683</v>
      </c>
      <c r="C252" s="2" t="s">
        <v>1801</v>
      </c>
      <c r="D252" s="2" t="s">
        <v>1802</v>
      </c>
      <c r="E252" s="2" t="s">
        <v>1803</v>
      </c>
      <c r="F252" s="2" t="s">
        <v>1804</v>
      </c>
      <c r="G252" s="2" t="s">
        <v>59</v>
      </c>
      <c r="H252" s="2" t="s">
        <v>60</v>
      </c>
      <c r="I252" s="2" t="s">
        <v>31</v>
      </c>
      <c r="J252" s="2" t="s">
        <v>1141</v>
      </c>
      <c r="K252" s="2" t="s">
        <v>122</v>
      </c>
      <c r="L252" s="2">
        <v>1</v>
      </c>
      <c r="M252" s="3">
        <v>74.989999999999995</v>
      </c>
      <c r="N252" s="2" t="s">
        <v>78</v>
      </c>
      <c r="O252" s="3">
        <v>7.5</v>
      </c>
      <c r="P252" s="3">
        <v>9.99</v>
      </c>
      <c r="Q252" s="3">
        <v>5.4</v>
      </c>
      <c r="R252" s="3">
        <v>82.88</v>
      </c>
      <c r="S252" s="2" t="s">
        <v>64</v>
      </c>
      <c r="T252" s="2" t="s">
        <v>173</v>
      </c>
      <c r="U252" s="2" t="s">
        <v>66</v>
      </c>
      <c r="V252" s="2" t="s">
        <v>1805</v>
      </c>
      <c r="W252" s="3">
        <v>0</v>
      </c>
      <c r="X252" t="str">
        <f t="shared" si="9"/>
        <v>September</v>
      </c>
      <c r="Y252" t="str">
        <f t="shared" si="10"/>
        <v>Q3</v>
      </c>
      <c r="Z252" s="7">
        <f t="shared" si="11"/>
        <v>67.489999999999995</v>
      </c>
    </row>
    <row r="253" spans="1:26" x14ac:dyDescent="0.3">
      <c r="A253" s="4" t="s">
        <v>1806</v>
      </c>
      <c r="B253" s="9" t="s">
        <v>1653</v>
      </c>
      <c r="C253" s="4" t="s">
        <v>1807</v>
      </c>
      <c r="D253" s="4" t="s">
        <v>1808</v>
      </c>
      <c r="E253" s="4" t="s">
        <v>1809</v>
      </c>
      <c r="F253" s="4" t="s">
        <v>1810</v>
      </c>
      <c r="G253" s="4" t="s">
        <v>190</v>
      </c>
      <c r="H253" s="4" t="s">
        <v>161</v>
      </c>
      <c r="I253" s="4" t="s">
        <v>31</v>
      </c>
      <c r="J253" s="4" t="s">
        <v>444</v>
      </c>
      <c r="K253" s="4" t="s">
        <v>48</v>
      </c>
      <c r="L253" s="4">
        <v>1</v>
      </c>
      <c r="M253" s="5">
        <v>64.989999999999995</v>
      </c>
      <c r="N253" s="4" t="s">
        <v>152</v>
      </c>
      <c r="O253" s="5">
        <v>3.25</v>
      </c>
      <c r="P253" s="5">
        <v>5.99</v>
      </c>
      <c r="Q253" s="5">
        <v>5.25</v>
      </c>
      <c r="R253" s="5">
        <v>72.98</v>
      </c>
      <c r="S253" s="4" t="s">
        <v>79</v>
      </c>
      <c r="T253" s="4" t="s">
        <v>36</v>
      </c>
      <c r="U253" s="4" t="s">
        <v>66</v>
      </c>
      <c r="V253" s="4" t="s">
        <v>891</v>
      </c>
      <c r="W253" s="5">
        <v>0</v>
      </c>
      <c r="X253" t="str">
        <f t="shared" si="9"/>
        <v>May</v>
      </c>
      <c r="Y253" t="str">
        <f t="shared" si="10"/>
        <v>Q2</v>
      </c>
      <c r="Z253" s="7">
        <f t="shared" si="11"/>
        <v>61.739999999999995</v>
      </c>
    </row>
    <row r="254" spans="1:26" x14ac:dyDescent="0.3">
      <c r="A254" s="2" t="s">
        <v>1811</v>
      </c>
      <c r="B254" s="8" t="s">
        <v>1490</v>
      </c>
      <c r="C254" s="2" t="s">
        <v>1812</v>
      </c>
      <c r="D254" s="2" t="s">
        <v>1813</v>
      </c>
      <c r="E254" s="2" t="s">
        <v>1814</v>
      </c>
      <c r="F254" s="2" t="s">
        <v>1815</v>
      </c>
      <c r="G254" s="2" t="s">
        <v>640</v>
      </c>
      <c r="H254" s="2" t="s">
        <v>161</v>
      </c>
      <c r="I254" s="2" t="s">
        <v>31</v>
      </c>
      <c r="J254" s="2" t="s">
        <v>1816</v>
      </c>
      <c r="K254" s="2" t="s">
        <v>122</v>
      </c>
      <c r="L254" s="2">
        <v>3</v>
      </c>
      <c r="M254" s="3">
        <v>304.95999999999998</v>
      </c>
      <c r="N254" s="2" t="s">
        <v>49</v>
      </c>
      <c r="O254" s="3">
        <v>45.74</v>
      </c>
      <c r="P254" s="3">
        <v>0</v>
      </c>
      <c r="Q254" s="3">
        <v>23.33</v>
      </c>
      <c r="R254" s="3">
        <v>282.55</v>
      </c>
      <c r="S254" s="2" t="s">
        <v>123</v>
      </c>
      <c r="T254" s="2" t="s">
        <v>99</v>
      </c>
      <c r="U254" s="2" t="s">
        <v>51</v>
      </c>
      <c r="V254" s="2" t="s">
        <v>1623</v>
      </c>
      <c r="W254" s="3">
        <v>0</v>
      </c>
      <c r="X254" t="str">
        <f t="shared" si="9"/>
        <v>February</v>
      </c>
      <c r="Y254" t="str">
        <f t="shared" si="10"/>
        <v>Q1</v>
      </c>
      <c r="Z254" s="7">
        <f t="shared" si="11"/>
        <v>259.21999999999997</v>
      </c>
    </row>
    <row r="255" spans="1:26" x14ac:dyDescent="0.3">
      <c r="A255" s="4" t="s">
        <v>1817</v>
      </c>
      <c r="B255" s="9" t="s">
        <v>294</v>
      </c>
      <c r="C255" s="4" t="s">
        <v>1818</v>
      </c>
      <c r="D255" s="4" t="s">
        <v>1819</v>
      </c>
      <c r="E255" s="4" t="s">
        <v>1820</v>
      </c>
      <c r="F255" s="4" t="s">
        <v>1821</v>
      </c>
      <c r="G255" s="4" t="s">
        <v>87</v>
      </c>
      <c r="H255" s="4" t="s">
        <v>88</v>
      </c>
      <c r="I255" s="4" t="s">
        <v>31</v>
      </c>
      <c r="J255" s="4" t="s">
        <v>1822</v>
      </c>
      <c r="K255" s="4" t="s">
        <v>33</v>
      </c>
      <c r="L255" s="4">
        <v>5</v>
      </c>
      <c r="M255" s="5">
        <v>239.94</v>
      </c>
      <c r="N255" s="4" t="s">
        <v>78</v>
      </c>
      <c r="O255" s="5">
        <v>23.99</v>
      </c>
      <c r="P255" s="5">
        <v>0</v>
      </c>
      <c r="Q255" s="5">
        <v>12.96</v>
      </c>
      <c r="R255" s="5">
        <v>228.91</v>
      </c>
      <c r="S255" s="4" t="s">
        <v>123</v>
      </c>
      <c r="T255" s="4" t="s">
        <v>144</v>
      </c>
      <c r="U255" s="4" t="s">
        <v>51</v>
      </c>
      <c r="V255" s="4" t="s">
        <v>1823</v>
      </c>
      <c r="W255" s="5">
        <v>0</v>
      </c>
      <c r="X255" t="str">
        <f t="shared" si="9"/>
        <v>November</v>
      </c>
      <c r="Y255" t="str">
        <f t="shared" si="10"/>
        <v>Q4</v>
      </c>
      <c r="Z255" s="7">
        <f t="shared" si="11"/>
        <v>215.95</v>
      </c>
    </row>
    <row r="256" spans="1:26" x14ac:dyDescent="0.3">
      <c r="A256" s="2" t="s">
        <v>1824</v>
      </c>
      <c r="B256" s="8" t="s">
        <v>1142</v>
      </c>
      <c r="C256" s="2" t="s">
        <v>1825</v>
      </c>
      <c r="D256" s="2" t="s">
        <v>840</v>
      </c>
      <c r="E256" s="2" t="s">
        <v>1826</v>
      </c>
      <c r="F256" s="2" t="s">
        <v>1827</v>
      </c>
      <c r="G256" s="2" t="s">
        <v>1183</v>
      </c>
      <c r="H256" s="2" t="s">
        <v>88</v>
      </c>
      <c r="I256" s="2" t="s">
        <v>31</v>
      </c>
      <c r="J256" s="2" t="s">
        <v>1828</v>
      </c>
      <c r="K256" s="2" t="s">
        <v>62</v>
      </c>
      <c r="L256" s="2">
        <v>2</v>
      </c>
      <c r="M256" s="3">
        <v>94.98</v>
      </c>
      <c r="N256" s="2" t="s">
        <v>34</v>
      </c>
      <c r="O256" s="3">
        <v>0</v>
      </c>
      <c r="P256" s="3">
        <v>0</v>
      </c>
      <c r="Q256" s="3">
        <v>7.6</v>
      </c>
      <c r="R256" s="3">
        <v>102.58</v>
      </c>
      <c r="S256" s="2" t="s">
        <v>35</v>
      </c>
      <c r="T256" s="2" t="s">
        <v>99</v>
      </c>
      <c r="U256" s="2" t="s">
        <v>66</v>
      </c>
      <c r="V256" s="2" t="s">
        <v>930</v>
      </c>
      <c r="W256" s="3">
        <v>0</v>
      </c>
      <c r="X256" t="str">
        <f t="shared" si="9"/>
        <v>October</v>
      </c>
      <c r="Y256" t="str">
        <f t="shared" si="10"/>
        <v>Q4</v>
      </c>
      <c r="Z256" s="7">
        <f t="shared" si="11"/>
        <v>94.98</v>
      </c>
    </row>
    <row r="257" spans="1:26" x14ac:dyDescent="0.3">
      <c r="A257" s="4" t="s">
        <v>1829</v>
      </c>
      <c r="B257" s="9" t="s">
        <v>1830</v>
      </c>
      <c r="C257" s="4" t="s">
        <v>1831</v>
      </c>
      <c r="D257" s="4" t="s">
        <v>1832</v>
      </c>
      <c r="E257" s="4" t="s">
        <v>1833</v>
      </c>
      <c r="F257" s="4" t="s">
        <v>1834</v>
      </c>
      <c r="G257" s="4" t="s">
        <v>282</v>
      </c>
      <c r="H257" s="4" t="s">
        <v>88</v>
      </c>
      <c r="I257" s="4" t="s">
        <v>31</v>
      </c>
      <c r="J257" s="4" t="s">
        <v>1835</v>
      </c>
      <c r="K257" s="4" t="s">
        <v>143</v>
      </c>
      <c r="L257" s="4">
        <v>3</v>
      </c>
      <c r="M257" s="5">
        <v>159.97</v>
      </c>
      <c r="N257" s="4" t="s">
        <v>152</v>
      </c>
      <c r="O257" s="5">
        <v>8</v>
      </c>
      <c r="P257" s="5">
        <v>0</v>
      </c>
      <c r="Q257" s="5">
        <v>12.16</v>
      </c>
      <c r="R257" s="5">
        <v>164.13</v>
      </c>
      <c r="S257" s="4" t="s">
        <v>123</v>
      </c>
      <c r="T257" s="4" t="s">
        <v>325</v>
      </c>
      <c r="U257" s="4" t="s">
        <v>37</v>
      </c>
      <c r="V257" s="4" t="s">
        <v>932</v>
      </c>
      <c r="W257" s="5">
        <v>164.13</v>
      </c>
      <c r="X257" t="str">
        <f t="shared" si="9"/>
        <v>January</v>
      </c>
      <c r="Y257" t="str">
        <f t="shared" si="10"/>
        <v>Q1</v>
      </c>
      <c r="Z257" s="7">
        <f t="shared" si="11"/>
        <v>151.97</v>
      </c>
    </row>
    <row r="258" spans="1:26" x14ac:dyDescent="0.3">
      <c r="A258" s="2" t="s">
        <v>1836</v>
      </c>
      <c r="B258" s="8" t="s">
        <v>185</v>
      </c>
      <c r="C258" s="2" t="s">
        <v>1837</v>
      </c>
      <c r="D258" s="2" t="s">
        <v>1838</v>
      </c>
      <c r="E258" s="2" t="s">
        <v>1839</v>
      </c>
      <c r="F258" s="2" t="s">
        <v>1840</v>
      </c>
      <c r="G258" s="2" t="s">
        <v>242</v>
      </c>
      <c r="H258" s="2" t="s">
        <v>243</v>
      </c>
      <c r="I258" s="2" t="s">
        <v>31</v>
      </c>
      <c r="J258" s="2" t="s">
        <v>1269</v>
      </c>
      <c r="K258" s="2" t="s">
        <v>77</v>
      </c>
      <c r="L258" s="2">
        <v>1</v>
      </c>
      <c r="M258" s="3">
        <v>27.99</v>
      </c>
      <c r="N258" s="2" t="s">
        <v>34</v>
      </c>
      <c r="O258" s="3">
        <v>0</v>
      </c>
      <c r="P258" s="3">
        <v>9.99</v>
      </c>
      <c r="Q258" s="3">
        <v>1.68</v>
      </c>
      <c r="R258" s="3">
        <v>39.659999999999997</v>
      </c>
      <c r="S258" s="2" t="s">
        <v>64</v>
      </c>
      <c r="T258" s="2" t="s">
        <v>173</v>
      </c>
      <c r="U258" s="2" t="s">
        <v>66</v>
      </c>
      <c r="V258" s="2" t="s">
        <v>1732</v>
      </c>
      <c r="W258" s="3">
        <v>0</v>
      </c>
      <c r="X258" t="str">
        <f t="shared" si="9"/>
        <v>July</v>
      </c>
      <c r="Y258" t="str">
        <f t="shared" si="10"/>
        <v>Q3</v>
      </c>
      <c r="Z258" s="7">
        <f t="shared" si="11"/>
        <v>27.99</v>
      </c>
    </row>
    <row r="259" spans="1:26" x14ac:dyDescent="0.3">
      <c r="A259" s="4" t="s">
        <v>1841</v>
      </c>
      <c r="B259" s="9" t="s">
        <v>135</v>
      </c>
      <c r="C259" s="4" t="s">
        <v>1842</v>
      </c>
      <c r="D259" s="4" t="s">
        <v>1843</v>
      </c>
      <c r="E259" s="4" t="s">
        <v>1844</v>
      </c>
      <c r="F259" s="4" t="s">
        <v>1845</v>
      </c>
      <c r="G259" s="4" t="s">
        <v>131</v>
      </c>
      <c r="H259" s="4" t="s">
        <v>88</v>
      </c>
      <c r="I259" s="4" t="s">
        <v>31</v>
      </c>
      <c r="J259" s="4" t="s">
        <v>371</v>
      </c>
      <c r="K259" s="4" t="s">
        <v>122</v>
      </c>
      <c r="L259" s="4">
        <v>1</v>
      </c>
      <c r="M259" s="5">
        <v>109.99</v>
      </c>
      <c r="N259" s="4" t="s">
        <v>152</v>
      </c>
      <c r="O259" s="5">
        <v>5.5</v>
      </c>
      <c r="P259" s="5">
        <v>0</v>
      </c>
      <c r="Q259" s="5">
        <v>8.36</v>
      </c>
      <c r="R259" s="5">
        <v>112.85</v>
      </c>
      <c r="S259" s="4" t="s">
        <v>123</v>
      </c>
      <c r="T259" s="4" t="s">
        <v>173</v>
      </c>
      <c r="U259" s="4" t="s">
        <v>66</v>
      </c>
      <c r="V259" s="4" t="s">
        <v>1846</v>
      </c>
      <c r="W259" s="5">
        <v>0</v>
      </c>
      <c r="X259" t="str">
        <f t="shared" ref="X259:X322" si="12">TEXT(B259,"MMMM")</f>
        <v>August</v>
      </c>
      <c r="Y259" t="str">
        <f t="shared" ref="Y259:Y322" si="13">IF(MONTH(B259)&lt;=3,"Q1",IF(MONTH(B259)&lt;=6,"Q2",IF(MONTH(B259)&lt;=9,"Q3","Q4")))</f>
        <v>Q3</v>
      </c>
      <c r="Z259" s="7">
        <f t="shared" ref="Z259:Z322" si="14">M259-O259</f>
        <v>104.49</v>
      </c>
    </row>
    <row r="260" spans="1:26" x14ac:dyDescent="0.3">
      <c r="A260" s="2" t="s">
        <v>1847</v>
      </c>
      <c r="B260" s="8" t="s">
        <v>1848</v>
      </c>
      <c r="C260" s="2" t="s">
        <v>1849</v>
      </c>
      <c r="D260" s="2" t="s">
        <v>1721</v>
      </c>
      <c r="E260" s="2" t="s">
        <v>1850</v>
      </c>
      <c r="F260" s="2" t="s">
        <v>1851</v>
      </c>
      <c r="G260" s="2" t="s">
        <v>87</v>
      </c>
      <c r="H260" s="2" t="s">
        <v>88</v>
      </c>
      <c r="I260" s="2" t="s">
        <v>31</v>
      </c>
      <c r="J260" s="2" t="s">
        <v>1852</v>
      </c>
      <c r="K260" s="2" t="s">
        <v>33</v>
      </c>
      <c r="L260" s="2">
        <v>5</v>
      </c>
      <c r="M260" s="3">
        <v>250.95</v>
      </c>
      <c r="N260" s="2" t="s">
        <v>34</v>
      </c>
      <c r="O260" s="3">
        <v>0</v>
      </c>
      <c r="P260" s="3">
        <v>0</v>
      </c>
      <c r="Q260" s="3">
        <v>21.33</v>
      </c>
      <c r="R260" s="3">
        <v>272.27999999999997</v>
      </c>
      <c r="S260" s="2" t="s">
        <v>332</v>
      </c>
      <c r="T260" s="2" t="s">
        <v>99</v>
      </c>
      <c r="U260" s="2" t="s">
        <v>100</v>
      </c>
      <c r="V260" s="2"/>
      <c r="W260" s="3">
        <v>0</v>
      </c>
      <c r="X260" t="str">
        <f t="shared" si="12"/>
        <v>February</v>
      </c>
      <c r="Y260" t="str">
        <f t="shared" si="13"/>
        <v>Q1</v>
      </c>
      <c r="Z260" s="7">
        <f t="shared" si="14"/>
        <v>250.95</v>
      </c>
    </row>
    <row r="261" spans="1:26" x14ac:dyDescent="0.3">
      <c r="A261" s="4" t="s">
        <v>1853</v>
      </c>
      <c r="B261" s="9" t="s">
        <v>92</v>
      </c>
      <c r="C261" s="4" t="s">
        <v>1854</v>
      </c>
      <c r="D261" s="4" t="s">
        <v>1855</v>
      </c>
      <c r="E261" s="4" t="s">
        <v>1856</v>
      </c>
      <c r="F261" s="4" t="s">
        <v>1857</v>
      </c>
      <c r="G261" s="4" t="s">
        <v>242</v>
      </c>
      <c r="H261" s="4" t="s">
        <v>243</v>
      </c>
      <c r="I261" s="4" t="s">
        <v>31</v>
      </c>
      <c r="J261" s="4" t="s">
        <v>1858</v>
      </c>
      <c r="K261" s="4" t="s">
        <v>209</v>
      </c>
      <c r="L261" s="4">
        <v>3</v>
      </c>
      <c r="M261" s="5">
        <v>174.96</v>
      </c>
      <c r="N261" s="4" t="s">
        <v>163</v>
      </c>
      <c r="O261" s="5">
        <v>34.99</v>
      </c>
      <c r="P261" s="5">
        <v>0</v>
      </c>
      <c r="Q261" s="5">
        <v>14</v>
      </c>
      <c r="R261" s="5">
        <v>153.97</v>
      </c>
      <c r="S261" s="4" t="s">
        <v>35</v>
      </c>
      <c r="T261" s="4" t="s">
        <v>144</v>
      </c>
      <c r="U261" s="4" t="s">
        <v>66</v>
      </c>
      <c r="V261" s="4" t="s">
        <v>1086</v>
      </c>
      <c r="W261" s="5">
        <v>0</v>
      </c>
      <c r="X261" t="str">
        <f t="shared" si="12"/>
        <v>August</v>
      </c>
      <c r="Y261" t="str">
        <f t="shared" si="13"/>
        <v>Q3</v>
      </c>
      <c r="Z261" s="7">
        <f t="shared" si="14"/>
        <v>139.97</v>
      </c>
    </row>
    <row r="262" spans="1:26" x14ac:dyDescent="0.3">
      <c r="A262" s="2" t="s">
        <v>1859</v>
      </c>
      <c r="B262" s="8" t="s">
        <v>1860</v>
      </c>
      <c r="C262" s="2" t="s">
        <v>1861</v>
      </c>
      <c r="D262" s="2" t="s">
        <v>731</v>
      </c>
      <c r="E262" s="2" t="s">
        <v>1862</v>
      </c>
      <c r="F262" s="2" t="s">
        <v>1863</v>
      </c>
      <c r="G262" s="2" t="s">
        <v>119</v>
      </c>
      <c r="H262" s="2" t="s">
        <v>120</v>
      </c>
      <c r="I262" s="2" t="s">
        <v>31</v>
      </c>
      <c r="J262" s="2" t="s">
        <v>1864</v>
      </c>
      <c r="K262" s="2" t="s">
        <v>122</v>
      </c>
      <c r="L262" s="2">
        <v>5</v>
      </c>
      <c r="M262" s="3">
        <v>487.92</v>
      </c>
      <c r="N262" s="2" t="s">
        <v>163</v>
      </c>
      <c r="O262" s="3">
        <v>97.58</v>
      </c>
      <c r="P262" s="3">
        <v>0</v>
      </c>
      <c r="Q262" s="3">
        <v>23.42</v>
      </c>
      <c r="R262" s="3">
        <v>413.76</v>
      </c>
      <c r="S262" s="2" t="s">
        <v>123</v>
      </c>
      <c r="T262" s="2" t="s">
        <v>99</v>
      </c>
      <c r="U262" s="2" t="s">
        <v>66</v>
      </c>
      <c r="V262" s="2" t="s">
        <v>1865</v>
      </c>
      <c r="W262" s="3">
        <v>0</v>
      </c>
      <c r="X262" t="str">
        <f t="shared" si="12"/>
        <v>September</v>
      </c>
      <c r="Y262" t="str">
        <f t="shared" si="13"/>
        <v>Q3</v>
      </c>
      <c r="Z262" s="7">
        <f t="shared" si="14"/>
        <v>390.34000000000003</v>
      </c>
    </row>
    <row r="263" spans="1:26" x14ac:dyDescent="0.3">
      <c r="A263" s="4" t="s">
        <v>1866</v>
      </c>
      <c r="B263" s="9" t="s">
        <v>1867</v>
      </c>
      <c r="C263" s="4" t="s">
        <v>1868</v>
      </c>
      <c r="D263" s="4" t="s">
        <v>1869</v>
      </c>
      <c r="E263" s="4" t="s">
        <v>1870</v>
      </c>
      <c r="F263" s="4" t="s">
        <v>1871</v>
      </c>
      <c r="G263" s="4" t="s">
        <v>676</v>
      </c>
      <c r="H263" s="4" t="s">
        <v>677</v>
      </c>
      <c r="I263" s="4" t="s">
        <v>31</v>
      </c>
      <c r="J263" s="4" t="s">
        <v>191</v>
      </c>
      <c r="K263" s="4" t="s">
        <v>77</v>
      </c>
      <c r="L263" s="4">
        <v>1</v>
      </c>
      <c r="M263" s="5">
        <v>24.99</v>
      </c>
      <c r="N263" s="4" t="s">
        <v>78</v>
      </c>
      <c r="O263" s="5">
        <v>2.5</v>
      </c>
      <c r="P263" s="5">
        <v>7.99</v>
      </c>
      <c r="Q263" s="5">
        <v>2.02</v>
      </c>
      <c r="R263" s="5">
        <v>32.5</v>
      </c>
      <c r="S263" s="4" t="s">
        <v>64</v>
      </c>
      <c r="T263" s="4" t="s">
        <v>99</v>
      </c>
      <c r="U263" s="4" t="s">
        <v>100</v>
      </c>
      <c r="V263" s="4"/>
      <c r="W263" s="5">
        <v>0</v>
      </c>
      <c r="X263" t="str">
        <f t="shared" si="12"/>
        <v>March</v>
      </c>
      <c r="Y263" t="str">
        <f t="shared" si="13"/>
        <v>Q1</v>
      </c>
      <c r="Z263" s="7">
        <f t="shared" si="14"/>
        <v>22.49</v>
      </c>
    </row>
    <row r="264" spans="1:26" x14ac:dyDescent="0.3">
      <c r="A264" s="2" t="s">
        <v>1872</v>
      </c>
      <c r="B264" s="8" t="s">
        <v>1873</v>
      </c>
      <c r="C264" s="2" t="s">
        <v>1874</v>
      </c>
      <c r="D264" s="2" t="s">
        <v>1875</v>
      </c>
      <c r="E264" s="2" t="s">
        <v>1876</v>
      </c>
      <c r="F264" s="2" t="s">
        <v>1877</v>
      </c>
      <c r="G264" s="2" t="s">
        <v>45</v>
      </c>
      <c r="H264" s="2" t="s">
        <v>46</v>
      </c>
      <c r="I264" s="2" t="s">
        <v>31</v>
      </c>
      <c r="J264" s="2" t="s">
        <v>387</v>
      </c>
      <c r="K264" s="2" t="s">
        <v>33</v>
      </c>
      <c r="L264" s="2">
        <v>1</v>
      </c>
      <c r="M264" s="3">
        <v>35.99</v>
      </c>
      <c r="N264" s="2" t="s">
        <v>78</v>
      </c>
      <c r="O264" s="3">
        <v>3.6</v>
      </c>
      <c r="P264" s="3">
        <v>4.99</v>
      </c>
      <c r="Q264" s="3">
        <v>2.27</v>
      </c>
      <c r="R264" s="3">
        <v>39.65</v>
      </c>
      <c r="S264" s="2" t="s">
        <v>35</v>
      </c>
      <c r="T264" s="2" t="s">
        <v>99</v>
      </c>
      <c r="U264" s="2" t="s">
        <v>66</v>
      </c>
      <c r="V264" s="2" t="s">
        <v>406</v>
      </c>
      <c r="W264" s="3">
        <v>0</v>
      </c>
      <c r="X264" t="str">
        <f t="shared" si="12"/>
        <v>November</v>
      </c>
      <c r="Y264" t="str">
        <f t="shared" si="13"/>
        <v>Q4</v>
      </c>
      <c r="Z264" s="7">
        <f t="shared" si="14"/>
        <v>32.39</v>
      </c>
    </row>
    <row r="265" spans="1:26" x14ac:dyDescent="0.3">
      <c r="A265" s="4" t="s">
        <v>1878</v>
      </c>
      <c r="B265" s="9" t="s">
        <v>649</v>
      </c>
      <c r="C265" s="4" t="s">
        <v>1879</v>
      </c>
      <c r="D265" s="4" t="s">
        <v>1880</v>
      </c>
      <c r="E265" s="4" t="s">
        <v>1881</v>
      </c>
      <c r="F265" s="4" t="s">
        <v>1882</v>
      </c>
      <c r="G265" s="4" t="s">
        <v>347</v>
      </c>
      <c r="H265" s="4" t="s">
        <v>60</v>
      </c>
      <c r="I265" s="4" t="s">
        <v>31</v>
      </c>
      <c r="J265" s="4" t="s">
        <v>1883</v>
      </c>
      <c r="K265" s="4" t="s">
        <v>110</v>
      </c>
      <c r="L265" s="4">
        <v>1</v>
      </c>
      <c r="M265" s="5">
        <v>98.97</v>
      </c>
      <c r="N265" s="4" t="s">
        <v>49</v>
      </c>
      <c r="O265" s="5">
        <v>14.85</v>
      </c>
      <c r="P265" s="5">
        <v>0</v>
      </c>
      <c r="Q265" s="5">
        <v>6.73</v>
      </c>
      <c r="R265" s="5">
        <v>90.85</v>
      </c>
      <c r="S265" s="4" t="s">
        <v>35</v>
      </c>
      <c r="T265" s="4" t="s">
        <v>144</v>
      </c>
      <c r="U265" s="4" t="s">
        <v>100</v>
      </c>
      <c r="V265" s="4"/>
      <c r="W265" s="5">
        <v>0</v>
      </c>
      <c r="X265" t="str">
        <f t="shared" si="12"/>
        <v>August</v>
      </c>
      <c r="Y265" t="str">
        <f t="shared" si="13"/>
        <v>Q3</v>
      </c>
      <c r="Z265" s="7">
        <f t="shared" si="14"/>
        <v>84.12</v>
      </c>
    </row>
    <row r="266" spans="1:26" x14ac:dyDescent="0.3">
      <c r="A266" s="2" t="s">
        <v>1884</v>
      </c>
      <c r="B266" s="8" t="s">
        <v>453</v>
      </c>
      <c r="C266" s="2" t="s">
        <v>1885</v>
      </c>
      <c r="D266" s="2" t="s">
        <v>1886</v>
      </c>
      <c r="E266" s="2" t="s">
        <v>1887</v>
      </c>
      <c r="F266" s="2" t="s">
        <v>1888</v>
      </c>
      <c r="G266" s="2" t="s">
        <v>251</v>
      </c>
      <c r="H266" s="2" t="s">
        <v>252</v>
      </c>
      <c r="I266" s="2" t="s">
        <v>31</v>
      </c>
      <c r="J266" s="2" t="s">
        <v>1889</v>
      </c>
      <c r="K266" s="2" t="s">
        <v>679</v>
      </c>
      <c r="L266" s="2">
        <v>3</v>
      </c>
      <c r="M266" s="3">
        <v>154.94999999999999</v>
      </c>
      <c r="N266" s="2" t="s">
        <v>63</v>
      </c>
      <c r="O266" s="3">
        <v>38.74</v>
      </c>
      <c r="P266" s="3">
        <v>0</v>
      </c>
      <c r="Q266" s="3">
        <v>8.1300000000000008</v>
      </c>
      <c r="R266" s="3">
        <v>124.34</v>
      </c>
      <c r="S266" s="2" t="s">
        <v>64</v>
      </c>
      <c r="T266" s="2" t="s">
        <v>173</v>
      </c>
      <c r="U266" s="2" t="s">
        <v>317</v>
      </c>
      <c r="V266" s="2"/>
      <c r="W266" s="3">
        <v>0</v>
      </c>
      <c r="X266" t="str">
        <f t="shared" si="12"/>
        <v>May</v>
      </c>
      <c r="Y266" t="str">
        <f t="shared" si="13"/>
        <v>Q2</v>
      </c>
      <c r="Z266" s="7">
        <f t="shared" si="14"/>
        <v>116.20999999999998</v>
      </c>
    </row>
    <row r="267" spans="1:26" x14ac:dyDescent="0.3">
      <c r="A267" s="4" t="s">
        <v>1890</v>
      </c>
      <c r="B267" s="9" t="s">
        <v>633</v>
      </c>
      <c r="C267" s="4" t="s">
        <v>1891</v>
      </c>
      <c r="D267" s="4" t="s">
        <v>1892</v>
      </c>
      <c r="E267" s="4" t="s">
        <v>1893</v>
      </c>
      <c r="F267" s="4" t="s">
        <v>1894</v>
      </c>
      <c r="G267" s="4" t="s">
        <v>323</v>
      </c>
      <c r="H267" s="4" t="s">
        <v>324</v>
      </c>
      <c r="I267" s="4" t="s">
        <v>31</v>
      </c>
      <c r="J267" s="4" t="s">
        <v>1269</v>
      </c>
      <c r="K267" s="4" t="s">
        <v>77</v>
      </c>
      <c r="L267" s="4">
        <v>1</v>
      </c>
      <c r="M267" s="5">
        <v>27.99</v>
      </c>
      <c r="N267" s="4" t="s">
        <v>34</v>
      </c>
      <c r="O267" s="5">
        <v>0</v>
      </c>
      <c r="P267" s="5">
        <v>7.99</v>
      </c>
      <c r="Q267" s="5">
        <v>1.68</v>
      </c>
      <c r="R267" s="5">
        <v>37.659999999999997</v>
      </c>
      <c r="S267" s="4" t="s">
        <v>35</v>
      </c>
      <c r="T267" s="4" t="s">
        <v>183</v>
      </c>
      <c r="U267" s="4" t="s">
        <v>66</v>
      </c>
      <c r="V267" s="4" t="s">
        <v>1043</v>
      </c>
      <c r="W267" s="5">
        <v>0</v>
      </c>
      <c r="X267" t="str">
        <f t="shared" si="12"/>
        <v>February</v>
      </c>
      <c r="Y267" t="str">
        <f t="shared" si="13"/>
        <v>Q1</v>
      </c>
      <c r="Z267" s="7">
        <f t="shared" si="14"/>
        <v>27.99</v>
      </c>
    </row>
    <row r="268" spans="1:26" x14ac:dyDescent="0.3">
      <c r="A268" s="2" t="s">
        <v>1895</v>
      </c>
      <c r="B268" s="8" t="s">
        <v>1417</v>
      </c>
      <c r="C268" s="2" t="s">
        <v>1896</v>
      </c>
      <c r="D268" s="2" t="s">
        <v>1897</v>
      </c>
      <c r="E268" s="2" t="s">
        <v>1898</v>
      </c>
      <c r="F268" s="2" t="s">
        <v>1899</v>
      </c>
      <c r="G268" s="2" t="s">
        <v>347</v>
      </c>
      <c r="H268" s="2" t="s">
        <v>60</v>
      </c>
      <c r="I268" s="2" t="s">
        <v>31</v>
      </c>
      <c r="J268" s="2" t="s">
        <v>1232</v>
      </c>
      <c r="K268" s="2" t="s">
        <v>77</v>
      </c>
      <c r="L268" s="2">
        <v>1</v>
      </c>
      <c r="M268" s="3">
        <v>34.99</v>
      </c>
      <c r="N268" s="2" t="s">
        <v>34</v>
      </c>
      <c r="O268" s="3">
        <v>0</v>
      </c>
      <c r="P268" s="3">
        <v>7.99</v>
      </c>
      <c r="Q268" s="3">
        <v>2.4500000000000002</v>
      </c>
      <c r="R268" s="3">
        <v>45.43</v>
      </c>
      <c r="S268" s="2" t="s">
        <v>123</v>
      </c>
      <c r="T268" s="2" t="s">
        <v>36</v>
      </c>
      <c r="U268" s="2" t="s">
        <v>317</v>
      </c>
      <c r="V268" s="2"/>
      <c r="W268" s="3">
        <v>0</v>
      </c>
      <c r="X268" t="str">
        <f t="shared" si="12"/>
        <v>October</v>
      </c>
      <c r="Y268" t="str">
        <f t="shared" si="13"/>
        <v>Q4</v>
      </c>
      <c r="Z268" s="7">
        <f t="shared" si="14"/>
        <v>34.99</v>
      </c>
    </row>
    <row r="269" spans="1:26" x14ac:dyDescent="0.3">
      <c r="A269" s="4" t="s">
        <v>1900</v>
      </c>
      <c r="B269" s="9" t="s">
        <v>1575</v>
      </c>
      <c r="C269" s="4" t="s">
        <v>1901</v>
      </c>
      <c r="D269" s="4" t="s">
        <v>1902</v>
      </c>
      <c r="E269" s="4" t="s">
        <v>1903</v>
      </c>
      <c r="F269" s="4" t="s">
        <v>1904</v>
      </c>
      <c r="G269" s="4" t="s">
        <v>87</v>
      </c>
      <c r="H269" s="4" t="s">
        <v>88</v>
      </c>
      <c r="I269" s="4" t="s">
        <v>31</v>
      </c>
      <c r="J269" s="4" t="s">
        <v>1905</v>
      </c>
      <c r="K269" s="4" t="s">
        <v>48</v>
      </c>
      <c r="L269" s="4">
        <v>2</v>
      </c>
      <c r="M269" s="5">
        <v>67.98</v>
      </c>
      <c r="N269" s="4" t="s">
        <v>78</v>
      </c>
      <c r="O269" s="5">
        <v>6.8</v>
      </c>
      <c r="P269" s="5">
        <v>7.99</v>
      </c>
      <c r="Q269" s="5">
        <v>6.12</v>
      </c>
      <c r="R269" s="5">
        <v>75.290000000000006</v>
      </c>
      <c r="S269" s="4" t="s">
        <v>332</v>
      </c>
      <c r="T269" s="4" t="s">
        <v>183</v>
      </c>
      <c r="U269" s="4" t="s">
        <v>317</v>
      </c>
      <c r="V269" s="4"/>
      <c r="W269" s="5">
        <v>0</v>
      </c>
      <c r="X269" t="str">
        <f t="shared" si="12"/>
        <v>April</v>
      </c>
      <c r="Y269" t="str">
        <f t="shared" si="13"/>
        <v>Q2</v>
      </c>
      <c r="Z269" s="7">
        <f t="shared" si="14"/>
        <v>61.180000000000007</v>
      </c>
    </row>
    <row r="270" spans="1:26" x14ac:dyDescent="0.3">
      <c r="A270" s="2" t="s">
        <v>1906</v>
      </c>
      <c r="B270" s="8" t="s">
        <v>303</v>
      </c>
      <c r="C270" s="2" t="s">
        <v>1907</v>
      </c>
      <c r="D270" s="2" t="s">
        <v>1908</v>
      </c>
      <c r="E270" s="2" t="s">
        <v>1909</v>
      </c>
      <c r="F270" s="2" t="s">
        <v>1910</v>
      </c>
      <c r="G270" s="2" t="s">
        <v>190</v>
      </c>
      <c r="H270" s="2" t="s">
        <v>161</v>
      </c>
      <c r="I270" s="2" t="s">
        <v>31</v>
      </c>
      <c r="J270" s="2" t="s">
        <v>1911</v>
      </c>
      <c r="K270" s="2" t="s">
        <v>143</v>
      </c>
      <c r="L270" s="2">
        <v>2</v>
      </c>
      <c r="M270" s="3">
        <v>199.98</v>
      </c>
      <c r="N270" s="2" t="s">
        <v>63</v>
      </c>
      <c r="O270" s="3">
        <v>50</v>
      </c>
      <c r="P270" s="3">
        <v>0</v>
      </c>
      <c r="Q270" s="3">
        <v>9</v>
      </c>
      <c r="R270" s="3">
        <v>158.97999999999999</v>
      </c>
      <c r="S270" s="2" t="s">
        <v>35</v>
      </c>
      <c r="T270" s="2" t="s">
        <v>99</v>
      </c>
      <c r="U270" s="2" t="s">
        <v>66</v>
      </c>
      <c r="V270" s="2" t="s">
        <v>1471</v>
      </c>
      <c r="W270" s="3">
        <v>0</v>
      </c>
      <c r="X270" t="str">
        <f t="shared" si="12"/>
        <v>April</v>
      </c>
      <c r="Y270" t="str">
        <f t="shared" si="13"/>
        <v>Q2</v>
      </c>
      <c r="Z270" s="7">
        <f t="shared" si="14"/>
        <v>149.97999999999999</v>
      </c>
    </row>
    <row r="271" spans="1:26" x14ac:dyDescent="0.3">
      <c r="A271" s="4" t="s">
        <v>1912</v>
      </c>
      <c r="B271" s="9" t="s">
        <v>716</v>
      </c>
      <c r="C271" s="4" t="s">
        <v>1913</v>
      </c>
      <c r="D271" s="4" t="s">
        <v>1914</v>
      </c>
      <c r="E271" s="4" t="s">
        <v>1915</v>
      </c>
      <c r="F271" s="4" t="s">
        <v>1916</v>
      </c>
      <c r="G271" s="4" t="s">
        <v>140</v>
      </c>
      <c r="H271" s="4" t="s">
        <v>141</v>
      </c>
      <c r="I271" s="4" t="s">
        <v>31</v>
      </c>
      <c r="J271" s="4" t="s">
        <v>1917</v>
      </c>
      <c r="K271" s="4" t="s">
        <v>48</v>
      </c>
      <c r="L271" s="4">
        <v>1</v>
      </c>
      <c r="M271" s="5">
        <v>85.98</v>
      </c>
      <c r="N271" s="4" t="s">
        <v>78</v>
      </c>
      <c r="O271" s="5">
        <v>8.6</v>
      </c>
      <c r="P271" s="5">
        <v>0</v>
      </c>
      <c r="Q271" s="5">
        <v>6.58</v>
      </c>
      <c r="R271" s="5">
        <v>83.96</v>
      </c>
      <c r="S271" s="4" t="s">
        <v>64</v>
      </c>
      <c r="T271" s="4" t="s">
        <v>99</v>
      </c>
      <c r="U271" s="4" t="s">
        <v>66</v>
      </c>
      <c r="V271" s="4" t="s">
        <v>227</v>
      </c>
      <c r="W271" s="5">
        <v>0</v>
      </c>
      <c r="X271" t="str">
        <f t="shared" si="12"/>
        <v>May</v>
      </c>
      <c r="Y271" t="str">
        <f t="shared" si="13"/>
        <v>Q2</v>
      </c>
      <c r="Z271" s="7">
        <f t="shared" si="14"/>
        <v>77.38000000000001</v>
      </c>
    </row>
    <row r="272" spans="1:26" x14ac:dyDescent="0.3">
      <c r="A272" s="2" t="s">
        <v>1918</v>
      </c>
      <c r="B272" s="8" t="s">
        <v>1919</v>
      </c>
      <c r="C272" s="2" t="s">
        <v>1920</v>
      </c>
      <c r="D272" s="2" t="s">
        <v>1921</v>
      </c>
      <c r="E272" s="2" t="s">
        <v>1922</v>
      </c>
      <c r="F272" s="2" t="s">
        <v>1923</v>
      </c>
      <c r="G272" s="2" t="s">
        <v>323</v>
      </c>
      <c r="H272" s="2" t="s">
        <v>324</v>
      </c>
      <c r="I272" s="2" t="s">
        <v>31</v>
      </c>
      <c r="J272" s="2" t="s">
        <v>1320</v>
      </c>
      <c r="K272" s="2" t="s">
        <v>364</v>
      </c>
      <c r="L272" s="2">
        <v>1</v>
      </c>
      <c r="M272" s="3">
        <v>89.98</v>
      </c>
      <c r="N272" s="2" t="s">
        <v>34</v>
      </c>
      <c r="O272" s="3">
        <v>0</v>
      </c>
      <c r="P272" s="3">
        <v>0</v>
      </c>
      <c r="Q272" s="3">
        <v>9</v>
      </c>
      <c r="R272" s="3">
        <v>98.98</v>
      </c>
      <c r="S272" s="2" t="s">
        <v>35</v>
      </c>
      <c r="T272" s="2" t="s">
        <v>183</v>
      </c>
      <c r="U272" s="2" t="s">
        <v>100</v>
      </c>
      <c r="V272" s="2"/>
      <c r="W272" s="3">
        <v>0</v>
      </c>
      <c r="X272" t="str">
        <f t="shared" si="12"/>
        <v>November</v>
      </c>
      <c r="Y272" t="str">
        <f t="shared" si="13"/>
        <v>Q4</v>
      </c>
      <c r="Z272" s="7">
        <f t="shared" si="14"/>
        <v>89.98</v>
      </c>
    </row>
    <row r="273" spans="1:26" x14ac:dyDescent="0.3">
      <c r="A273" s="4" t="s">
        <v>1924</v>
      </c>
      <c r="B273" s="9" t="s">
        <v>1573</v>
      </c>
      <c r="C273" s="4" t="s">
        <v>1925</v>
      </c>
      <c r="D273" s="4" t="s">
        <v>1926</v>
      </c>
      <c r="E273" s="4" t="s">
        <v>1927</v>
      </c>
      <c r="F273" s="4" t="s">
        <v>1928</v>
      </c>
      <c r="G273" s="4" t="s">
        <v>29</v>
      </c>
      <c r="H273" s="4" t="s">
        <v>30</v>
      </c>
      <c r="I273" s="4" t="s">
        <v>31</v>
      </c>
      <c r="J273" s="4" t="s">
        <v>1929</v>
      </c>
      <c r="K273" s="4" t="s">
        <v>143</v>
      </c>
      <c r="L273" s="4">
        <v>5</v>
      </c>
      <c r="M273" s="5">
        <v>354.93</v>
      </c>
      <c r="N273" s="4" t="s">
        <v>78</v>
      </c>
      <c r="O273" s="5">
        <v>35.49</v>
      </c>
      <c r="P273" s="5">
        <v>0</v>
      </c>
      <c r="Q273" s="5">
        <v>27.15</v>
      </c>
      <c r="R273" s="5">
        <v>346.59</v>
      </c>
      <c r="S273" s="4" t="s">
        <v>64</v>
      </c>
      <c r="T273" s="4" t="s">
        <v>99</v>
      </c>
      <c r="U273" s="4" t="s">
        <v>66</v>
      </c>
      <c r="V273" s="4" t="s">
        <v>1930</v>
      </c>
      <c r="W273" s="5">
        <v>0</v>
      </c>
      <c r="X273" t="str">
        <f t="shared" si="12"/>
        <v>September</v>
      </c>
      <c r="Y273" t="str">
        <f t="shared" si="13"/>
        <v>Q3</v>
      </c>
      <c r="Z273" s="7">
        <f t="shared" si="14"/>
        <v>319.44</v>
      </c>
    </row>
    <row r="274" spans="1:26" x14ac:dyDescent="0.3">
      <c r="A274" s="2" t="s">
        <v>1931</v>
      </c>
      <c r="B274" s="8" t="s">
        <v>1580</v>
      </c>
      <c r="C274" s="2" t="s">
        <v>1932</v>
      </c>
      <c r="D274" s="2" t="s">
        <v>1933</v>
      </c>
      <c r="E274" s="2" t="s">
        <v>1934</v>
      </c>
      <c r="F274" s="2" t="s">
        <v>1935</v>
      </c>
      <c r="G274" s="2" t="s">
        <v>403</v>
      </c>
      <c r="H274" s="2" t="s">
        <v>404</v>
      </c>
      <c r="I274" s="2" t="s">
        <v>31</v>
      </c>
      <c r="J274" s="2" t="s">
        <v>283</v>
      </c>
      <c r="K274" s="2" t="s">
        <v>209</v>
      </c>
      <c r="L274" s="2">
        <v>1</v>
      </c>
      <c r="M274" s="3">
        <v>49.99</v>
      </c>
      <c r="N274" s="2" t="s">
        <v>163</v>
      </c>
      <c r="O274" s="3">
        <v>10</v>
      </c>
      <c r="P274" s="3">
        <v>5.99</v>
      </c>
      <c r="Q274" s="3">
        <v>3.2</v>
      </c>
      <c r="R274" s="3">
        <v>49.18</v>
      </c>
      <c r="S274" s="2" t="s">
        <v>332</v>
      </c>
      <c r="T274" s="2" t="s">
        <v>99</v>
      </c>
      <c r="U274" s="2" t="s">
        <v>100</v>
      </c>
      <c r="V274" s="2"/>
      <c r="W274" s="3">
        <v>0</v>
      </c>
      <c r="X274" t="str">
        <f t="shared" si="12"/>
        <v>April</v>
      </c>
      <c r="Y274" t="str">
        <f t="shared" si="13"/>
        <v>Q2</v>
      </c>
      <c r="Z274" s="7">
        <f t="shared" si="14"/>
        <v>39.99</v>
      </c>
    </row>
    <row r="275" spans="1:26" x14ac:dyDescent="0.3">
      <c r="A275" s="4" t="s">
        <v>1936</v>
      </c>
      <c r="B275" s="9" t="s">
        <v>54</v>
      </c>
      <c r="C275" s="4" t="s">
        <v>1937</v>
      </c>
      <c r="D275" s="4" t="s">
        <v>1938</v>
      </c>
      <c r="E275" s="4" t="s">
        <v>1939</v>
      </c>
      <c r="F275" s="4" t="s">
        <v>1940</v>
      </c>
      <c r="G275" s="4" t="s">
        <v>394</v>
      </c>
      <c r="H275" s="4" t="s">
        <v>395</v>
      </c>
      <c r="I275" s="4" t="s">
        <v>31</v>
      </c>
      <c r="J275" s="4" t="s">
        <v>1941</v>
      </c>
      <c r="K275" s="4" t="s">
        <v>209</v>
      </c>
      <c r="L275" s="4">
        <v>3</v>
      </c>
      <c r="M275" s="5">
        <v>309.97000000000003</v>
      </c>
      <c r="N275" s="4" t="s">
        <v>78</v>
      </c>
      <c r="O275" s="5">
        <v>31</v>
      </c>
      <c r="P275" s="5">
        <v>0</v>
      </c>
      <c r="Q275" s="5">
        <v>23.71</v>
      </c>
      <c r="R275" s="5">
        <v>302.68</v>
      </c>
      <c r="S275" s="4" t="s">
        <v>332</v>
      </c>
      <c r="T275" s="4" t="s">
        <v>99</v>
      </c>
      <c r="U275" s="4" t="s">
        <v>317</v>
      </c>
      <c r="V275" s="4"/>
      <c r="W275" s="5">
        <v>0</v>
      </c>
      <c r="X275" t="str">
        <f t="shared" si="12"/>
        <v>July</v>
      </c>
      <c r="Y275" t="str">
        <f t="shared" si="13"/>
        <v>Q3</v>
      </c>
      <c r="Z275" s="7">
        <f t="shared" si="14"/>
        <v>278.97000000000003</v>
      </c>
    </row>
    <row r="276" spans="1:26" x14ac:dyDescent="0.3">
      <c r="A276" s="2" t="s">
        <v>1942</v>
      </c>
      <c r="B276" s="8" t="s">
        <v>863</v>
      </c>
      <c r="C276" s="2" t="s">
        <v>1943</v>
      </c>
      <c r="D276" s="2" t="s">
        <v>1944</v>
      </c>
      <c r="E276" s="2" t="s">
        <v>1945</v>
      </c>
      <c r="F276" s="2" t="s">
        <v>1946</v>
      </c>
      <c r="G276" s="2" t="s">
        <v>323</v>
      </c>
      <c r="H276" s="2" t="s">
        <v>324</v>
      </c>
      <c r="I276" s="2" t="s">
        <v>31</v>
      </c>
      <c r="J276" s="2" t="s">
        <v>1911</v>
      </c>
      <c r="K276" s="2" t="s">
        <v>143</v>
      </c>
      <c r="L276" s="2">
        <v>2</v>
      </c>
      <c r="M276" s="3">
        <v>199.98</v>
      </c>
      <c r="N276" s="2" t="s">
        <v>78</v>
      </c>
      <c r="O276" s="3">
        <v>20</v>
      </c>
      <c r="P276" s="3">
        <v>0</v>
      </c>
      <c r="Q276" s="3">
        <v>18</v>
      </c>
      <c r="R276" s="3">
        <v>197.98</v>
      </c>
      <c r="S276" s="2" t="s">
        <v>123</v>
      </c>
      <c r="T276" s="2" t="s">
        <v>65</v>
      </c>
      <c r="U276" s="2" t="s">
        <v>37</v>
      </c>
      <c r="V276" s="2" t="s">
        <v>1000</v>
      </c>
      <c r="W276" s="3">
        <v>197.98</v>
      </c>
      <c r="X276" t="str">
        <f t="shared" si="12"/>
        <v>April</v>
      </c>
      <c r="Y276" t="str">
        <f t="shared" si="13"/>
        <v>Q2</v>
      </c>
      <c r="Z276" s="7">
        <f t="shared" si="14"/>
        <v>179.98</v>
      </c>
    </row>
    <row r="277" spans="1:26" x14ac:dyDescent="0.3">
      <c r="A277" s="4" t="s">
        <v>1947</v>
      </c>
      <c r="B277" s="9" t="s">
        <v>1948</v>
      </c>
      <c r="C277" s="4" t="s">
        <v>1949</v>
      </c>
      <c r="D277" s="4" t="s">
        <v>1950</v>
      </c>
      <c r="E277" s="4" t="s">
        <v>1951</v>
      </c>
      <c r="F277" s="4" t="s">
        <v>1952</v>
      </c>
      <c r="G277" s="4" t="s">
        <v>224</v>
      </c>
      <c r="H277" s="4" t="s">
        <v>225</v>
      </c>
      <c r="I277" s="4" t="s">
        <v>31</v>
      </c>
      <c r="J277" s="4" t="s">
        <v>1953</v>
      </c>
      <c r="K277" s="4" t="s">
        <v>364</v>
      </c>
      <c r="L277" s="4">
        <v>2</v>
      </c>
      <c r="M277" s="5">
        <v>80.98</v>
      </c>
      <c r="N277" s="4" t="s">
        <v>78</v>
      </c>
      <c r="O277" s="5">
        <v>8.1</v>
      </c>
      <c r="P277" s="5">
        <v>0</v>
      </c>
      <c r="Q277" s="5">
        <v>6.56</v>
      </c>
      <c r="R277" s="5">
        <v>79.44</v>
      </c>
      <c r="S277" s="4" t="s">
        <v>35</v>
      </c>
      <c r="T277" s="4" t="s">
        <v>144</v>
      </c>
      <c r="U277" s="4" t="s">
        <v>37</v>
      </c>
      <c r="V277" s="4" t="s">
        <v>1787</v>
      </c>
      <c r="W277" s="5">
        <v>79.44</v>
      </c>
      <c r="X277" t="str">
        <f t="shared" si="12"/>
        <v>October</v>
      </c>
      <c r="Y277" t="str">
        <f t="shared" si="13"/>
        <v>Q4</v>
      </c>
      <c r="Z277" s="7">
        <f t="shared" si="14"/>
        <v>72.88000000000001</v>
      </c>
    </row>
    <row r="278" spans="1:26" x14ac:dyDescent="0.3">
      <c r="A278" s="2" t="s">
        <v>1954</v>
      </c>
      <c r="B278" s="8" t="s">
        <v>945</v>
      </c>
      <c r="C278" s="2" t="s">
        <v>1955</v>
      </c>
      <c r="D278" s="2" t="s">
        <v>1956</v>
      </c>
      <c r="E278" s="2" t="s">
        <v>1957</v>
      </c>
      <c r="F278" s="2" t="s">
        <v>1958</v>
      </c>
      <c r="G278" s="2" t="s">
        <v>59</v>
      </c>
      <c r="H278" s="2" t="s">
        <v>60</v>
      </c>
      <c r="I278" s="2" t="s">
        <v>31</v>
      </c>
      <c r="J278" s="2" t="s">
        <v>1238</v>
      </c>
      <c r="K278" s="2" t="s">
        <v>209</v>
      </c>
      <c r="L278" s="2">
        <v>1</v>
      </c>
      <c r="M278" s="3">
        <v>39.99</v>
      </c>
      <c r="N278" s="2" t="s">
        <v>34</v>
      </c>
      <c r="O278" s="3">
        <v>0</v>
      </c>
      <c r="P278" s="3">
        <v>4.99</v>
      </c>
      <c r="Q278" s="3">
        <v>2.8</v>
      </c>
      <c r="R278" s="3">
        <v>47.78</v>
      </c>
      <c r="S278" s="2" t="s">
        <v>35</v>
      </c>
      <c r="T278" s="2" t="s">
        <v>99</v>
      </c>
      <c r="U278" s="2" t="s">
        <v>66</v>
      </c>
      <c r="V278" s="2" t="s">
        <v>922</v>
      </c>
      <c r="W278" s="3">
        <v>0</v>
      </c>
      <c r="X278" t="str">
        <f t="shared" si="12"/>
        <v>September</v>
      </c>
      <c r="Y278" t="str">
        <f t="shared" si="13"/>
        <v>Q3</v>
      </c>
      <c r="Z278" s="7">
        <f t="shared" si="14"/>
        <v>39.99</v>
      </c>
    </row>
    <row r="279" spans="1:26" x14ac:dyDescent="0.3">
      <c r="A279" s="4" t="s">
        <v>1959</v>
      </c>
      <c r="B279" s="9" t="s">
        <v>1006</v>
      </c>
      <c r="C279" s="4" t="s">
        <v>1960</v>
      </c>
      <c r="D279" s="4" t="s">
        <v>1961</v>
      </c>
      <c r="E279" s="4" t="s">
        <v>1962</v>
      </c>
      <c r="F279" s="4" t="s">
        <v>1963</v>
      </c>
      <c r="G279" s="4" t="s">
        <v>282</v>
      </c>
      <c r="H279" s="4" t="s">
        <v>88</v>
      </c>
      <c r="I279" s="4" t="s">
        <v>31</v>
      </c>
      <c r="J279" s="4" t="s">
        <v>503</v>
      </c>
      <c r="K279" s="4" t="s">
        <v>122</v>
      </c>
      <c r="L279" s="4">
        <v>1</v>
      </c>
      <c r="M279" s="5">
        <v>59.99</v>
      </c>
      <c r="N279" s="4" t="s">
        <v>34</v>
      </c>
      <c r="O279" s="5">
        <v>0</v>
      </c>
      <c r="P279" s="5">
        <v>4.99</v>
      </c>
      <c r="Q279" s="5">
        <v>4.2</v>
      </c>
      <c r="R279" s="5">
        <v>69.180000000000007</v>
      </c>
      <c r="S279" s="4" t="s">
        <v>64</v>
      </c>
      <c r="T279" s="4" t="s">
        <v>50</v>
      </c>
      <c r="U279" s="4" t="s">
        <v>66</v>
      </c>
      <c r="V279" s="4" t="s">
        <v>511</v>
      </c>
      <c r="W279" s="5">
        <v>0</v>
      </c>
      <c r="X279" t="str">
        <f t="shared" si="12"/>
        <v>April</v>
      </c>
      <c r="Y279" t="str">
        <f t="shared" si="13"/>
        <v>Q2</v>
      </c>
      <c r="Z279" s="7">
        <f t="shared" si="14"/>
        <v>59.99</v>
      </c>
    </row>
    <row r="280" spans="1:26" x14ac:dyDescent="0.3">
      <c r="A280" s="2" t="s">
        <v>1964</v>
      </c>
      <c r="B280" s="8" t="s">
        <v>1036</v>
      </c>
      <c r="C280" s="2" t="s">
        <v>1965</v>
      </c>
      <c r="D280" s="2" t="s">
        <v>465</v>
      </c>
      <c r="E280" s="2" t="s">
        <v>1966</v>
      </c>
      <c r="F280" s="2" t="s">
        <v>1967</v>
      </c>
      <c r="G280" s="2" t="s">
        <v>224</v>
      </c>
      <c r="H280" s="2" t="s">
        <v>225</v>
      </c>
      <c r="I280" s="2" t="s">
        <v>31</v>
      </c>
      <c r="J280" s="2" t="s">
        <v>1968</v>
      </c>
      <c r="K280" s="2" t="s">
        <v>209</v>
      </c>
      <c r="L280" s="2">
        <v>1</v>
      </c>
      <c r="M280" s="3">
        <v>99.98</v>
      </c>
      <c r="N280" s="2" t="s">
        <v>78</v>
      </c>
      <c r="O280" s="3">
        <v>10</v>
      </c>
      <c r="P280" s="3">
        <v>0</v>
      </c>
      <c r="Q280" s="3">
        <v>5.4</v>
      </c>
      <c r="R280" s="3">
        <v>95.38</v>
      </c>
      <c r="S280" s="2" t="s">
        <v>79</v>
      </c>
      <c r="T280" s="2" t="s">
        <v>50</v>
      </c>
      <c r="U280" s="2" t="s">
        <v>66</v>
      </c>
      <c r="V280" s="2" t="s">
        <v>649</v>
      </c>
      <c r="W280" s="3">
        <v>0</v>
      </c>
      <c r="X280" t="str">
        <f t="shared" si="12"/>
        <v>August</v>
      </c>
      <c r="Y280" t="str">
        <f t="shared" si="13"/>
        <v>Q3</v>
      </c>
      <c r="Z280" s="7">
        <f t="shared" si="14"/>
        <v>89.98</v>
      </c>
    </row>
    <row r="281" spans="1:26" x14ac:dyDescent="0.3">
      <c r="A281" s="4" t="s">
        <v>1969</v>
      </c>
      <c r="B281" s="9" t="s">
        <v>1321</v>
      </c>
      <c r="C281" s="4" t="s">
        <v>1970</v>
      </c>
      <c r="D281" s="4" t="s">
        <v>1971</v>
      </c>
      <c r="E281" s="4" t="s">
        <v>1972</v>
      </c>
      <c r="F281" s="4" t="s">
        <v>1973</v>
      </c>
      <c r="G281" s="4" t="s">
        <v>1183</v>
      </c>
      <c r="H281" s="4" t="s">
        <v>88</v>
      </c>
      <c r="I281" s="4" t="s">
        <v>31</v>
      </c>
      <c r="J281" s="4" t="s">
        <v>1974</v>
      </c>
      <c r="K281" s="4" t="s">
        <v>143</v>
      </c>
      <c r="L281" s="4">
        <v>2</v>
      </c>
      <c r="M281" s="5">
        <v>149.96</v>
      </c>
      <c r="N281" s="4" t="s">
        <v>152</v>
      </c>
      <c r="O281" s="5">
        <v>7.5</v>
      </c>
      <c r="P281" s="5">
        <v>0</v>
      </c>
      <c r="Q281" s="5">
        <v>11.4</v>
      </c>
      <c r="R281" s="5">
        <v>153.86000000000001</v>
      </c>
      <c r="S281" s="4" t="s">
        <v>64</v>
      </c>
      <c r="T281" s="4" t="s">
        <v>144</v>
      </c>
      <c r="U281" s="4" t="s">
        <v>317</v>
      </c>
      <c r="V281" s="4"/>
      <c r="W281" s="5">
        <v>0</v>
      </c>
      <c r="X281" t="str">
        <f t="shared" si="12"/>
        <v>March</v>
      </c>
      <c r="Y281" t="str">
        <f t="shared" si="13"/>
        <v>Q1</v>
      </c>
      <c r="Z281" s="7">
        <f t="shared" si="14"/>
        <v>142.46</v>
      </c>
    </row>
    <row r="282" spans="1:26" x14ac:dyDescent="0.3">
      <c r="A282" s="2" t="s">
        <v>1975</v>
      </c>
      <c r="B282" s="8" t="s">
        <v>1976</v>
      </c>
      <c r="C282" s="2" t="s">
        <v>1977</v>
      </c>
      <c r="D282" s="2" t="s">
        <v>1978</v>
      </c>
      <c r="E282" s="2" t="s">
        <v>1979</v>
      </c>
      <c r="F282" s="2" t="s">
        <v>1980</v>
      </c>
      <c r="G282" s="2" t="s">
        <v>640</v>
      </c>
      <c r="H282" s="2" t="s">
        <v>161</v>
      </c>
      <c r="I282" s="2" t="s">
        <v>31</v>
      </c>
      <c r="J282" s="2" t="s">
        <v>694</v>
      </c>
      <c r="K282" s="2" t="s">
        <v>77</v>
      </c>
      <c r="L282" s="2">
        <v>1</v>
      </c>
      <c r="M282" s="3">
        <v>55.98</v>
      </c>
      <c r="N282" s="2" t="s">
        <v>63</v>
      </c>
      <c r="O282" s="3">
        <v>13.99</v>
      </c>
      <c r="P282" s="3">
        <v>7.99</v>
      </c>
      <c r="Q282" s="3">
        <v>3.36</v>
      </c>
      <c r="R282" s="3">
        <v>53.34</v>
      </c>
      <c r="S282" s="2" t="s">
        <v>123</v>
      </c>
      <c r="T282" s="2" t="s">
        <v>36</v>
      </c>
      <c r="U282" s="2" t="s">
        <v>51</v>
      </c>
      <c r="V282" s="2" t="s">
        <v>296</v>
      </c>
      <c r="W282" s="3">
        <v>0</v>
      </c>
      <c r="X282" t="str">
        <f t="shared" si="12"/>
        <v>August</v>
      </c>
      <c r="Y282" t="str">
        <f t="shared" si="13"/>
        <v>Q3</v>
      </c>
      <c r="Z282" s="7">
        <f t="shared" si="14"/>
        <v>41.989999999999995</v>
      </c>
    </row>
    <row r="283" spans="1:26" x14ac:dyDescent="0.3">
      <c r="A283" s="4" t="s">
        <v>1981</v>
      </c>
      <c r="B283" s="9" t="s">
        <v>1703</v>
      </c>
      <c r="C283" s="4" t="s">
        <v>1982</v>
      </c>
      <c r="D283" s="4" t="s">
        <v>1983</v>
      </c>
      <c r="E283" s="4" t="s">
        <v>1984</v>
      </c>
      <c r="F283" s="4" t="s">
        <v>1985</v>
      </c>
      <c r="G283" s="4" t="s">
        <v>347</v>
      </c>
      <c r="H283" s="4" t="s">
        <v>60</v>
      </c>
      <c r="I283" s="4" t="s">
        <v>31</v>
      </c>
      <c r="J283" s="4" t="s">
        <v>1054</v>
      </c>
      <c r="K283" s="4" t="s">
        <v>364</v>
      </c>
      <c r="L283" s="4">
        <v>1</v>
      </c>
      <c r="M283" s="5">
        <v>44.99</v>
      </c>
      <c r="N283" s="4" t="s">
        <v>34</v>
      </c>
      <c r="O283" s="5">
        <v>0</v>
      </c>
      <c r="P283" s="5">
        <v>7.99</v>
      </c>
      <c r="Q283" s="5">
        <v>4.05</v>
      </c>
      <c r="R283" s="5">
        <v>57.03</v>
      </c>
      <c r="S283" s="4" t="s">
        <v>35</v>
      </c>
      <c r="T283" s="4" t="s">
        <v>99</v>
      </c>
      <c r="U283" s="4" t="s">
        <v>66</v>
      </c>
      <c r="V283" s="4" t="s">
        <v>69</v>
      </c>
      <c r="W283" s="5">
        <v>0</v>
      </c>
      <c r="X283" t="str">
        <f t="shared" si="12"/>
        <v>June</v>
      </c>
      <c r="Y283" t="str">
        <f t="shared" si="13"/>
        <v>Q2</v>
      </c>
      <c r="Z283" s="7">
        <f t="shared" si="14"/>
        <v>44.99</v>
      </c>
    </row>
    <row r="284" spans="1:26" x14ac:dyDescent="0.3">
      <c r="A284" s="2" t="s">
        <v>1986</v>
      </c>
      <c r="B284" s="8" t="s">
        <v>877</v>
      </c>
      <c r="C284" s="2" t="s">
        <v>1987</v>
      </c>
      <c r="D284" s="2" t="s">
        <v>1988</v>
      </c>
      <c r="E284" s="2" t="s">
        <v>1989</v>
      </c>
      <c r="F284" s="2" t="s">
        <v>1990</v>
      </c>
      <c r="G284" s="2" t="s">
        <v>347</v>
      </c>
      <c r="H284" s="2" t="s">
        <v>60</v>
      </c>
      <c r="I284" s="2" t="s">
        <v>31</v>
      </c>
      <c r="J284" s="2" t="s">
        <v>1991</v>
      </c>
      <c r="K284" s="2" t="s">
        <v>62</v>
      </c>
      <c r="L284" s="2">
        <v>2</v>
      </c>
      <c r="M284" s="3">
        <v>64.98</v>
      </c>
      <c r="N284" s="2" t="s">
        <v>78</v>
      </c>
      <c r="O284" s="3">
        <v>6.5</v>
      </c>
      <c r="P284" s="3">
        <v>5.99</v>
      </c>
      <c r="Q284" s="3">
        <v>4.09</v>
      </c>
      <c r="R284" s="3">
        <v>68.56</v>
      </c>
      <c r="S284" s="2" t="s">
        <v>35</v>
      </c>
      <c r="T284" s="2" t="s">
        <v>65</v>
      </c>
      <c r="U284" s="2" t="s">
        <v>66</v>
      </c>
      <c r="V284" s="2" t="s">
        <v>593</v>
      </c>
      <c r="W284" s="3">
        <v>0</v>
      </c>
      <c r="X284" t="str">
        <f t="shared" si="12"/>
        <v>July</v>
      </c>
      <c r="Y284" t="str">
        <f t="shared" si="13"/>
        <v>Q3</v>
      </c>
      <c r="Z284" s="7">
        <f t="shared" si="14"/>
        <v>58.480000000000004</v>
      </c>
    </row>
    <row r="285" spans="1:26" x14ac:dyDescent="0.3">
      <c r="A285" s="4" t="s">
        <v>1992</v>
      </c>
      <c r="B285" s="9" t="s">
        <v>1640</v>
      </c>
      <c r="C285" s="4" t="s">
        <v>1993</v>
      </c>
      <c r="D285" s="4" t="s">
        <v>1994</v>
      </c>
      <c r="E285" s="4" t="s">
        <v>1995</v>
      </c>
      <c r="F285" s="4" t="s">
        <v>1996</v>
      </c>
      <c r="G285" s="4" t="s">
        <v>171</v>
      </c>
      <c r="H285" s="4" t="s">
        <v>88</v>
      </c>
      <c r="I285" s="4" t="s">
        <v>31</v>
      </c>
      <c r="J285" s="4" t="s">
        <v>1997</v>
      </c>
      <c r="K285" s="4" t="s">
        <v>143</v>
      </c>
      <c r="L285" s="4">
        <v>1</v>
      </c>
      <c r="M285" s="5">
        <v>129.99</v>
      </c>
      <c r="N285" s="4" t="s">
        <v>152</v>
      </c>
      <c r="O285" s="5">
        <v>6.5</v>
      </c>
      <c r="P285" s="5">
        <v>0</v>
      </c>
      <c r="Q285" s="5">
        <v>7.41</v>
      </c>
      <c r="R285" s="5">
        <v>130.9</v>
      </c>
      <c r="S285" s="4" t="s">
        <v>64</v>
      </c>
      <c r="T285" s="4" t="s">
        <v>99</v>
      </c>
      <c r="U285" s="4" t="s">
        <v>317</v>
      </c>
      <c r="V285" s="4"/>
      <c r="W285" s="5">
        <v>0</v>
      </c>
      <c r="X285" t="str">
        <f t="shared" si="12"/>
        <v>October</v>
      </c>
      <c r="Y285" t="str">
        <f t="shared" si="13"/>
        <v>Q4</v>
      </c>
      <c r="Z285" s="7">
        <f t="shared" si="14"/>
        <v>123.49000000000001</v>
      </c>
    </row>
    <row r="286" spans="1:26" x14ac:dyDescent="0.3">
      <c r="A286" s="2" t="s">
        <v>1998</v>
      </c>
      <c r="B286" s="8" t="s">
        <v>40</v>
      </c>
      <c r="C286" s="2" t="s">
        <v>1999</v>
      </c>
      <c r="D286" s="2" t="s">
        <v>2000</v>
      </c>
      <c r="E286" s="2" t="s">
        <v>2001</v>
      </c>
      <c r="F286" s="2" t="s">
        <v>2002</v>
      </c>
      <c r="G286" s="2" t="s">
        <v>291</v>
      </c>
      <c r="H286" s="2" t="s">
        <v>292</v>
      </c>
      <c r="I286" s="2" t="s">
        <v>31</v>
      </c>
      <c r="J286" s="2" t="s">
        <v>316</v>
      </c>
      <c r="K286" s="2" t="s">
        <v>48</v>
      </c>
      <c r="L286" s="2">
        <v>1</v>
      </c>
      <c r="M286" s="3">
        <v>34.99</v>
      </c>
      <c r="N286" s="2" t="s">
        <v>152</v>
      </c>
      <c r="O286" s="3">
        <v>1.75</v>
      </c>
      <c r="P286" s="3">
        <v>4.99</v>
      </c>
      <c r="Q286" s="3">
        <v>3.32</v>
      </c>
      <c r="R286" s="3">
        <v>41.55</v>
      </c>
      <c r="S286" s="2" t="s">
        <v>332</v>
      </c>
      <c r="T286" s="2" t="s">
        <v>99</v>
      </c>
      <c r="U286" s="2" t="s">
        <v>66</v>
      </c>
      <c r="V286" s="2" t="s">
        <v>1456</v>
      </c>
      <c r="W286" s="3">
        <v>0</v>
      </c>
      <c r="X286" t="str">
        <f t="shared" si="12"/>
        <v>December</v>
      </c>
      <c r="Y286" t="str">
        <f t="shared" si="13"/>
        <v>Q4</v>
      </c>
      <c r="Z286" s="7">
        <f t="shared" si="14"/>
        <v>33.24</v>
      </c>
    </row>
    <row r="287" spans="1:26" x14ac:dyDescent="0.3">
      <c r="A287" s="4" t="s">
        <v>2003</v>
      </c>
      <c r="B287" s="9" t="s">
        <v>2004</v>
      </c>
      <c r="C287" s="4" t="s">
        <v>2005</v>
      </c>
      <c r="D287" s="4" t="s">
        <v>2006</v>
      </c>
      <c r="E287" s="4" t="s">
        <v>2007</v>
      </c>
      <c r="F287" s="4" t="s">
        <v>2008</v>
      </c>
      <c r="G287" s="4" t="s">
        <v>131</v>
      </c>
      <c r="H287" s="4" t="s">
        <v>88</v>
      </c>
      <c r="I287" s="4" t="s">
        <v>31</v>
      </c>
      <c r="J287" s="4" t="s">
        <v>2009</v>
      </c>
      <c r="K287" s="4" t="s">
        <v>364</v>
      </c>
      <c r="L287" s="4">
        <v>3</v>
      </c>
      <c r="M287" s="5">
        <v>94.97</v>
      </c>
      <c r="N287" s="4" t="s">
        <v>78</v>
      </c>
      <c r="O287" s="5">
        <v>9.5</v>
      </c>
      <c r="P287" s="5">
        <v>0</v>
      </c>
      <c r="Q287" s="5">
        <v>7.26</v>
      </c>
      <c r="R287" s="5">
        <v>92.73</v>
      </c>
      <c r="S287" s="4" t="s">
        <v>35</v>
      </c>
      <c r="T287" s="4" t="s">
        <v>99</v>
      </c>
      <c r="U287" s="4" t="s">
        <v>100</v>
      </c>
      <c r="V287" s="4"/>
      <c r="W287" s="5">
        <v>0</v>
      </c>
      <c r="X287" t="str">
        <f t="shared" si="12"/>
        <v>September</v>
      </c>
      <c r="Y287" t="str">
        <f t="shared" si="13"/>
        <v>Q3</v>
      </c>
      <c r="Z287" s="7">
        <f t="shared" si="14"/>
        <v>85.47</v>
      </c>
    </row>
    <row r="288" spans="1:26" x14ac:dyDescent="0.3">
      <c r="A288" s="2" t="s">
        <v>2010</v>
      </c>
      <c r="B288" s="8" t="s">
        <v>256</v>
      </c>
      <c r="C288" s="2" t="s">
        <v>2011</v>
      </c>
      <c r="D288" s="2" t="s">
        <v>1978</v>
      </c>
      <c r="E288" s="2" t="s">
        <v>2012</v>
      </c>
      <c r="F288" s="2" t="s">
        <v>2013</v>
      </c>
      <c r="G288" s="2" t="s">
        <v>87</v>
      </c>
      <c r="H288" s="2" t="s">
        <v>88</v>
      </c>
      <c r="I288" s="2" t="s">
        <v>31</v>
      </c>
      <c r="J288" s="2" t="s">
        <v>2014</v>
      </c>
      <c r="K288" s="2" t="s">
        <v>209</v>
      </c>
      <c r="L288" s="2">
        <v>3</v>
      </c>
      <c r="M288" s="3">
        <v>284.97000000000003</v>
      </c>
      <c r="N288" s="2" t="s">
        <v>34</v>
      </c>
      <c r="O288" s="3">
        <v>0</v>
      </c>
      <c r="P288" s="3">
        <v>0</v>
      </c>
      <c r="Q288" s="3">
        <v>25.65</v>
      </c>
      <c r="R288" s="3">
        <v>310.62</v>
      </c>
      <c r="S288" s="2" t="s">
        <v>64</v>
      </c>
      <c r="T288" s="2" t="s">
        <v>144</v>
      </c>
      <c r="U288" s="2" t="s">
        <v>66</v>
      </c>
      <c r="V288" s="2" t="s">
        <v>2015</v>
      </c>
      <c r="W288" s="3">
        <v>0</v>
      </c>
      <c r="X288" t="str">
        <f t="shared" si="12"/>
        <v>June</v>
      </c>
      <c r="Y288" t="str">
        <f t="shared" si="13"/>
        <v>Q2</v>
      </c>
      <c r="Z288" s="7">
        <f t="shared" si="14"/>
        <v>284.97000000000003</v>
      </c>
    </row>
    <row r="289" spans="1:26" x14ac:dyDescent="0.3">
      <c r="A289" s="4" t="s">
        <v>2016</v>
      </c>
      <c r="B289" s="9" t="s">
        <v>1653</v>
      </c>
      <c r="C289" s="4" t="s">
        <v>2017</v>
      </c>
      <c r="D289" s="4" t="s">
        <v>2018</v>
      </c>
      <c r="E289" s="4" t="s">
        <v>2019</v>
      </c>
      <c r="F289" s="4" t="s">
        <v>2020</v>
      </c>
      <c r="G289" s="4" t="s">
        <v>180</v>
      </c>
      <c r="H289" s="4" t="s">
        <v>181</v>
      </c>
      <c r="I289" s="4" t="s">
        <v>31</v>
      </c>
      <c r="J289" s="4" t="s">
        <v>1269</v>
      </c>
      <c r="K289" s="4" t="s">
        <v>77</v>
      </c>
      <c r="L289" s="4">
        <v>1</v>
      </c>
      <c r="M289" s="5">
        <v>27.99</v>
      </c>
      <c r="N289" s="4" t="s">
        <v>34</v>
      </c>
      <c r="O289" s="5">
        <v>0</v>
      </c>
      <c r="P289" s="5">
        <v>7.99</v>
      </c>
      <c r="Q289" s="5">
        <v>1.96</v>
      </c>
      <c r="R289" s="5">
        <v>37.94</v>
      </c>
      <c r="S289" s="4" t="s">
        <v>98</v>
      </c>
      <c r="T289" s="4" t="s">
        <v>36</v>
      </c>
      <c r="U289" s="4" t="s">
        <v>100</v>
      </c>
      <c r="V289" s="4"/>
      <c r="W289" s="5">
        <v>0</v>
      </c>
      <c r="X289" t="str">
        <f t="shared" si="12"/>
        <v>May</v>
      </c>
      <c r="Y289" t="str">
        <f t="shared" si="13"/>
        <v>Q2</v>
      </c>
      <c r="Z289" s="7">
        <f t="shared" si="14"/>
        <v>27.99</v>
      </c>
    </row>
    <row r="290" spans="1:26" x14ac:dyDescent="0.3">
      <c r="A290" s="2" t="s">
        <v>2021</v>
      </c>
      <c r="B290" s="8" t="s">
        <v>930</v>
      </c>
      <c r="C290" s="2" t="s">
        <v>2022</v>
      </c>
      <c r="D290" s="2" t="s">
        <v>2023</v>
      </c>
      <c r="E290" s="2" t="s">
        <v>2024</v>
      </c>
      <c r="F290" s="2" t="s">
        <v>2025</v>
      </c>
      <c r="G290" s="2" t="s">
        <v>1183</v>
      </c>
      <c r="H290" s="2" t="s">
        <v>88</v>
      </c>
      <c r="I290" s="2" t="s">
        <v>31</v>
      </c>
      <c r="J290" s="2" t="s">
        <v>2026</v>
      </c>
      <c r="K290" s="2" t="s">
        <v>209</v>
      </c>
      <c r="L290" s="2">
        <v>2</v>
      </c>
      <c r="M290" s="3">
        <v>99.97</v>
      </c>
      <c r="N290" s="2" t="s">
        <v>152</v>
      </c>
      <c r="O290" s="3">
        <v>5</v>
      </c>
      <c r="P290" s="3">
        <v>0</v>
      </c>
      <c r="Q290" s="3">
        <v>6.65</v>
      </c>
      <c r="R290" s="3">
        <v>101.62</v>
      </c>
      <c r="S290" s="2" t="s">
        <v>111</v>
      </c>
      <c r="T290" s="2" t="s">
        <v>183</v>
      </c>
      <c r="U290" s="2" t="s">
        <v>66</v>
      </c>
      <c r="V290" s="2" t="s">
        <v>1417</v>
      </c>
      <c r="W290" s="3">
        <v>0</v>
      </c>
      <c r="X290" t="str">
        <f t="shared" si="12"/>
        <v>October</v>
      </c>
      <c r="Y290" t="str">
        <f t="shared" si="13"/>
        <v>Q4</v>
      </c>
      <c r="Z290" s="7">
        <f t="shared" si="14"/>
        <v>94.97</v>
      </c>
    </row>
    <row r="291" spans="1:26" x14ac:dyDescent="0.3">
      <c r="A291" s="4" t="s">
        <v>2027</v>
      </c>
      <c r="B291" s="9" t="s">
        <v>619</v>
      </c>
      <c r="C291" s="4" t="s">
        <v>2028</v>
      </c>
      <c r="D291" s="4" t="s">
        <v>2029</v>
      </c>
      <c r="E291" s="4" t="s">
        <v>2030</v>
      </c>
      <c r="F291" s="4" t="s">
        <v>2031</v>
      </c>
      <c r="G291" s="4" t="s">
        <v>323</v>
      </c>
      <c r="H291" s="4" t="s">
        <v>324</v>
      </c>
      <c r="I291" s="4" t="s">
        <v>31</v>
      </c>
      <c r="J291" s="4" t="s">
        <v>2032</v>
      </c>
      <c r="K291" s="4" t="s">
        <v>122</v>
      </c>
      <c r="L291" s="4">
        <v>2</v>
      </c>
      <c r="M291" s="5">
        <v>124.98</v>
      </c>
      <c r="N291" s="4" t="s">
        <v>163</v>
      </c>
      <c r="O291" s="5">
        <v>25</v>
      </c>
      <c r="P291" s="5">
        <v>0</v>
      </c>
      <c r="Q291" s="5">
        <v>9</v>
      </c>
      <c r="R291" s="5">
        <v>108.98</v>
      </c>
      <c r="S291" s="4" t="s">
        <v>64</v>
      </c>
      <c r="T291" s="4" t="s">
        <v>99</v>
      </c>
      <c r="U291" s="4" t="s">
        <v>66</v>
      </c>
      <c r="V291" s="4" t="s">
        <v>1625</v>
      </c>
      <c r="W291" s="5">
        <v>0</v>
      </c>
      <c r="X291" t="str">
        <f t="shared" si="12"/>
        <v>October</v>
      </c>
      <c r="Y291" t="str">
        <f t="shared" si="13"/>
        <v>Q4</v>
      </c>
      <c r="Z291" s="7">
        <f t="shared" si="14"/>
        <v>99.98</v>
      </c>
    </row>
    <row r="292" spans="1:26" x14ac:dyDescent="0.3">
      <c r="A292" s="2" t="s">
        <v>2033</v>
      </c>
      <c r="B292" s="8" t="s">
        <v>294</v>
      </c>
      <c r="C292" s="2" t="s">
        <v>2034</v>
      </c>
      <c r="D292" s="2" t="s">
        <v>2035</v>
      </c>
      <c r="E292" s="2" t="s">
        <v>2036</v>
      </c>
      <c r="F292" s="2" t="s">
        <v>2037</v>
      </c>
      <c r="G292" s="2" t="s">
        <v>403</v>
      </c>
      <c r="H292" s="2" t="s">
        <v>404</v>
      </c>
      <c r="I292" s="2" t="s">
        <v>31</v>
      </c>
      <c r="J292" s="2" t="s">
        <v>2038</v>
      </c>
      <c r="K292" s="2" t="s">
        <v>122</v>
      </c>
      <c r="L292" s="2">
        <v>2</v>
      </c>
      <c r="M292" s="3">
        <v>259.95999999999998</v>
      </c>
      <c r="N292" s="2" t="s">
        <v>34</v>
      </c>
      <c r="O292" s="3">
        <v>0</v>
      </c>
      <c r="P292" s="3">
        <v>0</v>
      </c>
      <c r="Q292" s="3">
        <v>22.1</v>
      </c>
      <c r="R292" s="3">
        <v>282.06</v>
      </c>
      <c r="S292" s="2" t="s">
        <v>64</v>
      </c>
      <c r="T292" s="2" t="s">
        <v>36</v>
      </c>
      <c r="U292" s="2" t="s">
        <v>51</v>
      </c>
      <c r="V292" s="2" t="s">
        <v>1823</v>
      </c>
      <c r="W292" s="3">
        <v>0</v>
      </c>
      <c r="X292" t="str">
        <f t="shared" si="12"/>
        <v>November</v>
      </c>
      <c r="Y292" t="str">
        <f t="shared" si="13"/>
        <v>Q4</v>
      </c>
      <c r="Z292" s="7">
        <f t="shared" si="14"/>
        <v>259.95999999999998</v>
      </c>
    </row>
    <row r="293" spans="1:26" x14ac:dyDescent="0.3">
      <c r="A293" s="4" t="s">
        <v>2039</v>
      </c>
      <c r="B293" s="9" t="s">
        <v>447</v>
      </c>
      <c r="C293" s="4" t="s">
        <v>2040</v>
      </c>
      <c r="D293" s="4" t="s">
        <v>2041</v>
      </c>
      <c r="E293" s="4" t="s">
        <v>2042</v>
      </c>
      <c r="F293" s="4" t="s">
        <v>2043</v>
      </c>
      <c r="G293" s="4" t="s">
        <v>640</v>
      </c>
      <c r="H293" s="4" t="s">
        <v>161</v>
      </c>
      <c r="I293" s="4" t="s">
        <v>31</v>
      </c>
      <c r="J293" s="4" t="s">
        <v>2044</v>
      </c>
      <c r="K293" s="4" t="s">
        <v>110</v>
      </c>
      <c r="L293" s="4">
        <v>2</v>
      </c>
      <c r="M293" s="5">
        <v>77.98</v>
      </c>
      <c r="N293" s="4" t="s">
        <v>163</v>
      </c>
      <c r="O293" s="5">
        <v>15.6</v>
      </c>
      <c r="P293" s="5">
        <v>0</v>
      </c>
      <c r="Q293" s="5">
        <v>5.61</v>
      </c>
      <c r="R293" s="5">
        <v>67.989999999999995</v>
      </c>
      <c r="S293" s="4" t="s">
        <v>79</v>
      </c>
      <c r="T293" s="4" t="s">
        <v>99</v>
      </c>
      <c r="U293" s="4" t="s">
        <v>66</v>
      </c>
      <c r="V293" s="4" t="s">
        <v>90</v>
      </c>
      <c r="W293" s="5">
        <v>0</v>
      </c>
      <c r="X293" t="str">
        <f t="shared" si="12"/>
        <v>May</v>
      </c>
      <c r="Y293" t="str">
        <f t="shared" si="13"/>
        <v>Q2</v>
      </c>
      <c r="Z293" s="7">
        <f t="shared" si="14"/>
        <v>62.38</v>
      </c>
    </row>
    <row r="294" spans="1:26" x14ac:dyDescent="0.3">
      <c r="A294" s="2" t="s">
        <v>2045</v>
      </c>
      <c r="B294" s="8" t="s">
        <v>831</v>
      </c>
      <c r="C294" s="2" t="s">
        <v>2046</v>
      </c>
      <c r="D294" s="2" t="s">
        <v>2047</v>
      </c>
      <c r="E294" s="2" t="s">
        <v>2048</v>
      </c>
      <c r="F294" s="2" t="s">
        <v>2049</v>
      </c>
      <c r="G294" s="2" t="s">
        <v>251</v>
      </c>
      <c r="H294" s="2" t="s">
        <v>252</v>
      </c>
      <c r="I294" s="2" t="s">
        <v>31</v>
      </c>
      <c r="J294" s="2" t="s">
        <v>661</v>
      </c>
      <c r="K294" s="2" t="s">
        <v>143</v>
      </c>
      <c r="L294" s="2">
        <v>1</v>
      </c>
      <c r="M294" s="3">
        <v>79.989999999999995</v>
      </c>
      <c r="N294" s="2" t="s">
        <v>34</v>
      </c>
      <c r="O294" s="3">
        <v>0</v>
      </c>
      <c r="P294" s="3">
        <v>0</v>
      </c>
      <c r="Q294" s="3">
        <v>8</v>
      </c>
      <c r="R294" s="3">
        <v>87.99</v>
      </c>
      <c r="S294" s="2" t="s">
        <v>35</v>
      </c>
      <c r="T294" s="2" t="s">
        <v>99</v>
      </c>
      <c r="U294" s="2" t="s">
        <v>66</v>
      </c>
      <c r="V294" s="2" t="s">
        <v>447</v>
      </c>
      <c r="W294" s="3">
        <v>0</v>
      </c>
      <c r="X294" t="str">
        <f t="shared" si="12"/>
        <v>April</v>
      </c>
      <c r="Y294" t="str">
        <f t="shared" si="13"/>
        <v>Q2</v>
      </c>
      <c r="Z294" s="7">
        <f t="shared" si="14"/>
        <v>79.989999999999995</v>
      </c>
    </row>
    <row r="295" spans="1:26" x14ac:dyDescent="0.3">
      <c r="A295" s="4" t="s">
        <v>2050</v>
      </c>
      <c r="B295" s="9" t="s">
        <v>478</v>
      </c>
      <c r="C295" s="4" t="s">
        <v>2051</v>
      </c>
      <c r="D295" s="4" t="s">
        <v>2052</v>
      </c>
      <c r="E295" s="4" t="s">
        <v>2053</v>
      </c>
      <c r="F295" s="4" t="s">
        <v>2054</v>
      </c>
      <c r="G295" s="4" t="s">
        <v>282</v>
      </c>
      <c r="H295" s="4" t="s">
        <v>88</v>
      </c>
      <c r="I295" s="4" t="s">
        <v>31</v>
      </c>
      <c r="J295" s="4" t="s">
        <v>2055</v>
      </c>
      <c r="K295" s="4" t="s">
        <v>33</v>
      </c>
      <c r="L295" s="4">
        <v>2</v>
      </c>
      <c r="M295" s="5">
        <v>122.97</v>
      </c>
      <c r="N295" s="4" t="s">
        <v>49</v>
      </c>
      <c r="O295" s="5">
        <v>18.45</v>
      </c>
      <c r="P295" s="5">
        <v>0</v>
      </c>
      <c r="Q295" s="5">
        <v>7.32</v>
      </c>
      <c r="R295" s="5">
        <v>111.84</v>
      </c>
      <c r="S295" s="4" t="s">
        <v>64</v>
      </c>
      <c r="T295" s="4" t="s">
        <v>173</v>
      </c>
      <c r="U295" s="4" t="s">
        <v>66</v>
      </c>
      <c r="V295" s="4" t="s">
        <v>1095</v>
      </c>
      <c r="W295" s="5">
        <v>0</v>
      </c>
      <c r="X295" t="str">
        <f t="shared" si="12"/>
        <v>May</v>
      </c>
      <c r="Y295" t="str">
        <f t="shared" si="13"/>
        <v>Q2</v>
      </c>
      <c r="Z295" s="7">
        <f t="shared" si="14"/>
        <v>104.52</v>
      </c>
    </row>
    <row r="296" spans="1:26" x14ac:dyDescent="0.3">
      <c r="A296" s="2" t="s">
        <v>2056</v>
      </c>
      <c r="B296" s="8" t="s">
        <v>806</v>
      </c>
      <c r="C296" s="2" t="s">
        <v>2057</v>
      </c>
      <c r="D296" s="2" t="s">
        <v>2058</v>
      </c>
      <c r="E296" s="2" t="s">
        <v>2059</v>
      </c>
      <c r="F296" s="2" t="s">
        <v>2060</v>
      </c>
      <c r="G296" s="2" t="s">
        <v>107</v>
      </c>
      <c r="H296" s="2" t="s">
        <v>108</v>
      </c>
      <c r="I296" s="2" t="s">
        <v>31</v>
      </c>
      <c r="J296" s="2" t="s">
        <v>2061</v>
      </c>
      <c r="K296" s="2" t="s">
        <v>77</v>
      </c>
      <c r="L296" s="2">
        <v>3</v>
      </c>
      <c r="M296" s="3">
        <v>143.94999999999999</v>
      </c>
      <c r="N296" s="2" t="s">
        <v>34</v>
      </c>
      <c r="O296" s="3">
        <v>0</v>
      </c>
      <c r="P296" s="3">
        <v>0</v>
      </c>
      <c r="Q296" s="3">
        <v>14.39</v>
      </c>
      <c r="R296" s="3">
        <v>158.34</v>
      </c>
      <c r="S296" s="2" t="s">
        <v>79</v>
      </c>
      <c r="T296" s="2" t="s">
        <v>65</v>
      </c>
      <c r="U296" s="2" t="s">
        <v>51</v>
      </c>
      <c r="V296" s="2" t="s">
        <v>1539</v>
      </c>
      <c r="W296" s="3">
        <v>0</v>
      </c>
      <c r="X296" t="str">
        <f t="shared" si="12"/>
        <v>March</v>
      </c>
      <c r="Y296" t="str">
        <f t="shared" si="13"/>
        <v>Q1</v>
      </c>
      <c r="Z296" s="7">
        <f t="shared" si="14"/>
        <v>143.94999999999999</v>
      </c>
    </row>
    <row r="297" spans="1:26" x14ac:dyDescent="0.3">
      <c r="A297" s="4" t="s">
        <v>2062</v>
      </c>
      <c r="B297" s="9" t="s">
        <v>1560</v>
      </c>
      <c r="C297" s="4" t="s">
        <v>2063</v>
      </c>
      <c r="D297" s="4" t="s">
        <v>2064</v>
      </c>
      <c r="E297" s="4" t="s">
        <v>2065</v>
      </c>
      <c r="F297" s="4" t="s">
        <v>2066</v>
      </c>
      <c r="G297" s="4" t="s">
        <v>224</v>
      </c>
      <c r="H297" s="4" t="s">
        <v>225</v>
      </c>
      <c r="I297" s="4" t="s">
        <v>31</v>
      </c>
      <c r="J297" s="4" t="s">
        <v>2067</v>
      </c>
      <c r="K297" s="4" t="s">
        <v>364</v>
      </c>
      <c r="L297" s="4">
        <v>5</v>
      </c>
      <c r="M297" s="5">
        <v>165.93</v>
      </c>
      <c r="N297" s="4" t="s">
        <v>34</v>
      </c>
      <c r="O297" s="5">
        <v>0</v>
      </c>
      <c r="P297" s="5">
        <v>0</v>
      </c>
      <c r="Q297" s="5">
        <v>11.62</v>
      </c>
      <c r="R297" s="5">
        <v>177.55</v>
      </c>
      <c r="S297" s="4" t="s">
        <v>35</v>
      </c>
      <c r="T297" s="4" t="s">
        <v>325</v>
      </c>
      <c r="U297" s="4" t="s">
        <v>66</v>
      </c>
      <c r="V297" s="4" t="s">
        <v>1252</v>
      </c>
      <c r="W297" s="5">
        <v>0</v>
      </c>
      <c r="X297" t="str">
        <f t="shared" si="12"/>
        <v>December</v>
      </c>
      <c r="Y297" t="str">
        <f t="shared" si="13"/>
        <v>Q4</v>
      </c>
      <c r="Z297" s="7">
        <f t="shared" si="14"/>
        <v>165.93</v>
      </c>
    </row>
    <row r="298" spans="1:26" x14ac:dyDescent="0.3">
      <c r="A298" s="2" t="s">
        <v>2068</v>
      </c>
      <c r="B298" s="8" t="s">
        <v>736</v>
      </c>
      <c r="C298" s="2" t="s">
        <v>147</v>
      </c>
      <c r="D298" s="2" t="s">
        <v>320</v>
      </c>
      <c r="E298" s="2" t="s">
        <v>2069</v>
      </c>
      <c r="F298" s="2" t="s">
        <v>2070</v>
      </c>
      <c r="G298" s="2" t="s">
        <v>160</v>
      </c>
      <c r="H298" s="2" t="s">
        <v>161</v>
      </c>
      <c r="I298" s="2" t="s">
        <v>31</v>
      </c>
      <c r="J298" s="2" t="s">
        <v>2071</v>
      </c>
      <c r="K298" s="2" t="s">
        <v>143</v>
      </c>
      <c r="L298" s="2">
        <v>2</v>
      </c>
      <c r="M298" s="3">
        <v>249.98</v>
      </c>
      <c r="N298" s="2" t="s">
        <v>78</v>
      </c>
      <c r="O298" s="3">
        <v>25</v>
      </c>
      <c r="P298" s="3">
        <v>0</v>
      </c>
      <c r="Q298" s="3">
        <v>15.75</v>
      </c>
      <c r="R298" s="3">
        <v>240.73</v>
      </c>
      <c r="S298" s="2" t="s">
        <v>111</v>
      </c>
      <c r="T298" s="2" t="s">
        <v>173</v>
      </c>
      <c r="U298" s="2" t="s">
        <v>66</v>
      </c>
      <c r="V298" s="2" t="s">
        <v>742</v>
      </c>
      <c r="W298" s="3">
        <v>0</v>
      </c>
      <c r="X298" t="str">
        <f t="shared" si="12"/>
        <v>January</v>
      </c>
      <c r="Y298" t="str">
        <f t="shared" si="13"/>
        <v>Q1</v>
      </c>
      <c r="Z298" s="7">
        <f t="shared" si="14"/>
        <v>224.98</v>
      </c>
    </row>
    <row r="299" spans="1:26" x14ac:dyDescent="0.3">
      <c r="A299" s="4" t="s">
        <v>2072</v>
      </c>
      <c r="B299" s="9" t="s">
        <v>1930</v>
      </c>
      <c r="C299" s="4" t="s">
        <v>2073</v>
      </c>
      <c r="D299" s="4" t="s">
        <v>2074</v>
      </c>
      <c r="E299" s="4" t="s">
        <v>2075</v>
      </c>
      <c r="F299" s="4" t="s">
        <v>2076</v>
      </c>
      <c r="G299" s="4" t="s">
        <v>207</v>
      </c>
      <c r="H299" s="4" t="s">
        <v>141</v>
      </c>
      <c r="I299" s="4" t="s">
        <v>31</v>
      </c>
      <c r="J299" s="4" t="s">
        <v>2077</v>
      </c>
      <c r="K299" s="4" t="s">
        <v>48</v>
      </c>
      <c r="L299" s="4">
        <v>5</v>
      </c>
      <c r="M299" s="5">
        <v>329.92</v>
      </c>
      <c r="N299" s="4" t="s">
        <v>34</v>
      </c>
      <c r="O299" s="5">
        <v>0</v>
      </c>
      <c r="P299" s="5">
        <v>0</v>
      </c>
      <c r="Q299" s="5">
        <v>28.04</v>
      </c>
      <c r="R299" s="5">
        <v>357.96</v>
      </c>
      <c r="S299" s="4" t="s">
        <v>123</v>
      </c>
      <c r="T299" s="4" t="s">
        <v>99</v>
      </c>
      <c r="U299" s="4" t="s">
        <v>317</v>
      </c>
      <c r="V299" s="4"/>
      <c r="W299" s="5">
        <v>0</v>
      </c>
      <c r="X299" t="str">
        <f t="shared" si="12"/>
        <v>September</v>
      </c>
      <c r="Y299" t="str">
        <f t="shared" si="13"/>
        <v>Q3</v>
      </c>
      <c r="Z299" s="7">
        <f t="shared" si="14"/>
        <v>329.92</v>
      </c>
    </row>
    <row r="300" spans="1:26" x14ac:dyDescent="0.3">
      <c r="A300" s="2" t="s">
        <v>2078</v>
      </c>
      <c r="B300" s="8" t="s">
        <v>1787</v>
      </c>
      <c r="C300" s="2" t="s">
        <v>2079</v>
      </c>
      <c r="D300" s="2" t="s">
        <v>2080</v>
      </c>
      <c r="E300" s="2" t="s">
        <v>2081</v>
      </c>
      <c r="F300" s="2" t="s">
        <v>2082</v>
      </c>
      <c r="G300" s="2" t="s">
        <v>59</v>
      </c>
      <c r="H300" s="2" t="s">
        <v>60</v>
      </c>
      <c r="I300" s="2" t="s">
        <v>31</v>
      </c>
      <c r="J300" s="2" t="s">
        <v>1238</v>
      </c>
      <c r="K300" s="2" t="s">
        <v>209</v>
      </c>
      <c r="L300" s="2">
        <v>1</v>
      </c>
      <c r="M300" s="3">
        <v>39.99</v>
      </c>
      <c r="N300" s="2" t="s">
        <v>34</v>
      </c>
      <c r="O300" s="3">
        <v>0</v>
      </c>
      <c r="P300" s="3">
        <v>5.99</v>
      </c>
      <c r="Q300" s="3">
        <v>3.6</v>
      </c>
      <c r="R300" s="3">
        <v>49.58</v>
      </c>
      <c r="S300" s="2" t="s">
        <v>123</v>
      </c>
      <c r="T300" s="2" t="s">
        <v>325</v>
      </c>
      <c r="U300" s="2" t="s">
        <v>66</v>
      </c>
      <c r="V300" s="2" t="s">
        <v>2083</v>
      </c>
      <c r="W300" s="3">
        <v>0</v>
      </c>
      <c r="X300" t="str">
        <f t="shared" si="12"/>
        <v>November</v>
      </c>
      <c r="Y300" t="str">
        <f t="shared" si="13"/>
        <v>Q4</v>
      </c>
      <c r="Z300" s="7">
        <f t="shared" si="14"/>
        <v>39.99</v>
      </c>
    </row>
    <row r="301" spans="1:26" x14ac:dyDescent="0.3">
      <c r="A301" s="4" t="s">
        <v>2084</v>
      </c>
      <c r="B301" s="9" t="s">
        <v>1633</v>
      </c>
      <c r="C301" s="4" t="s">
        <v>2085</v>
      </c>
      <c r="D301" s="4" t="s">
        <v>2086</v>
      </c>
      <c r="E301" s="4" t="s">
        <v>2087</v>
      </c>
      <c r="F301" s="4" t="s">
        <v>2088</v>
      </c>
      <c r="G301" s="4" t="s">
        <v>45</v>
      </c>
      <c r="H301" s="4" t="s">
        <v>46</v>
      </c>
      <c r="I301" s="4" t="s">
        <v>31</v>
      </c>
      <c r="J301" s="4" t="s">
        <v>2089</v>
      </c>
      <c r="K301" s="4" t="s">
        <v>364</v>
      </c>
      <c r="L301" s="4">
        <v>2</v>
      </c>
      <c r="M301" s="5">
        <v>54.98</v>
      </c>
      <c r="N301" s="4" t="s">
        <v>63</v>
      </c>
      <c r="O301" s="5">
        <v>13.75</v>
      </c>
      <c r="P301" s="5">
        <v>5.99</v>
      </c>
      <c r="Q301" s="5">
        <v>3.5</v>
      </c>
      <c r="R301" s="5">
        <v>50.72</v>
      </c>
      <c r="S301" s="4" t="s">
        <v>332</v>
      </c>
      <c r="T301" s="4" t="s">
        <v>173</v>
      </c>
      <c r="U301" s="4" t="s">
        <v>37</v>
      </c>
      <c r="V301" s="4" t="s">
        <v>858</v>
      </c>
      <c r="W301" s="5">
        <v>50.72</v>
      </c>
      <c r="X301" t="str">
        <f t="shared" si="12"/>
        <v>April</v>
      </c>
      <c r="Y301" t="str">
        <f t="shared" si="13"/>
        <v>Q2</v>
      </c>
      <c r="Z301" s="7">
        <f t="shared" si="14"/>
        <v>41.23</v>
      </c>
    </row>
    <row r="302" spans="1:26" x14ac:dyDescent="0.3">
      <c r="A302" s="2" t="s">
        <v>2090</v>
      </c>
      <c r="B302" s="8" t="s">
        <v>1321</v>
      </c>
      <c r="C302" s="2" t="s">
        <v>2091</v>
      </c>
      <c r="D302" s="2" t="s">
        <v>2092</v>
      </c>
      <c r="E302" s="2" t="s">
        <v>2093</v>
      </c>
      <c r="F302" s="2" t="s">
        <v>2094</v>
      </c>
      <c r="G302" s="2" t="s">
        <v>119</v>
      </c>
      <c r="H302" s="2" t="s">
        <v>120</v>
      </c>
      <c r="I302" s="2" t="s">
        <v>31</v>
      </c>
      <c r="J302" s="2" t="s">
        <v>2095</v>
      </c>
      <c r="K302" s="2" t="s">
        <v>62</v>
      </c>
      <c r="L302" s="2">
        <v>2</v>
      </c>
      <c r="M302" s="3">
        <v>97.96</v>
      </c>
      <c r="N302" s="2" t="s">
        <v>34</v>
      </c>
      <c r="O302" s="3">
        <v>0</v>
      </c>
      <c r="P302" s="3">
        <v>0</v>
      </c>
      <c r="Q302" s="3">
        <v>7.84</v>
      </c>
      <c r="R302" s="3">
        <v>105.8</v>
      </c>
      <c r="S302" s="2" t="s">
        <v>35</v>
      </c>
      <c r="T302" s="2" t="s">
        <v>36</v>
      </c>
      <c r="U302" s="2" t="s">
        <v>66</v>
      </c>
      <c r="V302" s="2" t="s">
        <v>2096</v>
      </c>
      <c r="W302" s="3">
        <v>0</v>
      </c>
      <c r="X302" t="str">
        <f t="shared" si="12"/>
        <v>March</v>
      </c>
      <c r="Y302" t="str">
        <f t="shared" si="13"/>
        <v>Q1</v>
      </c>
      <c r="Z302" s="7">
        <f t="shared" si="14"/>
        <v>97.96</v>
      </c>
    </row>
    <row r="303" spans="1:26" x14ac:dyDescent="0.3">
      <c r="A303" s="4" t="s">
        <v>2097</v>
      </c>
      <c r="B303" s="9" t="s">
        <v>1823</v>
      </c>
      <c r="C303" s="4" t="s">
        <v>2098</v>
      </c>
      <c r="D303" s="4" t="s">
        <v>2099</v>
      </c>
      <c r="E303" s="4" t="s">
        <v>2100</v>
      </c>
      <c r="F303" s="4" t="s">
        <v>2101</v>
      </c>
      <c r="G303" s="4" t="s">
        <v>640</v>
      </c>
      <c r="H303" s="4" t="s">
        <v>161</v>
      </c>
      <c r="I303" s="4" t="s">
        <v>31</v>
      </c>
      <c r="J303" s="4" t="s">
        <v>2102</v>
      </c>
      <c r="K303" s="4" t="s">
        <v>110</v>
      </c>
      <c r="L303" s="4">
        <v>5</v>
      </c>
      <c r="M303" s="5">
        <v>345.93</v>
      </c>
      <c r="N303" s="4" t="s">
        <v>34</v>
      </c>
      <c r="O303" s="5">
        <v>0</v>
      </c>
      <c r="P303" s="5">
        <v>0</v>
      </c>
      <c r="Q303" s="5">
        <v>24.22</v>
      </c>
      <c r="R303" s="5">
        <v>370.15</v>
      </c>
      <c r="S303" s="4" t="s">
        <v>332</v>
      </c>
      <c r="T303" s="4" t="s">
        <v>99</v>
      </c>
      <c r="U303" s="4" t="s">
        <v>66</v>
      </c>
      <c r="V303" s="4" t="s">
        <v>2083</v>
      </c>
      <c r="W303" s="5">
        <v>0</v>
      </c>
      <c r="X303" t="str">
        <f t="shared" si="12"/>
        <v>November</v>
      </c>
      <c r="Y303" t="str">
        <f t="shared" si="13"/>
        <v>Q4</v>
      </c>
      <c r="Z303" s="7">
        <f t="shared" si="14"/>
        <v>345.93</v>
      </c>
    </row>
    <row r="304" spans="1:26" x14ac:dyDescent="0.3">
      <c r="A304" s="2" t="s">
        <v>2103</v>
      </c>
      <c r="B304" s="8" t="s">
        <v>1417</v>
      </c>
      <c r="C304" s="2" t="s">
        <v>2104</v>
      </c>
      <c r="D304" s="2" t="s">
        <v>2105</v>
      </c>
      <c r="E304" s="2" t="s">
        <v>2106</v>
      </c>
      <c r="F304" s="2" t="s">
        <v>2107</v>
      </c>
      <c r="G304" s="2" t="s">
        <v>802</v>
      </c>
      <c r="H304" s="2" t="s">
        <v>88</v>
      </c>
      <c r="I304" s="2" t="s">
        <v>31</v>
      </c>
      <c r="J304" s="2" t="s">
        <v>678</v>
      </c>
      <c r="K304" s="2" t="s">
        <v>679</v>
      </c>
      <c r="L304" s="2">
        <v>1</v>
      </c>
      <c r="M304" s="3">
        <v>14.99</v>
      </c>
      <c r="N304" s="2" t="s">
        <v>163</v>
      </c>
      <c r="O304" s="3">
        <v>3</v>
      </c>
      <c r="P304" s="3">
        <v>4.99</v>
      </c>
      <c r="Q304" s="3">
        <v>1.08</v>
      </c>
      <c r="R304" s="3">
        <v>18.059999999999999</v>
      </c>
      <c r="S304" s="2" t="s">
        <v>111</v>
      </c>
      <c r="T304" s="2" t="s">
        <v>99</v>
      </c>
      <c r="U304" s="2" t="s">
        <v>100</v>
      </c>
      <c r="V304" s="2"/>
      <c r="W304" s="3">
        <v>0</v>
      </c>
      <c r="X304" t="str">
        <f t="shared" si="12"/>
        <v>October</v>
      </c>
      <c r="Y304" t="str">
        <f t="shared" si="13"/>
        <v>Q4</v>
      </c>
      <c r="Z304" s="7">
        <f t="shared" si="14"/>
        <v>11.99</v>
      </c>
    </row>
    <row r="305" spans="1:26" x14ac:dyDescent="0.3">
      <c r="A305" s="4" t="s">
        <v>2108</v>
      </c>
      <c r="B305" s="9" t="s">
        <v>270</v>
      </c>
      <c r="C305" s="4" t="s">
        <v>2109</v>
      </c>
      <c r="D305" s="4" t="s">
        <v>2110</v>
      </c>
      <c r="E305" s="4" t="s">
        <v>2111</v>
      </c>
      <c r="F305" s="4" t="s">
        <v>2112</v>
      </c>
      <c r="G305" s="4" t="s">
        <v>59</v>
      </c>
      <c r="H305" s="4" t="s">
        <v>60</v>
      </c>
      <c r="I305" s="4" t="s">
        <v>31</v>
      </c>
      <c r="J305" s="4" t="s">
        <v>526</v>
      </c>
      <c r="K305" s="4" t="s">
        <v>110</v>
      </c>
      <c r="L305" s="4">
        <v>1</v>
      </c>
      <c r="M305" s="5">
        <v>32.99</v>
      </c>
      <c r="N305" s="4" t="s">
        <v>34</v>
      </c>
      <c r="O305" s="5">
        <v>0</v>
      </c>
      <c r="P305" s="5">
        <v>4.99</v>
      </c>
      <c r="Q305" s="5">
        <v>2.31</v>
      </c>
      <c r="R305" s="5">
        <v>40.29</v>
      </c>
      <c r="S305" s="4" t="s">
        <v>35</v>
      </c>
      <c r="T305" s="4" t="s">
        <v>36</v>
      </c>
      <c r="U305" s="4" t="s">
        <v>66</v>
      </c>
      <c r="V305" s="4" t="s">
        <v>496</v>
      </c>
      <c r="W305" s="5">
        <v>0</v>
      </c>
      <c r="X305" t="str">
        <f t="shared" si="12"/>
        <v>July</v>
      </c>
      <c r="Y305" t="str">
        <f t="shared" si="13"/>
        <v>Q3</v>
      </c>
      <c r="Z305" s="7">
        <f t="shared" si="14"/>
        <v>32.99</v>
      </c>
    </row>
    <row r="306" spans="1:26" x14ac:dyDescent="0.3">
      <c r="A306" s="2" t="s">
        <v>2113</v>
      </c>
      <c r="B306" s="8" t="s">
        <v>1321</v>
      </c>
      <c r="C306" s="2" t="s">
        <v>2114</v>
      </c>
      <c r="D306" s="2" t="s">
        <v>2115</v>
      </c>
      <c r="E306" s="2" t="s">
        <v>2116</v>
      </c>
      <c r="F306" s="2" t="s">
        <v>2117</v>
      </c>
      <c r="G306" s="2" t="s">
        <v>1730</v>
      </c>
      <c r="H306" s="2" t="s">
        <v>161</v>
      </c>
      <c r="I306" s="2" t="s">
        <v>31</v>
      </c>
      <c r="J306" s="2" t="s">
        <v>1232</v>
      </c>
      <c r="K306" s="2" t="s">
        <v>77</v>
      </c>
      <c r="L306" s="2">
        <v>1</v>
      </c>
      <c r="M306" s="3">
        <v>34.99</v>
      </c>
      <c r="N306" s="2" t="s">
        <v>152</v>
      </c>
      <c r="O306" s="3">
        <v>1.75</v>
      </c>
      <c r="P306" s="3">
        <v>5.99</v>
      </c>
      <c r="Q306" s="3">
        <v>2.83</v>
      </c>
      <c r="R306" s="3">
        <v>42.06</v>
      </c>
      <c r="S306" s="2" t="s">
        <v>332</v>
      </c>
      <c r="T306" s="2" t="s">
        <v>99</v>
      </c>
      <c r="U306" s="2" t="s">
        <v>66</v>
      </c>
      <c r="V306" s="2" t="s">
        <v>2096</v>
      </c>
      <c r="W306" s="3">
        <v>0</v>
      </c>
      <c r="X306" t="str">
        <f t="shared" si="12"/>
        <v>March</v>
      </c>
      <c r="Y306" t="str">
        <f t="shared" si="13"/>
        <v>Q1</v>
      </c>
      <c r="Z306" s="7">
        <f t="shared" si="14"/>
        <v>33.24</v>
      </c>
    </row>
    <row r="307" spans="1:26" x14ac:dyDescent="0.3">
      <c r="A307" s="4" t="s">
        <v>2118</v>
      </c>
      <c r="B307" s="9" t="s">
        <v>153</v>
      </c>
      <c r="C307" s="4" t="s">
        <v>2119</v>
      </c>
      <c r="D307" s="4" t="s">
        <v>2120</v>
      </c>
      <c r="E307" s="4" t="s">
        <v>2121</v>
      </c>
      <c r="F307" s="4" t="s">
        <v>2122</v>
      </c>
      <c r="G307" s="4" t="s">
        <v>224</v>
      </c>
      <c r="H307" s="4" t="s">
        <v>225</v>
      </c>
      <c r="I307" s="4" t="s">
        <v>31</v>
      </c>
      <c r="J307" s="4" t="s">
        <v>1340</v>
      </c>
      <c r="K307" s="4" t="s">
        <v>209</v>
      </c>
      <c r="L307" s="4">
        <v>1</v>
      </c>
      <c r="M307" s="5">
        <v>119.99</v>
      </c>
      <c r="N307" s="4" t="s">
        <v>78</v>
      </c>
      <c r="O307" s="5">
        <v>12</v>
      </c>
      <c r="P307" s="5">
        <v>0</v>
      </c>
      <c r="Q307" s="5">
        <v>8.64</v>
      </c>
      <c r="R307" s="5">
        <v>116.63</v>
      </c>
      <c r="S307" s="4" t="s">
        <v>123</v>
      </c>
      <c r="T307" s="4" t="s">
        <v>173</v>
      </c>
      <c r="U307" s="4" t="s">
        <v>66</v>
      </c>
      <c r="V307" s="4" t="s">
        <v>736</v>
      </c>
      <c r="W307" s="5">
        <v>0</v>
      </c>
      <c r="X307" t="str">
        <f t="shared" si="12"/>
        <v>January</v>
      </c>
      <c r="Y307" t="str">
        <f t="shared" si="13"/>
        <v>Q1</v>
      </c>
      <c r="Z307" s="7">
        <f t="shared" si="14"/>
        <v>107.99</v>
      </c>
    </row>
    <row r="308" spans="1:26" x14ac:dyDescent="0.3">
      <c r="A308" s="2" t="s">
        <v>2123</v>
      </c>
      <c r="B308" s="8" t="s">
        <v>389</v>
      </c>
      <c r="C308" s="2" t="s">
        <v>2124</v>
      </c>
      <c r="D308" s="2" t="s">
        <v>2125</v>
      </c>
      <c r="E308" s="2" t="s">
        <v>2126</v>
      </c>
      <c r="F308" s="2" t="s">
        <v>2127</v>
      </c>
      <c r="G308" s="2" t="s">
        <v>29</v>
      </c>
      <c r="H308" s="2" t="s">
        <v>30</v>
      </c>
      <c r="I308" s="2" t="s">
        <v>31</v>
      </c>
      <c r="J308" s="2" t="s">
        <v>2128</v>
      </c>
      <c r="K308" s="2" t="s">
        <v>110</v>
      </c>
      <c r="L308" s="2">
        <v>1</v>
      </c>
      <c r="M308" s="3">
        <v>45.98</v>
      </c>
      <c r="N308" s="2" t="s">
        <v>78</v>
      </c>
      <c r="O308" s="3">
        <v>4.5999999999999996</v>
      </c>
      <c r="P308" s="3">
        <v>7.99</v>
      </c>
      <c r="Q308" s="3">
        <v>2.9</v>
      </c>
      <c r="R308" s="3">
        <v>52.27</v>
      </c>
      <c r="S308" s="2" t="s">
        <v>64</v>
      </c>
      <c r="T308" s="2" t="s">
        <v>173</v>
      </c>
      <c r="U308" s="2" t="s">
        <v>100</v>
      </c>
      <c r="V308" s="2"/>
      <c r="W308" s="3">
        <v>0</v>
      </c>
      <c r="X308" t="str">
        <f t="shared" si="12"/>
        <v>October</v>
      </c>
      <c r="Y308" t="str">
        <f t="shared" si="13"/>
        <v>Q4</v>
      </c>
      <c r="Z308" s="7">
        <f t="shared" si="14"/>
        <v>41.379999999999995</v>
      </c>
    </row>
    <row r="309" spans="1:26" x14ac:dyDescent="0.3">
      <c r="A309" s="4" t="s">
        <v>2129</v>
      </c>
      <c r="B309" s="9" t="s">
        <v>2130</v>
      </c>
      <c r="C309" s="4" t="s">
        <v>2131</v>
      </c>
      <c r="D309" s="4" t="s">
        <v>2132</v>
      </c>
      <c r="E309" s="4" t="s">
        <v>2133</v>
      </c>
      <c r="F309" s="4" t="s">
        <v>2134</v>
      </c>
      <c r="G309" s="4" t="s">
        <v>692</v>
      </c>
      <c r="H309" s="4" t="s">
        <v>693</v>
      </c>
      <c r="I309" s="4" t="s">
        <v>31</v>
      </c>
      <c r="J309" s="4" t="s">
        <v>2135</v>
      </c>
      <c r="K309" s="4" t="s">
        <v>48</v>
      </c>
      <c r="L309" s="4">
        <v>2</v>
      </c>
      <c r="M309" s="5">
        <v>125.97</v>
      </c>
      <c r="N309" s="4" t="s">
        <v>152</v>
      </c>
      <c r="O309" s="5">
        <v>6.3</v>
      </c>
      <c r="P309" s="5">
        <v>0</v>
      </c>
      <c r="Q309" s="5">
        <v>10.17</v>
      </c>
      <c r="R309" s="5">
        <v>129.84</v>
      </c>
      <c r="S309" s="4" t="s">
        <v>123</v>
      </c>
      <c r="T309" s="4" t="s">
        <v>99</v>
      </c>
      <c r="U309" s="4" t="s">
        <v>37</v>
      </c>
      <c r="V309" s="4" t="s">
        <v>1329</v>
      </c>
      <c r="W309" s="5">
        <v>129.84</v>
      </c>
      <c r="X309" t="str">
        <f t="shared" si="12"/>
        <v>January</v>
      </c>
      <c r="Y309" t="str">
        <f t="shared" si="13"/>
        <v>Q1</v>
      </c>
      <c r="Z309" s="7">
        <f t="shared" si="14"/>
        <v>119.67</v>
      </c>
    </row>
    <row r="310" spans="1:26" x14ac:dyDescent="0.3">
      <c r="A310" s="2" t="s">
        <v>2136</v>
      </c>
      <c r="B310" s="8" t="s">
        <v>587</v>
      </c>
      <c r="C310" s="2" t="s">
        <v>2137</v>
      </c>
      <c r="D310" s="2" t="s">
        <v>698</v>
      </c>
      <c r="E310" s="2" t="s">
        <v>2138</v>
      </c>
      <c r="F310" s="2" t="s">
        <v>2139</v>
      </c>
      <c r="G310" s="2" t="s">
        <v>242</v>
      </c>
      <c r="H310" s="2" t="s">
        <v>243</v>
      </c>
      <c r="I310" s="2" t="s">
        <v>31</v>
      </c>
      <c r="J310" s="2" t="s">
        <v>2140</v>
      </c>
      <c r="K310" s="2" t="s">
        <v>48</v>
      </c>
      <c r="L310" s="2">
        <v>2</v>
      </c>
      <c r="M310" s="3">
        <v>124.98</v>
      </c>
      <c r="N310" s="2" t="s">
        <v>49</v>
      </c>
      <c r="O310" s="3">
        <v>18.75</v>
      </c>
      <c r="P310" s="3">
        <v>0</v>
      </c>
      <c r="Q310" s="3">
        <v>10.62</v>
      </c>
      <c r="R310" s="3">
        <v>116.85</v>
      </c>
      <c r="S310" s="2" t="s">
        <v>64</v>
      </c>
      <c r="T310" s="2" t="s">
        <v>50</v>
      </c>
      <c r="U310" s="2" t="s">
        <v>66</v>
      </c>
      <c r="V310" s="2" t="s">
        <v>877</v>
      </c>
      <c r="W310" s="3">
        <v>0</v>
      </c>
      <c r="X310" t="str">
        <f t="shared" si="12"/>
        <v>July</v>
      </c>
      <c r="Y310" t="str">
        <f t="shared" si="13"/>
        <v>Q3</v>
      </c>
      <c r="Z310" s="7">
        <f t="shared" si="14"/>
        <v>106.23</v>
      </c>
    </row>
    <row r="311" spans="1:26" x14ac:dyDescent="0.3">
      <c r="A311" s="4" t="s">
        <v>2141</v>
      </c>
      <c r="B311" s="9" t="s">
        <v>2142</v>
      </c>
      <c r="C311" s="4" t="s">
        <v>2143</v>
      </c>
      <c r="D311" s="4" t="s">
        <v>2144</v>
      </c>
      <c r="E311" s="4" t="s">
        <v>2145</v>
      </c>
      <c r="F311" s="4" t="s">
        <v>2146</v>
      </c>
      <c r="G311" s="4" t="s">
        <v>242</v>
      </c>
      <c r="H311" s="4" t="s">
        <v>243</v>
      </c>
      <c r="I311" s="4" t="s">
        <v>31</v>
      </c>
      <c r="J311" s="4" t="s">
        <v>2147</v>
      </c>
      <c r="K311" s="4" t="s">
        <v>62</v>
      </c>
      <c r="L311" s="4">
        <v>2</v>
      </c>
      <c r="M311" s="5">
        <v>164.97</v>
      </c>
      <c r="N311" s="4" t="s">
        <v>49</v>
      </c>
      <c r="O311" s="5">
        <v>24.75</v>
      </c>
      <c r="P311" s="5">
        <v>0</v>
      </c>
      <c r="Q311" s="5">
        <v>14.02</v>
      </c>
      <c r="R311" s="5">
        <v>154.24</v>
      </c>
      <c r="S311" s="4" t="s">
        <v>35</v>
      </c>
      <c r="T311" s="4" t="s">
        <v>173</v>
      </c>
      <c r="U311" s="4" t="s">
        <v>51</v>
      </c>
      <c r="V311" s="4" t="s">
        <v>945</v>
      </c>
      <c r="W311" s="5">
        <v>0</v>
      </c>
      <c r="X311" t="str">
        <f t="shared" si="12"/>
        <v>August</v>
      </c>
      <c r="Y311" t="str">
        <f t="shared" si="13"/>
        <v>Q3</v>
      </c>
      <c r="Z311" s="7">
        <f t="shared" si="14"/>
        <v>140.22</v>
      </c>
    </row>
    <row r="312" spans="1:26" x14ac:dyDescent="0.3">
      <c r="A312" s="2" t="s">
        <v>2148</v>
      </c>
      <c r="B312" s="8" t="s">
        <v>2149</v>
      </c>
      <c r="C312" s="2" t="s">
        <v>2150</v>
      </c>
      <c r="D312" s="2" t="s">
        <v>2151</v>
      </c>
      <c r="E312" s="2" t="s">
        <v>2152</v>
      </c>
      <c r="F312" s="2" t="s">
        <v>2153</v>
      </c>
      <c r="G312" s="2" t="s">
        <v>242</v>
      </c>
      <c r="H312" s="2" t="s">
        <v>243</v>
      </c>
      <c r="I312" s="2" t="s">
        <v>31</v>
      </c>
      <c r="J312" s="2" t="s">
        <v>379</v>
      </c>
      <c r="K312" s="2" t="s">
        <v>209</v>
      </c>
      <c r="L312" s="2">
        <v>1</v>
      </c>
      <c r="M312" s="3">
        <v>89.99</v>
      </c>
      <c r="N312" s="2" t="s">
        <v>49</v>
      </c>
      <c r="O312" s="3">
        <v>13.5</v>
      </c>
      <c r="P312" s="3">
        <v>0</v>
      </c>
      <c r="Q312" s="3">
        <v>7.65</v>
      </c>
      <c r="R312" s="3">
        <v>84.14</v>
      </c>
      <c r="S312" s="2" t="s">
        <v>123</v>
      </c>
      <c r="T312" s="2" t="s">
        <v>99</v>
      </c>
      <c r="U312" s="2" t="s">
        <v>317</v>
      </c>
      <c r="V312" s="2"/>
      <c r="W312" s="3">
        <v>0</v>
      </c>
      <c r="X312" t="str">
        <f t="shared" si="12"/>
        <v>February</v>
      </c>
      <c r="Y312" t="str">
        <f t="shared" si="13"/>
        <v>Q1</v>
      </c>
      <c r="Z312" s="7">
        <f t="shared" si="14"/>
        <v>76.489999999999995</v>
      </c>
    </row>
    <row r="313" spans="1:26" x14ac:dyDescent="0.3">
      <c r="A313" s="4" t="s">
        <v>2154</v>
      </c>
      <c r="B313" s="9" t="s">
        <v>680</v>
      </c>
      <c r="C313" s="4" t="s">
        <v>2155</v>
      </c>
      <c r="D313" s="4" t="s">
        <v>2156</v>
      </c>
      <c r="E313" s="4" t="s">
        <v>2157</v>
      </c>
      <c r="F313" s="4" t="s">
        <v>2158</v>
      </c>
      <c r="G313" s="4" t="s">
        <v>692</v>
      </c>
      <c r="H313" s="4" t="s">
        <v>693</v>
      </c>
      <c r="I313" s="4" t="s">
        <v>31</v>
      </c>
      <c r="J313" s="4" t="s">
        <v>2159</v>
      </c>
      <c r="K313" s="4" t="s">
        <v>122</v>
      </c>
      <c r="L313" s="4">
        <v>2</v>
      </c>
      <c r="M313" s="5">
        <v>143.96</v>
      </c>
      <c r="N313" s="4" t="s">
        <v>34</v>
      </c>
      <c r="O313" s="5">
        <v>0</v>
      </c>
      <c r="P313" s="5">
        <v>0</v>
      </c>
      <c r="Q313" s="5">
        <v>12.96</v>
      </c>
      <c r="R313" s="5">
        <v>156.91999999999999</v>
      </c>
      <c r="S313" s="4" t="s">
        <v>35</v>
      </c>
      <c r="T313" s="4" t="s">
        <v>99</v>
      </c>
      <c r="U313" s="4" t="s">
        <v>66</v>
      </c>
      <c r="V313" s="4" t="s">
        <v>1546</v>
      </c>
      <c r="W313" s="5">
        <v>0</v>
      </c>
      <c r="X313" t="str">
        <f t="shared" si="12"/>
        <v>February</v>
      </c>
      <c r="Y313" t="str">
        <f t="shared" si="13"/>
        <v>Q1</v>
      </c>
      <c r="Z313" s="7">
        <f t="shared" si="14"/>
        <v>143.96</v>
      </c>
    </row>
    <row r="314" spans="1:26" x14ac:dyDescent="0.3">
      <c r="A314" s="2" t="s">
        <v>2160</v>
      </c>
      <c r="B314" s="8" t="s">
        <v>716</v>
      </c>
      <c r="C314" s="2" t="s">
        <v>2161</v>
      </c>
      <c r="D314" s="2" t="s">
        <v>2162</v>
      </c>
      <c r="E314" s="2" t="s">
        <v>2163</v>
      </c>
      <c r="F314" s="2" t="s">
        <v>2164</v>
      </c>
      <c r="G314" s="2" t="s">
        <v>291</v>
      </c>
      <c r="H314" s="2" t="s">
        <v>292</v>
      </c>
      <c r="I314" s="2" t="s">
        <v>31</v>
      </c>
      <c r="J314" s="2" t="s">
        <v>2165</v>
      </c>
      <c r="K314" s="2" t="s">
        <v>33</v>
      </c>
      <c r="L314" s="2">
        <v>4</v>
      </c>
      <c r="M314" s="3">
        <v>356.93</v>
      </c>
      <c r="N314" s="2" t="s">
        <v>63</v>
      </c>
      <c r="O314" s="3">
        <v>89.23</v>
      </c>
      <c r="P314" s="3">
        <v>0</v>
      </c>
      <c r="Q314" s="3">
        <v>26.77</v>
      </c>
      <c r="R314" s="3">
        <v>294.47000000000003</v>
      </c>
      <c r="S314" s="2" t="s">
        <v>98</v>
      </c>
      <c r="T314" s="2" t="s">
        <v>99</v>
      </c>
      <c r="U314" s="2" t="s">
        <v>66</v>
      </c>
      <c r="V314" s="2" t="s">
        <v>984</v>
      </c>
      <c r="W314" s="3">
        <v>0</v>
      </c>
      <c r="X314" t="str">
        <f t="shared" si="12"/>
        <v>May</v>
      </c>
      <c r="Y314" t="str">
        <f t="shared" si="13"/>
        <v>Q2</v>
      </c>
      <c r="Z314" s="7">
        <f t="shared" si="14"/>
        <v>267.7</v>
      </c>
    </row>
    <row r="315" spans="1:26" x14ac:dyDescent="0.3">
      <c r="A315" s="4" t="s">
        <v>2166</v>
      </c>
      <c r="B315" s="9" t="s">
        <v>680</v>
      </c>
      <c r="C315" s="4" t="s">
        <v>2167</v>
      </c>
      <c r="D315" s="4" t="s">
        <v>2168</v>
      </c>
      <c r="E315" s="4" t="s">
        <v>2169</v>
      </c>
      <c r="F315" s="4" t="s">
        <v>2170</v>
      </c>
      <c r="G315" s="4" t="s">
        <v>190</v>
      </c>
      <c r="H315" s="4" t="s">
        <v>161</v>
      </c>
      <c r="I315" s="4" t="s">
        <v>31</v>
      </c>
      <c r="J315" s="4" t="s">
        <v>308</v>
      </c>
      <c r="K315" s="4" t="s">
        <v>62</v>
      </c>
      <c r="L315" s="4">
        <v>1</v>
      </c>
      <c r="M315" s="5">
        <v>29.99</v>
      </c>
      <c r="N315" s="4" t="s">
        <v>63</v>
      </c>
      <c r="O315" s="5">
        <v>7.5</v>
      </c>
      <c r="P315" s="5">
        <v>7.99</v>
      </c>
      <c r="Q315" s="5">
        <v>1.35</v>
      </c>
      <c r="R315" s="5">
        <v>31.83</v>
      </c>
      <c r="S315" s="4" t="s">
        <v>64</v>
      </c>
      <c r="T315" s="4" t="s">
        <v>99</v>
      </c>
      <c r="U315" s="4" t="s">
        <v>66</v>
      </c>
      <c r="V315" s="4" t="s">
        <v>2171</v>
      </c>
      <c r="W315" s="5">
        <v>0</v>
      </c>
      <c r="X315" t="str">
        <f t="shared" si="12"/>
        <v>February</v>
      </c>
      <c r="Y315" t="str">
        <f t="shared" si="13"/>
        <v>Q1</v>
      </c>
      <c r="Z315" s="7">
        <f t="shared" si="14"/>
        <v>22.49</v>
      </c>
    </row>
    <row r="316" spans="1:26" x14ac:dyDescent="0.3">
      <c r="A316" s="2" t="s">
        <v>2172</v>
      </c>
      <c r="B316" s="8" t="s">
        <v>1490</v>
      </c>
      <c r="C316" s="2" t="s">
        <v>2173</v>
      </c>
      <c r="D316" s="2" t="s">
        <v>1350</v>
      </c>
      <c r="E316" s="2" t="s">
        <v>2174</v>
      </c>
      <c r="F316" s="2" t="s">
        <v>2175</v>
      </c>
      <c r="G316" s="2" t="s">
        <v>131</v>
      </c>
      <c r="H316" s="2" t="s">
        <v>88</v>
      </c>
      <c r="I316" s="2" t="s">
        <v>31</v>
      </c>
      <c r="J316" s="2" t="s">
        <v>1141</v>
      </c>
      <c r="K316" s="2" t="s">
        <v>122</v>
      </c>
      <c r="L316" s="2">
        <v>1</v>
      </c>
      <c r="M316" s="3">
        <v>74.989999999999995</v>
      </c>
      <c r="N316" s="2" t="s">
        <v>34</v>
      </c>
      <c r="O316" s="3">
        <v>0</v>
      </c>
      <c r="P316" s="3">
        <v>4.99</v>
      </c>
      <c r="Q316" s="3">
        <v>5.25</v>
      </c>
      <c r="R316" s="3">
        <v>85.23</v>
      </c>
      <c r="S316" s="2" t="s">
        <v>123</v>
      </c>
      <c r="T316" s="2" t="s">
        <v>173</v>
      </c>
      <c r="U316" s="2" t="s">
        <v>66</v>
      </c>
      <c r="V316" s="2" t="s">
        <v>2176</v>
      </c>
      <c r="W316" s="3">
        <v>0</v>
      </c>
      <c r="X316" t="str">
        <f t="shared" si="12"/>
        <v>February</v>
      </c>
      <c r="Y316" t="str">
        <f t="shared" si="13"/>
        <v>Q1</v>
      </c>
      <c r="Z316" s="7">
        <f t="shared" si="14"/>
        <v>74.989999999999995</v>
      </c>
    </row>
    <row r="317" spans="1:26" x14ac:dyDescent="0.3">
      <c r="A317" s="4" t="s">
        <v>2177</v>
      </c>
      <c r="B317" s="9" t="s">
        <v>1252</v>
      </c>
      <c r="C317" s="4" t="s">
        <v>2178</v>
      </c>
      <c r="D317" s="4" t="s">
        <v>2179</v>
      </c>
      <c r="E317" s="4" t="s">
        <v>2180</v>
      </c>
      <c r="F317" s="4" t="s">
        <v>2181</v>
      </c>
      <c r="G317" s="4" t="s">
        <v>403</v>
      </c>
      <c r="H317" s="4" t="s">
        <v>404</v>
      </c>
      <c r="I317" s="4" t="s">
        <v>31</v>
      </c>
      <c r="J317" s="4" t="s">
        <v>678</v>
      </c>
      <c r="K317" s="4" t="s">
        <v>679</v>
      </c>
      <c r="L317" s="4">
        <v>1</v>
      </c>
      <c r="M317" s="5">
        <v>14.99</v>
      </c>
      <c r="N317" s="4" t="s">
        <v>34</v>
      </c>
      <c r="O317" s="5">
        <v>0</v>
      </c>
      <c r="P317" s="5">
        <v>9.99</v>
      </c>
      <c r="Q317" s="5">
        <v>1.5</v>
      </c>
      <c r="R317" s="5">
        <v>26.48</v>
      </c>
      <c r="S317" s="4" t="s">
        <v>35</v>
      </c>
      <c r="T317" s="4" t="s">
        <v>99</v>
      </c>
      <c r="U317" s="4" t="s">
        <v>66</v>
      </c>
      <c r="V317" s="4" t="s">
        <v>1057</v>
      </c>
      <c r="W317" s="5">
        <v>0</v>
      </c>
      <c r="X317" t="str">
        <f t="shared" si="12"/>
        <v>December</v>
      </c>
      <c r="Y317" t="str">
        <f t="shared" si="13"/>
        <v>Q4</v>
      </c>
      <c r="Z317" s="7">
        <f t="shared" si="14"/>
        <v>14.99</v>
      </c>
    </row>
    <row r="318" spans="1:26" x14ac:dyDescent="0.3">
      <c r="A318" s="2" t="s">
        <v>2182</v>
      </c>
      <c r="B318" s="8" t="s">
        <v>1930</v>
      </c>
      <c r="C318" s="2" t="s">
        <v>2183</v>
      </c>
      <c r="D318" s="2" t="s">
        <v>2184</v>
      </c>
      <c r="E318" s="2" t="s">
        <v>2185</v>
      </c>
      <c r="F318" s="2" t="s">
        <v>2186</v>
      </c>
      <c r="G318" s="2" t="s">
        <v>190</v>
      </c>
      <c r="H318" s="2" t="s">
        <v>161</v>
      </c>
      <c r="I318" s="2" t="s">
        <v>31</v>
      </c>
      <c r="J318" s="2" t="s">
        <v>2187</v>
      </c>
      <c r="K318" s="2" t="s">
        <v>209</v>
      </c>
      <c r="L318" s="2">
        <v>3</v>
      </c>
      <c r="M318" s="3">
        <v>119.96</v>
      </c>
      <c r="N318" s="2" t="s">
        <v>163</v>
      </c>
      <c r="O318" s="3">
        <v>23.99</v>
      </c>
      <c r="P318" s="3">
        <v>0</v>
      </c>
      <c r="Q318" s="3">
        <v>5.76</v>
      </c>
      <c r="R318" s="3">
        <v>101.73</v>
      </c>
      <c r="S318" s="2" t="s">
        <v>123</v>
      </c>
      <c r="T318" s="2" t="s">
        <v>144</v>
      </c>
      <c r="U318" s="2" t="s">
        <v>100</v>
      </c>
      <c r="V318" s="2"/>
      <c r="W318" s="3">
        <v>0</v>
      </c>
      <c r="X318" t="str">
        <f t="shared" si="12"/>
        <v>September</v>
      </c>
      <c r="Y318" t="str">
        <f t="shared" si="13"/>
        <v>Q3</v>
      </c>
      <c r="Z318" s="7">
        <f t="shared" si="14"/>
        <v>95.97</v>
      </c>
    </row>
    <row r="319" spans="1:26" x14ac:dyDescent="0.3">
      <c r="A319" s="4" t="s">
        <v>2188</v>
      </c>
      <c r="B319" s="9" t="s">
        <v>1108</v>
      </c>
      <c r="C319" s="4" t="s">
        <v>2189</v>
      </c>
      <c r="D319" s="4" t="s">
        <v>2190</v>
      </c>
      <c r="E319" s="4" t="s">
        <v>2191</v>
      </c>
      <c r="F319" s="4" t="s">
        <v>2192</v>
      </c>
      <c r="G319" s="4" t="s">
        <v>87</v>
      </c>
      <c r="H319" s="4" t="s">
        <v>88</v>
      </c>
      <c r="I319" s="4" t="s">
        <v>31</v>
      </c>
      <c r="J319" s="4" t="s">
        <v>2193</v>
      </c>
      <c r="K319" s="4" t="s">
        <v>77</v>
      </c>
      <c r="L319" s="4">
        <v>4</v>
      </c>
      <c r="M319" s="5">
        <v>152.96</v>
      </c>
      <c r="N319" s="4" t="s">
        <v>163</v>
      </c>
      <c r="O319" s="5">
        <v>30.59</v>
      </c>
      <c r="P319" s="5">
        <v>0</v>
      </c>
      <c r="Q319" s="5">
        <v>10.4</v>
      </c>
      <c r="R319" s="5">
        <v>132.77000000000001</v>
      </c>
      <c r="S319" s="4" t="s">
        <v>111</v>
      </c>
      <c r="T319" s="4" t="s">
        <v>99</v>
      </c>
      <c r="U319" s="4" t="s">
        <v>51</v>
      </c>
      <c r="V319" s="4" t="s">
        <v>971</v>
      </c>
      <c r="W319" s="5">
        <v>0</v>
      </c>
      <c r="X319" t="str">
        <f t="shared" si="12"/>
        <v>September</v>
      </c>
      <c r="Y319" t="str">
        <f t="shared" si="13"/>
        <v>Q3</v>
      </c>
      <c r="Z319" s="7">
        <f t="shared" si="14"/>
        <v>122.37</v>
      </c>
    </row>
    <row r="320" spans="1:26" x14ac:dyDescent="0.3">
      <c r="A320" s="2" t="s">
        <v>2194</v>
      </c>
      <c r="B320" s="8" t="s">
        <v>922</v>
      </c>
      <c r="C320" s="2" t="s">
        <v>2195</v>
      </c>
      <c r="D320" s="2" t="s">
        <v>2196</v>
      </c>
      <c r="E320" s="2" t="s">
        <v>2197</v>
      </c>
      <c r="F320" s="2" t="s">
        <v>2198</v>
      </c>
      <c r="G320" s="2" t="s">
        <v>224</v>
      </c>
      <c r="H320" s="2" t="s">
        <v>225</v>
      </c>
      <c r="I320" s="2" t="s">
        <v>31</v>
      </c>
      <c r="J320" s="2" t="s">
        <v>1232</v>
      </c>
      <c r="K320" s="2" t="s">
        <v>77</v>
      </c>
      <c r="L320" s="2">
        <v>1</v>
      </c>
      <c r="M320" s="3">
        <v>34.99</v>
      </c>
      <c r="N320" s="2" t="s">
        <v>49</v>
      </c>
      <c r="O320" s="3">
        <v>5.25</v>
      </c>
      <c r="P320" s="3">
        <v>9.99</v>
      </c>
      <c r="Q320" s="3">
        <v>2.08</v>
      </c>
      <c r="R320" s="3">
        <v>41.81</v>
      </c>
      <c r="S320" s="2" t="s">
        <v>64</v>
      </c>
      <c r="T320" s="2" t="s">
        <v>173</v>
      </c>
      <c r="U320" s="2" t="s">
        <v>100</v>
      </c>
      <c r="V320" s="2"/>
      <c r="W320" s="3">
        <v>0</v>
      </c>
      <c r="X320" t="str">
        <f t="shared" si="12"/>
        <v>September</v>
      </c>
      <c r="Y320" t="str">
        <f t="shared" si="13"/>
        <v>Q3</v>
      </c>
      <c r="Z320" s="7">
        <f t="shared" si="14"/>
        <v>29.740000000000002</v>
      </c>
    </row>
    <row r="321" spans="1:26" x14ac:dyDescent="0.3">
      <c r="A321" s="4" t="s">
        <v>2199</v>
      </c>
      <c r="B321" s="9" t="s">
        <v>1102</v>
      </c>
      <c r="C321" s="4" t="s">
        <v>2200</v>
      </c>
      <c r="D321" s="4" t="s">
        <v>967</v>
      </c>
      <c r="E321" s="4" t="s">
        <v>2201</v>
      </c>
      <c r="F321" s="4" t="s">
        <v>2202</v>
      </c>
      <c r="G321" s="4" t="s">
        <v>119</v>
      </c>
      <c r="H321" s="4" t="s">
        <v>120</v>
      </c>
      <c r="I321" s="4" t="s">
        <v>31</v>
      </c>
      <c r="J321" s="4" t="s">
        <v>632</v>
      </c>
      <c r="K321" s="4" t="s">
        <v>33</v>
      </c>
      <c r="L321" s="4">
        <v>1</v>
      </c>
      <c r="M321" s="5">
        <v>49.99</v>
      </c>
      <c r="N321" s="4" t="s">
        <v>152</v>
      </c>
      <c r="O321" s="5">
        <v>2.5</v>
      </c>
      <c r="P321" s="5">
        <v>9.99</v>
      </c>
      <c r="Q321" s="5">
        <v>2.85</v>
      </c>
      <c r="R321" s="5">
        <v>60.33</v>
      </c>
      <c r="S321" s="4" t="s">
        <v>64</v>
      </c>
      <c r="T321" s="4" t="s">
        <v>173</v>
      </c>
      <c r="U321" s="4" t="s">
        <v>37</v>
      </c>
      <c r="V321" s="4" t="s">
        <v>2203</v>
      </c>
      <c r="W321" s="5">
        <v>60.33</v>
      </c>
      <c r="X321" t="str">
        <f t="shared" si="12"/>
        <v>September</v>
      </c>
      <c r="Y321" t="str">
        <f t="shared" si="13"/>
        <v>Q3</v>
      </c>
      <c r="Z321" s="7">
        <f t="shared" si="14"/>
        <v>47.49</v>
      </c>
    </row>
    <row r="322" spans="1:26" x14ac:dyDescent="0.3">
      <c r="A322" s="2" t="s">
        <v>2204</v>
      </c>
      <c r="B322" s="8" t="s">
        <v>2205</v>
      </c>
      <c r="C322" s="2" t="s">
        <v>2206</v>
      </c>
      <c r="D322" s="2" t="s">
        <v>1067</v>
      </c>
      <c r="E322" s="2" t="s">
        <v>2207</v>
      </c>
      <c r="F322" s="2" t="s">
        <v>2208</v>
      </c>
      <c r="G322" s="2" t="s">
        <v>59</v>
      </c>
      <c r="H322" s="2" t="s">
        <v>60</v>
      </c>
      <c r="I322" s="2" t="s">
        <v>31</v>
      </c>
      <c r="J322" s="2" t="s">
        <v>1997</v>
      </c>
      <c r="K322" s="2" t="s">
        <v>143</v>
      </c>
      <c r="L322" s="2">
        <v>1</v>
      </c>
      <c r="M322" s="3">
        <v>129.99</v>
      </c>
      <c r="N322" s="2" t="s">
        <v>34</v>
      </c>
      <c r="O322" s="3">
        <v>0</v>
      </c>
      <c r="P322" s="3">
        <v>0</v>
      </c>
      <c r="Q322" s="3">
        <v>7.8</v>
      </c>
      <c r="R322" s="3">
        <v>137.79</v>
      </c>
      <c r="S322" s="2" t="s">
        <v>35</v>
      </c>
      <c r="T322" s="2" t="s">
        <v>99</v>
      </c>
      <c r="U322" s="2" t="s">
        <v>66</v>
      </c>
      <c r="V322" s="2" t="s">
        <v>617</v>
      </c>
      <c r="W322" s="3">
        <v>0</v>
      </c>
      <c r="X322" t="str">
        <f t="shared" si="12"/>
        <v>November</v>
      </c>
      <c r="Y322" t="str">
        <f t="shared" si="13"/>
        <v>Q4</v>
      </c>
      <c r="Z322" s="7">
        <f t="shared" si="14"/>
        <v>129.99</v>
      </c>
    </row>
    <row r="323" spans="1:26" x14ac:dyDescent="0.3">
      <c r="A323" s="4" t="s">
        <v>2209</v>
      </c>
      <c r="B323" s="9" t="s">
        <v>2210</v>
      </c>
      <c r="C323" s="4" t="s">
        <v>2211</v>
      </c>
      <c r="D323" s="4" t="s">
        <v>2212</v>
      </c>
      <c r="E323" s="4" t="s">
        <v>2213</v>
      </c>
      <c r="F323" s="4" t="s">
        <v>2214</v>
      </c>
      <c r="G323" s="4" t="s">
        <v>171</v>
      </c>
      <c r="H323" s="4" t="s">
        <v>88</v>
      </c>
      <c r="I323" s="4" t="s">
        <v>31</v>
      </c>
      <c r="J323" s="4" t="s">
        <v>2215</v>
      </c>
      <c r="K323" s="4" t="s">
        <v>77</v>
      </c>
      <c r="L323" s="4">
        <v>3</v>
      </c>
      <c r="M323" s="5">
        <v>238.94</v>
      </c>
      <c r="N323" s="4" t="s">
        <v>49</v>
      </c>
      <c r="O323" s="5">
        <v>35.840000000000003</v>
      </c>
      <c r="P323" s="5">
        <v>0</v>
      </c>
      <c r="Q323" s="5">
        <v>20.309999999999999</v>
      </c>
      <c r="R323" s="5">
        <v>223.41</v>
      </c>
      <c r="S323" s="4" t="s">
        <v>98</v>
      </c>
      <c r="T323" s="4" t="s">
        <v>99</v>
      </c>
      <c r="U323" s="4" t="s">
        <v>66</v>
      </c>
      <c r="V323" s="4" t="s">
        <v>1102</v>
      </c>
      <c r="W323" s="5">
        <v>0</v>
      </c>
      <c r="X323" t="str">
        <f t="shared" ref="X323:X386" si="15">TEXT(B323,"MMMM")</f>
        <v>September</v>
      </c>
      <c r="Y323" t="str">
        <f t="shared" ref="Y323:Y386" si="16">IF(MONTH(B323)&lt;=3,"Q1",IF(MONTH(B323)&lt;=6,"Q2",IF(MONTH(B323)&lt;=9,"Q3","Q4")))</f>
        <v>Q3</v>
      </c>
      <c r="Z323" s="7">
        <f t="shared" ref="Z323:Z386" si="17">M323-O323</f>
        <v>203.1</v>
      </c>
    </row>
    <row r="324" spans="1:26" x14ac:dyDescent="0.3">
      <c r="A324" s="2" t="s">
        <v>2216</v>
      </c>
      <c r="B324" s="8" t="s">
        <v>797</v>
      </c>
      <c r="C324" s="2" t="s">
        <v>2217</v>
      </c>
      <c r="D324" s="2" t="s">
        <v>2218</v>
      </c>
      <c r="E324" s="2" t="s">
        <v>2219</v>
      </c>
      <c r="F324" s="2" t="s">
        <v>2220</v>
      </c>
      <c r="G324" s="2" t="s">
        <v>74</v>
      </c>
      <c r="H324" s="2" t="s">
        <v>75</v>
      </c>
      <c r="I324" s="2" t="s">
        <v>31</v>
      </c>
      <c r="J324" s="2" t="s">
        <v>2221</v>
      </c>
      <c r="K324" s="2" t="s">
        <v>209</v>
      </c>
      <c r="L324" s="2">
        <v>2</v>
      </c>
      <c r="M324" s="3">
        <v>279.95999999999998</v>
      </c>
      <c r="N324" s="2" t="s">
        <v>78</v>
      </c>
      <c r="O324" s="3">
        <v>28</v>
      </c>
      <c r="P324" s="3">
        <v>0</v>
      </c>
      <c r="Q324" s="3">
        <v>15.12</v>
      </c>
      <c r="R324" s="3">
        <v>267.08</v>
      </c>
      <c r="S324" s="2" t="s">
        <v>111</v>
      </c>
      <c r="T324" s="2" t="s">
        <v>65</v>
      </c>
      <c r="U324" s="2" t="s">
        <v>66</v>
      </c>
      <c r="V324" s="2" t="s">
        <v>2222</v>
      </c>
      <c r="W324" s="3">
        <v>0</v>
      </c>
      <c r="X324" t="str">
        <f t="shared" si="15"/>
        <v>December</v>
      </c>
      <c r="Y324" t="str">
        <f t="shared" si="16"/>
        <v>Q4</v>
      </c>
      <c r="Z324" s="7">
        <f t="shared" si="17"/>
        <v>251.95999999999998</v>
      </c>
    </row>
    <row r="325" spans="1:26" x14ac:dyDescent="0.3">
      <c r="A325" s="4" t="s">
        <v>2223</v>
      </c>
      <c r="B325" s="9" t="s">
        <v>366</v>
      </c>
      <c r="C325" s="4" t="s">
        <v>2224</v>
      </c>
      <c r="D325" s="4" t="s">
        <v>589</v>
      </c>
      <c r="E325" s="4" t="s">
        <v>2225</v>
      </c>
      <c r="F325" s="4" t="s">
        <v>2226</v>
      </c>
      <c r="G325" s="4" t="s">
        <v>171</v>
      </c>
      <c r="H325" s="4" t="s">
        <v>88</v>
      </c>
      <c r="I325" s="4" t="s">
        <v>31</v>
      </c>
      <c r="J325" s="4" t="s">
        <v>2071</v>
      </c>
      <c r="K325" s="4" t="s">
        <v>143</v>
      </c>
      <c r="L325" s="4">
        <v>2</v>
      </c>
      <c r="M325" s="5">
        <v>249.98</v>
      </c>
      <c r="N325" s="4" t="s">
        <v>78</v>
      </c>
      <c r="O325" s="5">
        <v>25</v>
      </c>
      <c r="P325" s="5">
        <v>0</v>
      </c>
      <c r="Q325" s="5">
        <v>19.12</v>
      </c>
      <c r="R325" s="5">
        <v>244.1</v>
      </c>
      <c r="S325" s="4" t="s">
        <v>35</v>
      </c>
      <c r="T325" s="4" t="s">
        <v>325</v>
      </c>
      <c r="U325" s="4" t="s">
        <v>66</v>
      </c>
      <c r="V325" s="4" t="s">
        <v>372</v>
      </c>
      <c r="W325" s="5">
        <v>0</v>
      </c>
      <c r="X325" t="str">
        <f t="shared" si="15"/>
        <v>March</v>
      </c>
      <c r="Y325" t="str">
        <f t="shared" si="16"/>
        <v>Q1</v>
      </c>
      <c r="Z325" s="7">
        <f t="shared" si="17"/>
        <v>224.98</v>
      </c>
    </row>
    <row r="326" spans="1:26" x14ac:dyDescent="0.3">
      <c r="A326" s="2" t="s">
        <v>2227</v>
      </c>
      <c r="B326" s="8" t="s">
        <v>1548</v>
      </c>
      <c r="C326" s="2" t="s">
        <v>2228</v>
      </c>
      <c r="D326" s="2" t="s">
        <v>2229</v>
      </c>
      <c r="E326" s="2" t="s">
        <v>2230</v>
      </c>
      <c r="F326" s="2" t="s">
        <v>2231</v>
      </c>
      <c r="G326" s="2" t="s">
        <v>282</v>
      </c>
      <c r="H326" s="2" t="s">
        <v>88</v>
      </c>
      <c r="I326" s="2" t="s">
        <v>31</v>
      </c>
      <c r="J326" s="2" t="s">
        <v>2232</v>
      </c>
      <c r="K326" s="2" t="s">
        <v>364</v>
      </c>
      <c r="L326" s="2">
        <v>2</v>
      </c>
      <c r="M326" s="3">
        <v>129.97</v>
      </c>
      <c r="N326" s="2" t="s">
        <v>152</v>
      </c>
      <c r="O326" s="3">
        <v>6.5</v>
      </c>
      <c r="P326" s="3">
        <v>0</v>
      </c>
      <c r="Q326" s="3">
        <v>10.49</v>
      </c>
      <c r="R326" s="3">
        <v>133.96</v>
      </c>
      <c r="S326" s="2" t="s">
        <v>64</v>
      </c>
      <c r="T326" s="2" t="s">
        <v>173</v>
      </c>
      <c r="U326" s="2" t="s">
        <v>317</v>
      </c>
      <c r="V326" s="2"/>
      <c r="W326" s="3">
        <v>0</v>
      </c>
      <c r="X326" t="str">
        <f t="shared" si="15"/>
        <v>February</v>
      </c>
      <c r="Y326" t="str">
        <f t="shared" si="16"/>
        <v>Q1</v>
      </c>
      <c r="Z326" s="7">
        <f t="shared" si="17"/>
        <v>123.47</v>
      </c>
    </row>
    <row r="327" spans="1:26" x14ac:dyDescent="0.3">
      <c r="A327" s="4" t="s">
        <v>2233</v>
      </c>
      <c r="B327" s="9" t="s">
        <v>1830</v>
      </c>
      <c r="C327" s="4" t="s">
        <v>2234</v>
      </c>
      <c r="D327" s="4" t="s">
        <v>2235</v>
      </c>
      <c r="E327" s="4" t="s">
        <v>2236</v>
      </c>
      <c r="F327" s="4" t="s">
        <v>2237</v>
      </c>
      <c r="G327" s="4" t="s">
        <v>160</v>
      </c>
      <c r="H327" s="4" t="s">
        <v>161</v>
      </c>
      <c r="I327" s="4" t="s">
        <v>31</v>
      </c>
      <c r="J327" s="4" t="s">
        <v>2238</v>
      </c>
      <c r="K327" s="4" t="s">
        <v>62</v>
      </c>
      <c r="L327" s="4">
        <v>2</v>
      </c>
      <c r="M327" s="5">
        <v>90.98</v>
      </c>
      <c r="N327" s="4" t="s">
        <v>49</v>
      </c>
      <c r="O327" s="5">
        <v>13.65</v>
      </c>
      <c r="P327" s="5">
        <v>0</v>
      </c>
      <c r="Q327" s="5">
        <v>6.96</v>
      </c>
      <c r="R327" s="5">
        <v>84.29</v>
      </c>
      <c r="S327" s="4" t="s">
        <v>64</v>
      </c>
      <c r="T327" s="4" t="s">
        <v>99</v>
      </c>
      <c r="U327" s="4" t="s">
        <v>66</v>
      </c>
      <c r="V327" s="4" t="s">
        <v>703</v>
      </c>
      <c r="W327" s="5">
        <v>0</v>
      </c>
      <c r="X327" t="str">
        <f t="shared" si="15"/>
        <v>January</v>
      </c>
      <c r="Y327" t="str">
        <f t="shared" si="16"/>
        <v>Q1</v>
      </c>
      <c r="Z327" s="7">
        <f t="shared" si="17"/>
        <v>77.33</v>
      </c>
    </row>
    <row r="328" spans="1:26" x14ac:dyDescent="0.3">
      <c r="A328" s="2" t="s">
        <v>2239</v>
      </c>
      <c r="B328" s="8" t="s">
        <v>2240</v>
      </c>
      <c r="C328" s="2" t="s">
        <v>2241</v>
      </c>
      <c r="D328" s="2" t="s">
        <v>2242</v>
      </c>
      <c r="E328" s="2" t="s">
        <v>2243</v>
      </c>
      <c r="F328" s="2" t="s">
        <v>2244</v>
      </c>
      <c r="G328" s="2" t="s">
        <v>323</v>
      </c>
      <c r="H328" s="2" t="s">
        <v>324</v>
      </c>
      <c r="I328" s="2" t="s">
        <v>31</v>
      </c>
      <c r="J328" s="2" t="s">
        <v>2245</v>
      </c>
      <c r="K328" s="2" t="s">
        <v>62</v>
      </c>
      <c r="L328" s="2">
        <v>3</v>
      </c>
      <c r="M328" s="3">
        <v>309.95999999999998</v>
      </c>
      <c r="N328" s="2" t="s">
        <v>34</v>
      </c>
      <c r="O328" s="3">
        <v>0</v>
      </c>
      <c r="P328" s="3">
        <v>0</v>
      </c>
      <c r="Q328" s="3">
        <v>21.7</v>
      </c>
      <c r="R328" s="3">
        <v>331.66</v>
      </c>
      <c r="S328" s="2" t="s">
        <v>123</v>
      </c>
      <c r="T328" s="2" t="s">
        <v>144</v>
      </c>
      <c r="U328" s="2" t="s">
        <v>66</v>
      </c>
      <c r="V328" s="2" t="s">
        <v>245</v>
      </c>
      <c r="W328" s="3">
        <v>0</v>
      </c>
      <c r="X328" t="str">
        <f t="shared" si="15"/>
        <v>October</v>
      </c>
      <c r="Y328" t="str">
        <f t="shared" si="16"/>
        <v>Q4</v>
      </c>
      <c r="Z328" s="7">
        <f t="shared" si="17"/>
        <v>309.95999999999998</v>
      </c>
    </row>
    <row r="329" spans="1:26" x14ac:dyDescent="0.3">
      <c r="A329" s="4" t="s">
        <v>2246</v>
      </c>
      <c r="B329" s="9" t="s">
        <v>2247</v>
      </c>
      <c r="C329" s="4" t="s">
        <v>2248</v>
      </c>
      <c r="D329" s="4" t="s">
        <v>2249</v>
      </c>
      <c r="E329" s="4" t="s">
        <v>2250</v>
      </c>
      <c r="F329" s="4" t="s">
        <v>2251</v>
      </c>
      <c r="G329" s="4" t="s">
        <v>347</v>
      </c>
      <c r="H329" s="4" t="s">
        <v>60</v>
      </c>
      <c r="I329" s="4" t="s">
        <v>31</v>
      </c>
      <c r="J329" s="4" t="s">
        <v>2252</v>
      </c>
      <c r="K329" s="4" t="s">
        <v>110</v>
      </c>
      <c r="L329" s="4">
        <v>4</v>
      </c>
      <c r="M329" s="5">
        <v>192.94</v>
      </c>
      <c r="N329" s="4" t="s">
        <v>152</v>
      </c>
      <c r="O329" s="5">
        <v>9.65</v>
      </c>
      <c r="P329" s="5">
        <v>0</v>
      </c>
      <c r="Q329" s="5">
        <v>18.329999999999998</v>
      </c>
      <c r="R329" s="5">
        <v>201.62</v>
      </c>
      <c r="S329" s="4" t="s">
        <v>35</v>
      </c>
      <c r="T329" s="4" t="s">
        <v>183</v>
      </c>
      <c r="U329" s="4" t="s">
        <v>66</v>
      </c>
      <c r="V329" s="4" t="s">
        <v>593</v>
      </c>
      <c r="W329" s="5">
        <v>0</v>
      </c>
      <c r="X329" t="str">
        <f t="shared" si="15"/>
        <v>July</v>
      </c>
      <c r="Y329" t="str">
        <f t="shared" si="16"/>
        <v>Q3</v>
      </c>
      <c r="Z329" s="7">
        <f t="shared" si="17"/>
        <v>183.29</v>
      </c>
    </row>
    <row r="330" spans="1:26" x14ac:dyDescent="0.3">
      <c r="A330" s="2" t="s">
        <v>2253</v>
      </c>
      <c r="B330" s="8" t="s">
        <v>1633</v>
      </c>
      <c r="C330" s="2" t="s">
        <v>2254</v>
      </c>
      <c r="D330" s="2" t="s">
        <v>2255</v>
      </c>
      <c r="E330" s="2" t="s">
        <v>2256</v>
      </c>
      <c r="F330" s="2" t="s">
        <v>2257</v>
      </c>
      <c r="G330" s="2" t="s">
        <v>282</v>
      </c>
      <c r="H330" s="2" t="s">
        <v>88</v>
      </c>
      <c r="I330" s="2" t="s">
        <v>31</v>
      </c>
      <c r="J330" s="2" t="s">
        <v>2258</v>
      </c>
      <c r="K330" s="2" t="s">
        <v>209</v>
      </c>
      <c r="L330" s="2">
        <v>2</v>
      </c>
      <c r="M330" s="3">
        <v>279.97000000000003</v>
      </c>
      <c r="N330" s="2" t="s">
        <v>78</v>
      </c>
      <c r="O330" s="3">
        <v>28</v>
      </c>
      <c r="P330" s="3">
        <v>0</v>
      </c>
      <c r="Q330" s="3">
        <v>17.64</v>
      </c>
      <c r="R330" s="3">
        <v>269.61</v>
      </c>
      <c r="S330" s="2" t="s">
        <v>64</v>
      </c>
      <c r="T330" s="2" t="s">
        <v>99</v>
      </c>
      <c r="U330" s="2" t="s">
        <v>66</v>
      </c>
      <c r="V330" s="2" t="s">
        <v>858</v>
      </c>
      <c r="W330" s="3">
        <v>0</v>
      </c>
      <c r="X330" t="str">
        <f t="shared" si="15"/>
        <v>April</v>
      </c>
      <c r="Y330" t="str">
        <f t="shared" si="16"/>
        <v>Q2</v>
      </c>
      <c r="Z330" s="7">
        <f t="shared" si="17"/>
        <v>251.97000000000003</v>
      </c>
    </row>
    <row r="331" spans="1:26" x14ac:dyDescent="0.3">
      <c r="A331" s="4" t="s">
        <v>2259</v>
      </c>
      <c r="B331" s="9" t="s">
        <v>663</v>
      </c>
      <c r="C331" s="4" t="s">
        <v>2260</v>
      </c>
      <c r="D331" s="4" t="s">
        <v>2261</v>
      </c>
      <c r="E331" s="4" t="s">
        <v>2262</v>
      </c>
      <c r="F331" s="4" t="s">
        <v>2263</v>
      </c>
      <c r="G331" s="4" t="s">
        <v>282</v>
      </c>
      <c r="H331" s="4" t="s">
        <v>88</v>
      </c>
      <c r="I331" s="4" t="s">
        <v>31</v>
      </c>
      <c r="J331" s="4" t="s">
        <v>1148</v>
      </c>
      <c r="K331" s="4" t="s">
        <v>33</v>
      </c>
      <c r="L331" s="4">
        <v>1</v>
      </c>
      <c r="M331" s="5">
        <v>18.989999999999998</v>
      </c>
      <c r="N331" s="4" t="s">
        <v>34</v>
      </c>
      <c r="O331" s="5">
        <v>0</v>
      </c>
      <c r="P331" s="5">
        <v>4.99</v>
      </c>
      <c r="Q331" s="5">
        <v>1.52</v>
      </c>
      <c r="R331" s="5">
        <v>25.5</v>
      </c>
      <c r="S331" s="4" t="s">
        <v>98</v>
      </c>
      <c r="T331" s="4" t="s">
        <v>50</v>
      </c>
      <c r="U331" s="4" t="s">
        <v>66</v>
      </c>
      <c r="V331" s="4" t="s">
        <v>669</v>
      </c>
      <c r="W331" s="5">
        <v>0</v>
      </c>
      <c r="X331" t="str">
        <f t="shared" si="15"/>
        <v>March</v>
      </c>
      <c r="Y331" t="str">
        <f t="shared" si="16"/>
        <v>Q1</v>
      </c>
      <c r="Z331" s="7">
        <f t="shared" si="17"/>
        <v>18.989999999999998</v>
      </c>
    </row>
    <row r="332" spans="1:26" x14ac:dyDescent="0.3">
      <c r="A332" s="2" t="s">
        <v>2264</v>
      </c>
      <c r="B332" s="8" t="s">
        <v>1774</v>
      </c>
      <c r="C332" s="2" t="s">
        <v>2265</v>
      </c>
      <c r="D332" s="2" t="s">
        <v>2266</v>
      </c>
      <c r="E332" s="2" t="s">
        <v>2267</v>
      </c>
      <c r="F332" s="2" t="s">
        <v>2268</v>
      </c>
      <c r="G332" s="2" t="s">
        <v>29</v>
      </c>
      <c r="H332" s="2" t="s">
        <v>30</v>
      </c>
      <c r="I332" s="2" t="s">
        <v>31</v>
      </c>
      <c r="J332" s="2" t="s">
        <v>2269</v>
      </c>
      <c r="K332" s="2" t="s">
        <v>77</v>
      </c>
      <c r="L332" s="2">
        <v>3</v>
      </c>
      <c r="M332" s="3">
        <v>160.96</v>
      </c>
      <c r="N332" s="2" t="s">
        <v>163</v>
      </c>
      <c r="O332" s="3">
        <v>32.19</v>
      </c>
      <c r="P332" s="3">
        <v>0</v>
      </c>
      <c r="Q332" s="3">
        <v>10.95</v>
      </c>
      <c r="R332" s="3">
        <v>139.72</v>
      </c>
      <c r="S332" s="2" t="s">
        <v>123</v>
      </c>
      <c r="T332" s="2" t="s">
        <v>173</v>
      </c>
      <c r="U332" s="2" t="s">
        <v>37</v>
      </c>
      <c r="V332" s="2" t="s">
        <v>2270</v>
      </c>
      <c r="W332" s="3">
        <v>139.72</v>
      </c>
      <c r="X332" t="str">
        <f t="shared" si="15"/>
        <v>August</v>
      </c>
      <c r="Y332" t="str">
        <f t="shared" si="16"/>
        <v>Q3</v>
      </c>
      <c r="Z332" s="7">
        <f t="shared" si="17"/>
        <v>128.77000000000001</v>
      </c>
    </row>
    <row r="333" spans="1:26" x14ac:dyDescent="0.3">
      <c r="A333" s="4" t="s">
        <v>2271</v>
      </c>
      <c r="B333" s="9" t="s">
        <v>126</v>
      </c>
      <c r="C333" s="4" t="s">
        <v>2272</v>
      </c>
      <c r="D333" s="4" t="s">
        <v>2273</v>
      </c>
      <c r="E333" s="4" t="s">
        <v>2274</v>
      </c>
      <c r="F333" s="4" t="s">
        <v>2275</v>
      </c>
      <c r="G333" s="4" t="s">
        <v>140</v>
      </c>
      <c r="H333" s="4" t="s">
        <v>141</v>
      </c>
      <c r="I333" s="4" t="s">
        <v>31</v>
      </c>
      <c r="J333" s="4" t="s">
        <v>2276</v>
      </c>
      <c r="K333" s="4" t="s">
        <v>364</v>
      </c>
      <c r="L333" s="4">
        <v>3</v>
      </c>
      <c r="M333" s="5">
        <v>209.95</v>
      </c>
      <c r="N333" s="4" t="s">
        <v>63</v>
      </c>
      <c r="O333" s="5">
        <v>52.49</v>
      </c>
      <c r="P333" s="5">
        <v>0</v>
      </c>
      <c r="Q333" s="5">
        <v>15.75</v>
      </c>
      <c r="R333" s="5">
        <v>173.21</v>
      </c>
      <c r="S333" s="4" t="s">
        <v>123</v>
      </c>
      <c r="T333" s="4" t="s">
        <v>183</v>
      </c>
      <c r="U333" s="4" t="s">
        <v>66</v>
      </c>
      <c r="V333" s="4" t="s">
        <v>1201</v>
      </c>
      <c r="W333" s="5">
        <v>0</v>
      </c>
      <c r="X333" t="str">
        <f t="shared" si="15"/>
        <v>December</v>
      </c>
      <c r="Y333" t="str">
        <f t="shared" si="16"/>
        <v>Q4</v>
      </c>
      <c r="Z333" s="7">
        <f t="shared" si="17"/>
        <v>157.45999999999998</v>
      </c>
    </row>
    <row r="334" spans="1:26" x14ac:dyDescent="0.3">
      <c r="A334" s="2" t="s">
        <v>2277</v>
      </c>
      <c r="B334" s="8" t="s">
        <v>2278</v>
      </c>
      <c r="C334" s="2" t="s">
        <v>2279</v>
      </c>
      <c r="D334" s="2" t="s">
        <v>2280</v>
      </c>
      <c r="E334" s="2" t="s">
        <v>2281</v>
      </c>
      <c r="F334" s="2" t="s">
        <v>2282</v>
      </c>
      <c r="G334" s="2" t="s">
        <v>171</v>
      </c>
      <c r="H334" s="2" t="s">
        <v>88</v>
      </c>
      <c r="I334" s="2" t="s">
        <v>31</v>
      </c>
      <c r="J334" s="2" t="s">
        <v>2283</v>
      </c>
      <c r="K334" s="2" t="s">
        <v>48</v>
      </c>
      <c r="L334" s="2">
        <v>2</v>
      </c>
      <c r="M334" s="3">
        <v>104.98</v>
      </c>
      <c r="N334" s="2" t="s">
        <v>34</v>
      </c>
      <c r="O334" s="3">
        <v>0</v>
      </c>
      <c r="P334" s="3">
        <v>0</v>
      </c>
      <c r="Q334" s="3">
        <v>8.4</v>
      </c>
      <c r="R334" s="3">
        <v>113.38</v>
      </c>
      <c r="S334" s="2" t="s">
        <v>123</v>
      </c>
      <c r="T334" s="2" t="s">
        <v>144</v>
      </c>
      <c r="U334" s="2" t="s">
        <v>66</v>
      </c>
      <c r="V334" s="2" t="s">
        <v>237</v>
      </c>
      <c r="W334" s="3">
        <v>0</v>
      </c>
      <c r="X334" t="str">
        <f t="shared" si="15"/>
        <v>October</v>
      </c>
      <c r="Y334" t="str">
        <f t="shared" si="16"/>
        <v>Q4</v>
      </c>
      <c r="Z334" s="7">
        <f t="shared" si="17"/>
        <v>104.98</v>
      </c>
    </row>
    <row r="335" spans="1:26" x14ac:dyDescent="0.3">
      <c r="A335" s="4" t="s">
        <v>2284</v>
      </c>
      <c r="B335" s="9" t="s">
        <v>2285</v>
      </c>
      <c r="C335" s="4" t="s">
        <v>2286</v>
      </c>
      <c r="D335" s="4" t="s">
        <v>2287</v>
      </c>
      <c r="E335" s="4" t="s">
        <v>2288</v>
      </c>
      <c r="F335" s="4" t="s">
        <v>2289</v>
      </c>
      <c r="G335" s="4" t="s">
        <v>394</v>
      </c>
      <c r="H335" s="4" t="s">
        <v>395</v>
      </c>
      <c r="I335" s="4" t="s">
        <v>31</v>
      </c>
      <c r="J335" s="4" t="s">
        <v>495</v>
      </c>
      <c r="K335" s="4" t="s">
        <v>209</v>
      </c>
      <c r="L335" s="4">
        <v>1</v>
      </c>
      <c r="M335" s="5">
        <v>29.99</v>
      </c>
      <c r="N335" s="4" t="s">
        <v>152</v>
      </c>
      <c r="O335" s="5">
        <v>1.5</v>
      </c>
      <c r="P335" s="5">
        <v>5.99</v>
      </c>
      <c r="Q335" s="5">
        <v>2.56</v>
      </c>
      <c r="R335" s="5">
        <v>37.04</v>
      </c>
      <c r="S335" s="4" t="s">
        <v>64</v>
      </c>
      <c r="T335" s="4" t="s">
        <v>144</v>
      </c>
      <c r="U335" s="4" t="s">
        <v>66</v>
      </c>
      <c r="V335" s="4" t="s">
        <v>1116</v>
      </c>
      <c r="W335" s="5">
        <v>0</v>
      </c>
      <c r="X335" t="str">
        <f t="shared" si="15"/>
        <v>January</v>
      </c>
      <c r="Y335" t="str">
        <f t="shared" si="16"/>
        <v>Q1</v>
      </c>
      <c r="Z335" s="7">
        <f t="shared" si="17"/>
        <v>28.49</v>
      </c>
    </row>
    <row r="336" spans="1:26" x14ac:dyDescent="0.3">
      <c r="A336" s="2" t="s">
        <v>2290</v>
      </c>
      <c r="B336" s="8" t="s">
        <v>80</v>
      </c>
      <c r="C336" s="2" t="s">
        <v>2291</v>
      </c>
      <c r="D336" s="2" t="s">
        <v>2292</v>
      </c>
      <c r="E336" s="2" t="s">
        <v>2293</v>
      </c>
      <c r="F336" s="2" t="s">
        <v>2294</v>
      </c>
      <c r="G336" s="2" t="s">
        <v>291</v>
      </c>
      <c r="H336" s="2" t="s">
        <v>292</v>
      </c>
      <c r="I336" s="2" t="s">
        <v>31</v>
      </c>
      <c r="J336" s="2" t="s">
        <v>2295</v>
      </c>
      <c r="K336" s="2" t="s">
        <v>209</v>
      </c>
      <c r="L336" s="2">
        <v>2</v>
      </c>
      <c r="M336" s="3">
        <v>128.96</v>
      </c>
      <c r="N336" s="2" t="s">
        <v>49</v>
      </c>
      <c r="O336" s="3">
        <v>19.34</v>
      </c>
      <c r="P336" s="3">
        <v>0</v>
      </c>
      <c r="Q336" s="3">
        <v>10.96</v>
      </c>
      <c r="R336" s="3">
        <v>120.58</v>
      </c>
      <c r="S336" s="2" t="s">
        <v>79</v>
      </c>
      <c r="T336" s="2" t="s">
        <v>144</v>
      </c>
      <c r="U336" s="2" t="s">
        <v>51</v>
      </c>
      <c r="V336" s="2" t="s">
        <v>2296</v>
      </c>
      <c r="W336" s="3">
        <v>0</v>
      </c>
      <c r="X336" t="str">
        <f t="shared" si="15"/>
        <v>June</v>
      </c>
      <c r="Y336" t="str">
        <f t="shared" si="16"/>
        <v>Q2</v>
      </c>
      <c r="Z336" s="7">
        <f t="shared" si="17"/>
        <v>109.62</v>
      </c>
    </row>
    <row r="337" spans="1:26" x14ac:dyDescent="0.3">
      <c r="A337" s="4" t="s">
        <v>2297</v>
      </c>
      <c r="B337" s="9" t="s">
        <v>1296</v>
      </c>
      <c r="C337" s="4" t="s">
        <v>2298</v>
      </c>
      <c r="D337" s="4" t="s">
        <v>2299</v>
      </c>
      <c r="E337" s="4" t="s">
        <v>2300</v>
      </c>
      <c r="F337" s="4" t="s">
        <v>2301</v>
      </c>
      <c r="G337" s="4" t="s">
        <v>171</v>
      </c>
      <c r="H337" s="4" t="s">
        <v>88</v>
      </c>
      <c r="I337" s="4" t="s">
        <v>31</v>
      </c>
      <c r="J337" s="4" t="s">
        <v>444</v>
      </c>
      <c r="K337" s="4" t="s">
        <v>48</v>
      </c>
      <c r="L337" s="4">
        <v>1</v>
      </c>
      <c r="M337" s="5">
        <v>64.989999999999995</v>
      </c>
      <c r="N337" s="4" t="s">
        <v>163</v>
      </c>
      <c r="O337" s="5">
        <v>13</v>
      </c>
      <c r="P337" s="5">
        <v>4.99</v>
      </c>
      <c r="Q337" s="5">
        <v>4.42</v>
      </c>
      <c r="R337" s="5">
        <v>61.4</v>
      </c>
      <c r="S337" s="4" t="s">
        <v>437</v>
      </c>
      <c r="T337" s="4" t="s">
        <v>99</v>
      </c>
      <c r="U337" s="4" t="s">
        <v>317</v>
      </c>
      <c r="V337" s="4"/>
      <c r="W337" s="5">
        <v>0</v>
      </c>
      <c r="X337" t="str">
        <f t="shared" si="15"/>
        <v>January</v>
      </c>
      <c r="Y337" t="str">
        <f t="shared" si="16"/>
        <v>Q1</v>
      </c>
      <c r="Z337" s="7">
        <f t="shared" si="17"/>
        <v>51.989999999999995</v>
      </c>
    </row>
    <row r="338" spans="1:26" x14ac:dyDescent="0.3">
      <c r="A338" s="2" t="s">
        <v>2302</v>
      </c>
      <c r="B338" s="8" t="s">
        <v>2303</v>
      </c>
      <c r="C338" s="2" t="s">
        <v>2304</v>
      </c>
      <c r="D338" s="2" t="s">
        <v>2305</v>
      </c>
      <c r="E338" s="2" t="s">
        <v>2306</v>
      </c>
      <c r="F338" s="2" t="s">
        <v>2307</v>
      </c>
      <c r="G338" s="2" t="s">
        <v>428</v>
      </c>
      <c r="H338" s="2" t="s">
        <v>429</v>
      </c>
      <c r="I338" s="2" t="s">
        <v>31</v>
      </c>
      <c r="J338" s="2" t="s">
        <v>2308</v>
      </c>
      <c r="K338" s="2" t="s">
        <v>62</v>
      </c>
      <c r="L338" s="2">
        <v>2</v>
      </c>
      <c r="M338" s="3">
        <v>64.97</v>
      </c>
      <c r="N338" s="2" t="s">
        <v>34</v>
      </c>
      <c r="O338" s="3">
        <v>0</v>
      </c>
      <c r="P338" s="3">
        <v>4.99</v>
      </c>
      <c r="Q338" s="3">
        <v>5.85</v>
      </c>
      <c r="R338" s="3">
        <v>75.81</v>
      </c>
      <c r="S338" s="2" t="s">
        <v>64</v>
      </c>
      <c r="T338" s="2" t="s">
        <v>183</v>
      </c>
      <c r="U338" s="2" t="s">
        <v>66</v>
      </c>
      <c r="V338" s="2" t="s">
        <v>210</v>
      </c>
      <c r="W338" s="3">
        <v>0</v>
      </c>
      <c r="X338" t="str">
        <f t="shared" si="15"/>
        <v>August</v>
      </c>
      <c r="Y338" t="str">
        <f t="shared" si="16"/>
        <v>Q3</v>
      </c>
      <c r="Z338" s="7">
        <f t="shared" si="17"/>
        <v>64.97</v>
      </c>
    </row>
    <row r="339" spans="1:26" x14ac:dyDescent="0.3">
      <c r="A339" s="4" t="s">
        <v>2309</v>
      </c>
      <c r="B339" s="9" t="s">
        <v>1502</v>
      </c>
      <c r="C339" s="4" t="s">
        <v>2310</v>
      </c>
      <c r="D339" s="4" t="s">
        <v>2311</v>
      </c>
      <c r="E339" s="4" t="s">
        <v>2312</v>
      </c>
      <c r="F339" s="4" t="s">
        <v>2313</v>
      </c>
      <c r="G339" s="4" t="s">
        <v>87</v>
      </c>
      <c r="H339" s="4" t="s">
        <v>88</v>
      </c>
      <c r="I339" s="4" t="s">
        <v>31</v>
      </c>
      <c r="J339" s="4" t="s">
        <v>2314</v>
      </c>
      <c r="K339" s="4" t="s">
        <v>33</v>
      </c>
      <c r="L339" s="4">
        <v>1</v>
      </c>
      <c r="M339" s="5">
        <v>56.97</v>
      </c>
      <c r="N339" s="4" t="s">
        <v>163</v>
      </c>
      <c r="O339" s="5">
        <v>11.39</v>
      </c>
      <c r="P339" s="5">
        <v>9.99</v>
      </c>
      <c r="Q339" s="5">
        <v>3.87</v>
      </c>
      <c r="R339" s="5">
        <v>59.44</v>
      </c>
      <c r="S339" s="4" t="s">
        <v>123</v>
      </c>
      <c r="T339" s="4" t="s">
        <v>144</v>
      </c>
      <c r="U339" s="4" t="s">
        <v>66</v>
      </c>
      <c r="V339" s="4" t="s">
        <v>550</v>
      </c>
      <c r="W339" s="5">
        <v>0</v>
      </c>
      <c r="X339" t="str">
        <f t="shared" si="15"/>
        <v>August</v>
      </c>
      <c r="Y339" t="str">
        <f t="shared" si="16"/>
        <v>Q3</v>
      </c>
      <c r="Z339" s="7">
        <f t="shared" si="17"/>
        <v>45.58</v>
      </c>
    </row>
    <row r="340" spans="1:26" x14ac:dyDescent="0.3">
      <c r="A340" s="2" t="s">
        <v>2315</v>
      </c>
      <c r="B340" s="8" t="s">
        <v>2210</v>
      </c>
      <c r="C340" s="2" t="s">
        <v>2316</v>
      </c>
      <c r="D340" s="2" t="s">
        <v>1819</v>
      </c>
      <c r="E340" s="2" t="s">
        <v>2317</v>
      </c>
      <c r="F340" s="2" t="s">
        <v>2318</v>
      </c>
      <c r="G340" s="2" t="s">
        <v>676</v>
      </c>
      <c r="H340" s="2" t="s">
        <v>677</v>
      </c>
      <c r="I340" s="2" t="s">
        <v>31</v>
      </c>
      <c r="J340" s="2" t="s">
        <v>283</v>
      </c>
      <c r="K340" s="2" t="s">
        <v>209</v>
      </c>
      <c r="L340" s="2">
        <v>1</v>
      </c>
      <c r="M340" s="3">
        <v>49.99</v>
      </c>
      <c r="N340" s="2" t="s">
        <v>34</v>
      </c>
      <c r="O340" s="3">
        <v>0</v>
      </c>
      <c r="P340" s="3">
        <v>7.99</v>
      </c>
      <c r="Q340" s="3">
        <v>4.5</v>
      </c>
      <c r="R340" s="3">
        <v>62.48</v>
      </c>
      <c r="S340" s="2" t="s">
        <v>111</v>
      </c>
      <c r="T340" s="2" t="s">
        <v>99</v>
      </c>
      <c r="U340" s="2" t="s">
        <v>100</v>
      </c>
      <c r="V340" s="2"/>
      <c r="W340" s="3">
        <v>0</v>
      </c>
      <c r="X340" t="str">
        <f t="shared" si="15"/>
        <v>September</v>
      </c>
      <c r="Y340" t="str">
        <f t="shared" si="16"/>
        <v>Q3</v>
      </c>
      <c r="Z340" s="7">
        <f t="shared" si="17"/>
        <v>49.99</v>
      </c>
    </row>
    <row r="341" spans="1:26" x14ac:dyDescent="0.3">
      <c r="A341" s="4" t="s">
        <v>2319</v>
      </c>
      <c r="B341" s="9" t="s">
        <v>1000</v>
      </c>
      <c r="C341" s="4" t="s">
        <v>2320</v>
      </c>
      <c r="D341" s="4" t="s">
        <v>665</v>
      </c>
      <c r="E341" s="4" t="s">
        <v>2321</v>
      </c>
      <c r="F341" s="4" t="s">
        <v>2322</v>
      </c>
      <c r="G341" s="4" t="s">
        <v>428</v>
      </c>
      <c r="H341" s="4" t="s">
        <v>429</v>
      </c>
      <c r="I341" s="4" t="s">
        <v>31</v>
      </c>
      <c r="J341" s="4" t="s">
        <v>2323</v>
      </c>
      <c r="K341" s="4" t="s">
        <v>62</v>
      </c>
      <c r="L341" s="4">
        <v>2</v>
      </c>
      <c r="M341" s="5">
        <v>69.98</v>
      </c>
      <c r="N341" s="4" t="s">
        <v>34</v>
      </c>
      <c r="O341" s="5">
        <v>0</v>
      </c>
      <c r="P341" s="5">
        <v>9.99</v>
      </c>
      <c r="Q341" s="5">
        <v>7</v>
      </c>
      <c r="R341" s="5">
        <v>86.97</v>
      </c>
      <c r="S341" s="4" t="s">
        <v>35</v>
      </c>
      <c r="T341" s="4" t="s">
        <v>99</v>
      </c>
      <c r="U341" s="4" t="s">
        <v>66</v>
      </c>
      <c r="V341" s="4" t="s">
        <v>595</v>
      </c>
      <c r="W341" s="5">
        <v>0</v>
      </c>
      <c r="X341" t="str">
        <f t="shared" si="15"/>
        <v>April</v>
      </c>
      <c r="Y341" t="str">
        <f t="shared" si="16"/>
        <v>Q2</v>
      </c>
      <c r="Z341" s="7">
        <f t="shared" si="17"/>
        <v>69.98</v>
      </c>
    </row>
    <row r="342" spans="1:26" x14ac:dyDescent="0.3">
      <c r="A342" s="2" t="s">
        <v>2324</v>
      </c>
      <c r="B342" s="8" t="s">
        <v>2325</v>
      </c>
      <c r="C342" s="2" t="s">
        <v>2326</v>
      </c>
      <c r="D342" s="2" t="s">
        <v>1921</v>
      </c>
      <c r="E342" s="2" t="s">
        <v>2327</v>
      </c>
      <c r="F342" s="2" t="s">
        <v>2328</v>
      </c>
      <c r="G342" s="2" t="s">
        <v>107</v>
      </c>
      <c r="H342" s="2" t="s">
        <v>108</v>
      </c>
      <c r="I342" s="2" t="s">
        <v>31</v>
      </c>
      <c r="J342" s="2" t="s">
        <v>2329</v>
      </c>
      <c r="K342" s="2" t="s">
        <v>209</v>
      </c>
      <c r="L342" s="2">
        <v>3</v>
      </c>
      <c r="M342" s="3">
        <v>214.96</v>
      </c>
      <c r="N342" s="2" t="s">
        <v>34</v>
      </c>
      <c r="O342" s="3">
        <v>0</v>
      </c>
      <c r="P342" s="3">
        <v>0</v>
      </c>
      <c r="Q342" s="3">
        <v>15.05</v>
      </c>
      <c r="R342" s="3">
        <v>230.01</v>
      </c>
      <c r="S342" s="2" t="s">
        <v>332</v>
      </c>
      <c r="T342" s="2" t="s">
        <v>36</v>
      </c>
      <c r="U342" s="2" t="s">
        <v>100</v>
      </c>
      <c r="V342" s="2"/>
      <c r="W342" s="3">
        <v>0</v>
      </c>
      <c r="X342" t="str">
        <f t="shared" si="15"/>
        <v>November</v>
      </c>
      <c r="Y342" t="str">
        <f t="shared" si="16"/>
        <v>Q4</v>
      </c>
      <c r="Z342" s="7">
        <f t="shared" si="17"/>
        <v>214.96</v>
      </c>
    </row>
    <row r="343" spans="1:26" x14ac:dyDescent="0.3">
      <c r="A343" s="4" t="s">
        <v>2330</v>
      </c>
      <c r="B343" s="9" t="s">
        <v>24</v>
      </c>
      <c r="C343" s="4" t="s">
        <v>2331</v>
      </c>
      <c r="D343" s="4" t="s">
        <v>2332</v>
      </c>
      <c r="E343" s="4" t="s">
        <v>2333</v>
      </c>
      <c r="F343" s="4" t="s">
        <v>2334</v>
      </c>
      <c r="G343" s="4" t="s">
        <v>160</v>
      </c>
      <c r="H343" s="4" t="s">
        <v>161</v>
      </c>
      <c r="I343" s="4" t="s">
        <v>31</v>
      </c>
      <c r="J343" s="4" t="s">
        <v>2335</v>
      </c>
      <c r="K343" s="4" t="s">
        <v>209</v>
      </c>
      <c r="L343" s="4">
        <v>2</v>
      </c>
      <c r="M343" s="5">
        <v>309.97000000000003</v>
      </c>
      <c r="N343" s="4" t="s">
        <v>34</v>
      </c>
      <c r="O343" s="5">
        <v>0</v>
      </c>
      <c r="P343" s="5">
        <v>0</v>
      </c>
      <c r="Q343" s="5">
        <v>31</v>
      </c>
      <c r="R343" s="5">
        <v>340.97</v>
      </c>
      <c r="S343" s="4" t="s">
        <v>64</v>
      </c>
      <c r="T343" s="4" t="s">
        <v>99</v>
      </c>
      <c r="U343" s="4" t="s">
        <v>66</v>
      </c>
      <c r="V343" s="4" t="s">
        <v>2149</v>
      </c>
      <c r="W343" s="5">
        <v>0</v>
      </c>
      <c r="X343" t="str">
        <f t="shared" si="15"/>
        <v>February</v>
      </c>
      <c r="Y343" t="str">
        <f t="shared" si="16"/>
        <v>Q1</v>
      </c>
      <c r="Z343" s="7">
        <f t="shared" si="17"/>
        <v>309.97000000000003</v>
      </c>
    </row>
    <row r="344" spans="1:26" x14ac:dyDescent="0.3">
      <c r="A344" s="2" t="s">
        <v>2336</v>
      </c>
      <c r="B344" s="8" t="s">
        <v>1151</v>
      </c>
      <c r="C344" s="2" t="s">
        <v>2337</v>
      </c>
      <c r="D344" s="2" t="s">
        <v>1261</v>
      </c>
      <c r="E344" s="2" t="s">
        <v>2338</v>
      </c>
      <c r="F344" s="2" t="s">
        <v>2339</v>
      </c>
      <c r="G344" s="2" t="s">
        <v>224</v>
      </c>
      <c r="H344" s="2" t="s">
        <v>225</v>
      </c>
      <c r="I344" s="2" t="s">
        <v>31</v>
      </c>
      <c r="J344" s="2" t="s">
        <v>2340</v>
      </c>
      <c r="K344" s="2" t="s">
        <v>122</v>
      </c>
      <c r="L344" s="2">
        <v>3</v>
      </c>
      <c r="M344" s="3">
        <v>175.96</v>
      </c>
      <c r="N344" s="2" t="s">
        <v>49</v>
      </c>
      <c r="O344" s="3">
        <v>26.39</v>
      </c>
      <c r="P344" s="3">
        <v>0</v>
      </c>
      <c r="Q344" s="3">
        <v>11.97</v>
      </c>
      <c r="R344" s="3">
        <v>161.54</v>
      </c>
      <c r="S344" s="2" t="s">
        <v>35</v>
      </c>
      <c r="T344" s="2" t="s">
        <v>144</v>
      </c>
      <c r="U344" s="2" t="s">
        <v>37</v>
      </c>
      <c r="V344" s="2" t="s">
        <v>865</v>
      </c>
      <c r="W344" s="3">
        <v>161.54</v>
      </c>
      <c r="X344" t="str">
        <f t="shared" si="15"/>
        <v>August</v>
      </c>
      <c r="Y344" t="str">
        <f t="shared" si="16"/>
        <v>Q3</v>
      </c>
      <c r="Z344" s="7">
        <f t="shared" si="17"/>
        <v>149.57</v>
      </c>
    </row>
    <row r="345" spans="1:26" x14ac:dyDescent="0.3">
      <c r="A345" s="4" t="s">
        <v>2341</v>
      </c>
      <c r="B345" s="9" t="s">
        <v>309</v>
      </c>
      <c r="C345" s="4" t="s">
        <v>2342</v>
      </c>
      <c r="D345" s="4" t="s">
        <v>2343</v>
      </c>
      <c r="E345" s="4" t="s">
        <v>2344</v>
      </c>
      <c r="F345" s="4" t="s">
        <v>2345</v>
      </c>
      <c r="G345" s="4" t="s">
        <v>403</v>
      </c>
      <c r="H345" s="4" t="s">
        <v>404</v>
      </c>
      <c r="I345" s="4" t="s">
        <v>31</v>
      </c>
      <c r="J345" s="4" t="s">
        <v>577</v>
      </c>
      <c r="K345" s="4" t="s">
        <v>364</v>
      </c>
      <c r="L345" s="4">
        <v>1</v>
      </c>
      <c r="M345" s="5">
        <v>19.989999999999998</v>
      </c>
      <c r="N345" s="4" t="s">
        <v>78</v>
      </c>
      <c r="O345" s="5">
        <v>2</v>
      </c>
      <c r="P345" s="5">
        <v>5.99</v>
      </c>
      <c r="Q345" s="5">
        <v>1.53</v>
      </c>
      <c r="R345" s="5">
        <v>25.51</v>
      </c>
      <c r="S345" s="4" t="s">
        <v>35</v>
      </c>
      <c r="T345" s="4" t="s">
        <v>36</v>
      </c>
      <c r="U345" s="4" t="s">
        <v>66</v>
      </c>
      <c r="V345" s="4" t="s">
        <v>1471</v>
      </c>
      <c r="W345" s="5">
        <v>0</v>
      </c>
      <c r="X345" t="str">
        <f t="shared" si="15"/>
        <v>April</v>
      </c>
      <c r="Y345" t="str">
        <f t="shared" si="16"/>
        <v>Q2</v>
      </c>
      <c r="Z345" s="7">
        <f t="shared" si="17"/>
        <v>17.989999999999998</v>
      </c>
    </row>
    <row r="346" spans="1:26" x14ac:dyDescent="0.3">
      <c r="A346" s="2" t="s">
        <v>2346</v>
      </c>
      <c r="B346" s="8" t="s">
        <v>1830</v>
      </c>
      <c r="C346" s="2" t="s">
        <v>2347</v>
      </c>
      <c r="D346" s="2" t="s">
        <v>2348</v>
      </c>
      <c r="E346" s="2" t="s">
        <v>2349</v>
      </c>
      <c r="F346" s="2" t="s">
        <v>2350</v>
      </c>
      <c r="G346" s="2" t="s">
        <v>291</v>
      </c>
      <c r="H346" s="2" t="s">
        <v>292</v>
      </c>
      <c r="I346" s="2" t="s">
        <v>31</v>
      </c>
      <c r="J346" s="2" t="s">
        <v>2351</v>
      </c>
      <c r="K346" s="2" t="s">
        <v>209</v>
      </c>
      <c r="L346" s="2">
        <v>1</v>
      </c>
      <c r="M346" s="3">
        <v>59.98</v>
      </c>
      <c r="N346" s="2" t="s">
        <v>152</v>
      </c>
      <c r="O346" s="3">
        <v>3</v>
      </c>
      <c r="P346" s="3">
        <v>7.99</v>
      </c>
      <c r="Q346" s="3">
        <v>4.84</v>
      </c>
      <c r="R346" s="3">
        <v>69.81</v>
      </c>
      <c r="S346" s="2" t="s">
        <v>64</v>
      </c>
      <c r="T346" s="2" t="s">
        <v>183</v>
      </c>
      <c r="U346" s="2" t="s">
        <v>100</v>
      </c>
      <c r="V346" s="2"/>
      <c r="W346" s="3">
        <v>0</v>
      </c>
      <c r="X346" t="str">
        <f t="shared" si="15"/>
        <v>January</v>
      </c>
      <c r="Y346" t="str">
        <f t="shared" si="16"/>
        <v>Q1</v>
      </c>
      <c r="Z346" s="7">
        <f t="shared" si="17"/>
        <v>56.98</v>
      </c>
    </row>
    <row r="347" spans="1:26" x14ac:dyDescent="0.3">
      <c r="A347" s="4" t="s">
        <v>2352</v>
      </c>
      <c r="B347" s="9" t="s">
        <v>1207</v>
      </c>
      <c r="C347" s="4" t="s">
        <v>2353</v>
      </c>
      <c r="D347" s="4" t="s">
        <v>2354</v>
      </c>
      <c r="E347" s="4" t="s">
        <v>2355</v>
      </c>
      <c r="F347" s="4" t="s">
        <v>2356</v>
      </c>
      <c r="G347" s="4" t="s">
        <v>640</v>
      </c>
      <c r="H347" s="4" t="s">
        <v>161</v>
      </c>
      <c r="I347" s="4" t="s">
        <v>31</v>
      </c>
      <c r="J347" s="4" t="s">
        <v>1148</v>
      </c>
      <c r="K347" s="4" t="s">
        <v>33</v>
      </c>
      <c r="L347" s="4">
        <v>1</v>
      </c>
      <c r="M347" s="5">
        <v>18.989999999999998</v>
      </c>
      <c r="N347" s="4" t="s">
        <v>34</v>
      </c>
      <c r="O347" s="5">
        <v>0</v>
      </c>
      <c r="P347" s="5">
        <v>9.99</v>
      </c>
      <c r="Q347" s="5">
        <v>1.71</v>
      </c>
      <c r="R347" s="5">
        <v>30.69</v>
      </c>
      <c r="S347" s="4" t="s">
        <v>437</v>
      </c>
      <c r="T347" s="4" t="s">
        <v>36</v>
      </c>
      <c r="U347" s="4" t="s">
        <v>66</v>
      </c>
      <c r="V347" s="4" t="s">
        <v>476</v>
      </c>
      <c r="W347" s="5">
        <v>0</v>
      </c>
      <c r="X347" t="str">
        <f t="shared" si="15"/>
        <v>December</v>
      </c>
      <c r="Y347" t="str">
        <f t="shared" si="16"/>
        <v>Q4</v>
      </c>
      <c r="Z347" s="7">
        <f t="shared" si="17"/>
        <v>18.989999999999998</v>
      </c>
    </row>
    <row r="348" spans="1:26" x14ac:dyDescent="0.3">
      <c r="A348" s="2" t="s">
        <v>2357</v>
      </c>
      <c r="B348" s="8" t="s">
        <v>67</v>
      </c>
      <c r="C348" s="2" t="s">
        <v>2358</v>
      </c>
      <c r="D348" s="2" t="s">
        <v>1698</v>
      </c>
      <c r="E348" s="2" t="s">
        <v>2359</v>
      </c>
      <c r="F348" s="2" t="s">
        <v>2360</v>
      </c>
      <c r="G348" s="2" t="s">
        <v>640</v>
      </c>
      <c r="H348" s="2" t="s">
        <v>161</v>
      </c>
      <c r="I348" s="2" t="s">
        <v>31</v>
      </c>
      <c r="J348" s="2" t="s">
        <v>2361</v>
      </c>
      <c r="K348" s="2" t="s">
        <v>679</v>
      </c>
      <c r="L348" s="2">
        <v>2</v>
      </c>
      <c r="M348" s="3">
        <v>49.98</v>
      </c>
      <c r="N348" s="2" t="s">
        <v>34</v>
      </c>
      <c r="O348" s="3">
        <v>0</v>
      </c>
      <c r="P348" s="3">
        <v>5.99</v>
      </c>
      <c r="Q348" s="3">
        <v>3</v>
      </c>
      <c r="R348" s="3">
        <v>58.97</v>
      </c>
      <c r="S348" s="2" t="s">
        <v>332</v>
      </c>
      <c r="T348" s="2" t="s">
        <v>144</v>
      </c>
      <c r="U348" s="2" t="s">
        <v>100</v>
      </c>
      <c r="V348" s="2"/>
      <c r="W348" s="3">
        <v>0</v>
      </c>
      <c r="X348" t="str">
        <f t="shared" si="15"/>
        <v>July</v>
      </c>
      <c r="Y348" t="str">
        <f t="shared" si="16"/>
        <v>Q3</v>
      </c>
      <c r="Z348" s="7">
        <f t="shared" si="17"/>
        <v>49.98</v>
      </c>
    </row>
    <row r="349" spans="1:26" x14ac:dyDescent="0.3">
      <c r="A349" s="4" t="s">
        <v>2362</v>
      </c>
      <c r="B349" s="9" t="s">
        <v>256</v>
      </c>
      <c r="C349" s="4" t="s">
        <v>2363</v>
      </c>
      <c r="D349" s="4" t="s">
        <v>2364</v>
      </c>
      <c r="E349" s="4" t="s">
        <v>2365</v>
      </c>
      <c r="F349" s="4" t="s">
        <v>2366</v>
      </c>
      <c r="G349" s="4" t="s">
        <v>107</v>
      </c>
      <c r="H349" s="4" t="s">
        <v>108</v>
      </c>
      <c r="I349" s="4" t="s">
        <v>31</v>
      </c>
      <c r="J349" s="4" t="s">
        <v>2128</v>
      </c>
      <c r="K349" s="4" t="s">
        <v>110</v>
      </c>
      <c r="L349" s="4">
        <v>1</v>
      </c>
      <c r="M349" s="5">
        <v>45.98</v>
      </c>
      <c r="N349" s="4" t="s">
        <v>163</v>
      </c>
      <c r="O349" s="5">
        <v>9.1999999999999993</v>
      </c>
      <c r="P349" s="5">
        <v>4.99</v>
      </c>
      <c r="Q349" s="5">
        <v>2.21</v>
      </c>
      <c r="R349" s="5">
        <v>43.98</v>
      </c>
      <c r="S349" s="4" t="s">
        <v>332</v>
      </c>
      <c r="T349" s="4" t="s">
        <v>50</v>
      </c>
      <c r="U349" s="4" t="s">
        <v>66</v>
      </c>
      <c r="V349" s="4" t="s">
        <v>2015</v>
      </c>
      <c r="W349" s="5">
        <v>0</v>
      </c>
      <c r="X349" t="str">
        <f t="shared" si="15"/>
        <v>June</v>
      </c>
      <c r="Y349" t="str">
        <f t="shared" si="16"/>
        <v>Q2</v>
      </c>
      <c r="Z349" s="7">
        <f t="shared" si="17"/>
        <v>36.78</v>
      </c>
    </row>
    <row r="350" spans="1:26" x14ac:dyDescent="0.3">
      <c r="A350" s="2" t="s">
        <v>2367</v>
      </c>
      <c r="B350" s="8" t="s">
        <v>453</v>
      </c>
      <c r="C350" s="2" t="s">
        <v>2368</v>
      </c>
      <c r="D350" s="2" t="s">
        <v>2369</v>
      </c>
      <c r="E350" s="2" t="s">
        <v>2370</v>
      </c>
      <c r="F350" s="2" t="s">
        <v>2371</v>
      </c>
      <c r="G350" s="2" t="s">
        <v>291</v>
      </c>
      <c r="H350" s="2" t="s">
        <v>292</v>
      </c>
      <c r="I350" s="2" t="s">
        <v>31</v>
      </c>
      <c r="J350" s="2" t="s">
        <v>387</v>
      </c>
      <c r="K350" s="2" t="s">
        <v>33</v>
      </c>
      <c r="L350" s="2">
        <v>1</v>
      </c>
      <c r="M350" s="3">
        <v>35.99</v>
      </c>
      <c r="N350" s="2" t="s">
        <v>78</v>
      </c>
      <c r="O350" s="3">
        <v>3.6</v>
      </c>
      <c r="P350" s="3">
        <v>5.99</v>
      </c>
      <c r="Q350" s="3">
        <v>1.94</v>
      </c>
      <c r="R350" s="3">
        <v>40.32</v>
      </c>
      <c r="S350" s="2" t="s">
        <v>35</v>
      </c>
      <c r="T350" s="2" t="s">
        <v>99</v>
      </c>
      <c r="U350" s="2" t="s">
        <v>317</v>
      </c>
      <c r="V350" s="2"/>
      <c r="W350" s="3">
        <v>0</v>
      </c>
      <c r="X350" t="str">
        <f t="shared" si="15"/>
        <v>May</v>
      </c>
      <c r="Y350" t="str">
        <f t="shared" si="16"/>
        <v>Q2</v>
      </c>
      <c r="Z350" s="7">
        <f t="shared" si="17"/>
        <v>32.39</v>
      </c>
    </row>
    <row r="351" spans="1:26" x14ac:dyDescent="0.3">
      <c r="A351" s="4" t="s">
        <v>2372</v>
      </c>
      <c r="B351" s="9" t="s">
        <v>1149</v>
      </c>
      <c r="C351" s="4" t="s">
        <v>2373</v>
      </c>
      <c r="D351" s="4" t="s">
        <v>2374</v>
      </c>
      <c r="E351" s="4" t="s">
        <v>2375</v>
      </c>
      <c r="F351" s="4" t="s">
        <v>2376</v>
      </c>
      <c r="G351" s="4" t="s">
        <v>676</v>
      </c>
      <c r="H351" s="4" t="s">
        <v>677</v>
      </c>
      <c r="I351" s="4" t="s">
        <v>31</v>
      </c>
      <c r="J351" s="4" t="s">
        <v>61</v>
      </c>
      <c r="K351" s="4" t="s">
        <v>62</v>
      </c>
      <c r="L351" s="4">
        <v>1</v>
      </c>
      <c r="M351" s="5">
        <v>24.99</v>
      </c>
      <c r="N351" s="4" t="s">
        <v>34</v>
      </c>
      <c r="O351" s="5">
        <v>0</v>
      </c>
      <c r="P351" s="5">
        <v>9.99</v>
      </c>
      <c r="Q351" s="5">
        <v>2</v>
      </c>
      <c r="R351" s="5">
        <v>36.979999999999997</v>
      </c>
      <c r="S351" s="4" t="s">
        <v>35</v>
      </c>
      <c r="T351" s="4" t="s">
        <v>144</v>
      </c>
      <c r="U351" s="4" t="s">
        <v>51</v>
      </c>
      <c r="V351" s="4" t="s">
        <v>261</v>
      </c>
      <c r="W351" s="5">
        <v>0</v>
      </c>
      <c r="X351" t="str">
        <f t="shared" si="15"/>
        <v>June</v>
      </c>
      <c r="Y351" t="str">
        <f t="shared" si="16"/>
        <v>Q2</v>
      </c>
      <c r="Z351" s="7">
        <f t="shared" si="17"/>
        <v>24.99</v>
      </c>
    </row>
    <row r="352" spans="1:26" x14ac:dyDescent="0.3">
      <c r="A352" s="2" t="s">
        <v>2377</v>
      </c>
      <c r="B352" s="8" t="s">
        <v>1070</v>
      </c>
      <c r="C352" s="2" t="s">
        <v>2378</v>
      </c>
      <c r="D352" s="2" t="s">
        <v>1025</v>
      </c>
      <c r="E352" s="2" t="s">
        <v>2379</v>
      </c>
      <c r="F352" s="2" t="s">
        <v>2380</v>
      </c>
      <c r="G352" s="2" t="s">
        <v>1730</v>
      </c>
      <c r="H352" s="2" t="s">
        <v>161</v>
      </c>
      <c r="I352" s="2" t="s">
        <v>31</v>
      </c>
      <c r="J352" s="2" t="s">
        <v>2381</v>
      </c>
      <c r="K352" s="2" t="s">
        <v>364</v>
      </c>
      <c r="L352" s="2">
        <v>2</v>
      </c>
      <c r="M352" s="3">
        <v>114.97</v>
      </c>
      <c r="N352" s="2" t="s">
        <v>78</v>
      </c>
      <c r="O352" s="3">
        <v>11.5</v>
      </c>
      <c r="P352" s="3">
        <v>0</v>
      </c>
      <c r="Q352" s="3">
        <v>9.31</v>
      </c>
      <c r="R352" s="3">
        <v>112.78</v>
      </c>
      <c r="S352" s="2" t="s">
        <v>35</v>
      </c>
      <c r="T352" s="2" t="s">
        <v>183</v>
      </c>
      <c r="U352" s="2" t="s">
        <v>66</v>
      </c>
      <c r="V352" s="2" t="s">
        <v>406</v>
      </c>
      <c r="W352" s="3">
        <v>0</v>
      </c>
      <c r="X352" t="str">
        <f t="shared" si="15"/>
        <v>November</v>
      </c>
      <c r="Y352" t="str">
        <f t="shared" si="16"/>
        <v>Q4</v>
      </c>
      <c r="Z352" s="7">
        <f t="shared" si="17"/>
        <v>103.47</v>
      </c>
    </row>
    <row r="353" spans="1:26" x14ac:dyDescent="0.3">
      <c r="A353" s="4" t="s">
        <v>2382</v>
      </c>
      <c r="B353" s="9" t="s">
        <v>372</v>
      </c>
      <c r="C353" s="4" t="s">
        <v>2383</v>
      </c>
      <c r="D353" s="4" t="s">
        <v>2384</v>
      </c>
      <c r="E353" s="4" t="s">
        <v>2385</v>
      </c>
      <c r="F353" s="4" t="s">
        <v>2386</v>
      </c>
      <c r="G353" s="4" t="s">
        <v>74</v>
      </c>
      <c r="H353" s="4" t="s">
        <v>75</v>
      </c>
      <c r="I353" s="4" t="s">
        <v>31</v>
      </c>
      <c r="J353" s="4" t="s">
        <v>2387</v>
      </c>
      <c r="K353" s="4" t="s">
        <v>48</v>
      </c>
      <c r="L353" s="4">
        <v>2</v>
      </c>
      <c r="M353" s="5">
        <v>94.97</v>
      </c>
      <c r="N353" s="4" t="s">
        <v>34</v>
      </c>
      <c r="O353" s="5">
        <v>0</v>
      </c>
      <c r="P353" s="5">
        <v>0</v>
      </c>
      <c r="Q353" s="5">
        <v>6.65</v>
      </c>
      <c r="R353" s="5">
        <v>101.62</v>
      </c>
      <c r="S353" s="4" t="s">
        <v>35</v>
      </c>
      <c r="T353" s="4" t="s">
        <v>36</v>
      </c>
      <c r="U353" s="4" t="s">
        <v>66</v>
      </c>
      <c r="V353" s="4" t="s">
        <v>1469</v>
      </c>
      <c r="W353" s="5">
        <v>0</v>
      </c>
      <c r="X353" t="str">
        <f t="shared" si="15"/>
        <v>March</v>
      </c>
      <c r="Y353" t="str">
        <f t="shared" si="16"/>
        <v>Q1</v>
      </c>
      <c r="Z353" s="7">
        <f t="shared" si="17"/>
        <v>94.97</v>
      </c>
    </row>
    <row r="354" spans="1:26" x14ac:dyDescent="0.3">
      <c r="A354" s="2" t="s">
        <v>2388</v>
      </c>
      <c r="B354" s="8" t="s">
        <v>1095</v>
      </c>
      <c r="C354" s="2" t="s">
        <v>2389</v>
      </c>
      <c r="D354" s="2" t="s">
        <v>2390</v>
      </c>
      <c r="E354" s="2" t="s">
        <v>2391</v>
      </c>
      <c r="F354" s="2" t="s">
        <v>2392</v>
      </c>
      <c r="G354" s="2" t="s">
        <v>29</v>
      </c>
      <c r="H354" s="2" t="s">
        <v>30</v>
      </c>
      <c r="I354" s="2" t="s">
        <v>31</v>
      </c>
      <c r="J354" s="2" t="s">
        <v>2393</v>
      </c>
      <c r="K354" s="2" t="s">
        <v>48</v>
      </c>
      <c r="L354" s="2">
        <v>2</v>
      </c>
      <c r="M354" s="3">
        <v>104.97</v>
      </c>
      <c r="N354" s="2" t="s">
        <v>34</v>
      </c>
      <c r="O354" s="3">
        <v>0</v>
      </c>
      <c r="P354" s="3">
        <v>0</v>
      </c>
      <c r="Q354" s="3">
        <v>6.3</v>
      </c>
      <c r="R354" s="3">
        <v>111.27</v>
      </c>
      <c r="S354" s="2" t="s">
        <v>64</v>
      </c>
      <c r="T354" s="2" t="s">
        <v>99</v>
      </c>
      <c r="U354" s="2" t="s">
        <v>317</v>
      </c>
      <c r="V354" s="2"/>
      <c r="W354" s="3">
        <v>0</v>
      </c>
      <c r="X354" t="str">
        <f t="shared" si="15"/>
        <v>June</v>
      </c>
      <c r="Y354" t="str">
        <f t="shared" si="16"/>
        <v>Q2</v>
      </c>
      <c r="Z354" s="7">
        <f t="shared" si="17"/>
        <v>104.97</v>
      </c>
    </row>
    <row r="355" spans="1:26" x14ac:dyDescent="0.3">
      <c r="A355" s="4" t="s">
        <v>2394</v>
      </c>
      <c r="B355" s="9" t="s">
        <v>1805</v>
      </c>
      <c r="C355" s="4" t="s">
        <v>2395</v>
      </c>
      <c r="D355" s="4" t="s">
        <v>2396</v>
      </c>
      <c r="E355" s="4" t="s">
        <v>2397</v>
      </c>
      <c r="F355" s="4" t="s">
        <v>2398</v>
      </c>
      <c r="G355" s="4" t="s">
        <v>107</v>
      </c>
      <c r="H355" s="4" t="s">
        <v>108</v>
      </c>
      <c r="I355" s="4" t="s">
        <v>31</v>
      </c>
      <c r="J355" s="4" t="s">
        <v>1148</v>
      </c>
      <c r="K355" s="4" t="s">
        <v>33</v>
      </c>
      <c r="L355" s="4">
        <v>1</v>
      </c>
      <c r="M355" s="5">
        <v>18.989999999999998</v>
      </c>
      <c r="N355" s="4" t="s">
        <v>152</v>
      </c>
      <c r="O355" s="5">
        <v>0.95</v>
      </c>
      <c r="P355" s="5">
        <v>4.99</v>
      </c>
      <c r="Q355" s="5">
        <v>1.53</v>
      </c>
      <c r="R355" s="5">
        <v>24.56</v>
      </c>
      <c r="S355" s="4" t="s">
        <v>123</v>
      </c>
      <c r="T355" s="4" t="s">
        <v>99</v>
      </c>
      <c r="U355" s="4" t="s">
        <v>317</v>
      </c>
      <c r="V355" s="4"/>
      <c r="W355" s="5">
        <v>0</v>
      </c>
      <c r="X355" t="str">
        <f t="shared" si="15"/>
        <v>September</v>
      </c>
      <c r="Y355" t="str">
        <f t="shared" si="16"/>
        <v>Q3</v>
      </c>
      <c r="Z355" s="7">
        <f t="shared" si="17"/>
        <v>18.04</v>
      </c>
    </row>
    <row r="356" spans="1:26" x14ac:dyDescent="0.3">
      <c r="A356" s="2" t="s">
        <v>2399</v>
      </c>
      <c r="B356" s="8" t="s">
        <v>1252</v>
      </c>
      <c r="C356" s="2" t="s">
        <v>2400</v>
      </c>
      <c r="D356" s="2" t="s">
        <v>2401</v>
      </c>
      <c r="E356" s="2" t="s">
        <v>2402</v>
      </c>
      <c r="F356" s="2" t="s">
        <v>2403</v>
      </c>
      <c r="G356" s="2" t="s">
        <v>74</v>
      </c>
      <c r="H356" s="2" t="s">
        <v>75</v>
      </c>
      <c r="I356" s="2" t="s">
        <v>31</v>
      </c>
      <c r="J356" s="2" t="s">
        <v>2404</v>
      </c>
      <c r="K356" s="2" t="s">
        <v>143</v>
      </c>
      <c r="L356" s="2">
        <v>2</v>
      </c>
      <c r="M356" s="3">
        <v>179.97</v>
      </c>
      <c r="N356" s="2" t="s">
        <v>152</v>
      </c>
      <c r="O356" s="3">
        <v>9</v>
      </c>
      <c r="P356" s="3">
        <v>0</v>
      </c>
      <c r="Q356" s="3">
        <v>15.39</v>
      </c>
      <c r="R356" s="3">
        <v>186.36</v>
      </c>
      <c r="S356" s="2" t="s">
        <v>64</v>
      </c>
      <c r="T356" s="2" t="s">
        <v>99</v>
      </c>
      <c r="U356" s="2" t="s">
        <v>66</v>
      </c>
      <c r="V356" s="2" t="s">
        <v>1063</v>
      </c>
      <c r="W356" s="3">
        <v>0</v>
      </c>
      <c r="X356" t="str">
        <f t="shared" si="15"/>
        <v>December</v>
      </c>
      <c r="Y356" t="str">
        <f t="shared" si="16"/>
        <v>Q4</v>
      </c>
      <c r="Z356" s="7">
        <f t="shared" si="17"/>
        <v>170.97</v>
      </c>
    </row>
    <row r="357" spans="1:26" x14ac:dyDescent="0.3">
      <c r="A357" s="4" t="s">
        <v>2405</v>
      </c>
      <c r="B357" s="9" t="s">
        <v>2406</v>
      </c>
      <c r="C357" s="4" t="s">
        <v>2407</v>
      </c>
      <c r="D357" s="4" t="s">
        <v>2408</v>
      </c>
      <c r="E357" s="4" t="s">
        <v>2409</v>
      </c>
      <c r="F357" s="4" t="s">
        <v>2410</v>
      </c>
      <c r="G357" s="4" t="s">
        <v>291</v>
      </c>
      <c r="H357" s="4" t="s">
        <v>292</v>
      </c>
      <c r="I357" s="4" t="s">
        <v>31</v>
      </c>
      <c r="J357" s="4" t="s">
        <v>2411</v>
      </c>
      <c r="K357" s="4" t="s">
        <v>209</v>
      </c>
      <c r="L357" s="4">
        <v>2</v>
      </c>
      <c r="M357" s="5">
        <v>77.98</v>
      </c>
      <c r="N357" s="4" t="s">
        <v>34</v>
      </c>
      <c r="O357" s="5">
        <v>0</v>
      </c>
      <c r="P357" s="5">
        <v>0</v>
      </c>
      <c r="Q357" s="5">
        <v>7.02</v>
      </c>
      <c r="R357" s="5">
        <v>85</v>
      </c>
      <c r="S357" s="4" t="s">
        <v>64</v>
      </c>
      <c r="T357" s="4" t="s">
        <v>99</v>
      </c>
      <c r="U357" s="4" t="s">
        <v>51</v>
      </c>
      <c r="V357" s="4" t="s">
        <v>2412</v>
      </c>
      <c r="W357" s="5">
        <v>0</v>
      </c>
      <c r="X357" t="str">
        <f t="shared" si="15"/>
        <v>May</v>
      </c>
      <c r="Y357" t="str">
        <f t="shared" si="16"/>
        <v>Q2</v>
      </c>
      <c r="Z357" s="7">
        <f t="shared" si="17"/>
        <v>77.98</v>
      </c>
    </row>
    <row r="358" spans="1:26" x14ac:dyDescent="0.3">
      <c r="A358" s="2" t="s">
        <v>2413</v>
      </c>
      <c r="B358" s="8" t="s">
        <v>1596</v>
      </c>
      <c r="C358" s="2" t="s">
        <v>2414</v>
      </c>
      <c r="D358" s="2" t="s">
        <v>2415</v>
      </c>
      <c r="E358" s="2" t="s">
        <v>2416</v>
      </c>
      <c r="F358" s="2" t="s">
        <v>2417</v>
      </c>
      <c r="G358" s="2" t="s">
        <v>347</v>
      </c>
      <c r="H358" s="2" t="s">
        <v>60</v>
      </c>
      <c r="I358" s="2" t="s">
        <v>31</v>
      </c>
      <c r="J358" s="2" t="s">
        <v>632</v>
      </c>
      <c r="K358" s="2" t="s">
        <v>33</v>
      </c>
      <c r="L358" s="2">
        <v>1</v>
      </c>
      <c r="M358" s="3">
        <v>49.99</v>
      </c>
      <c r="N358" s="2" t="s">
        <v>34</v>
      </c>
      <c r="O358" s="3">
        <v>0</v>
      </c>
      <c r="P358" s="3">
        <v>4.99</v>
      </c>
      <c r="Q358" s="3">
        <v>4</v>
      </c>
      <c r="R358" s="3">
        <v>58.98</v>
      </c>
      <c r="S358" s="2" t="s">
        <v>35</v>
      </c>
      <c r="T358" s="2" t="s">
        <v>173</v>
      </c>
      <c r="U358" s="2" t="s">
        <v>37</v>
      </c>
      <c r="V358" s="2" t="s">
        <v>797</v>
      </c>
      <c r="W358" s="3">
        <v>58.98</v>
      </c>
      <c r="X358" t="str">
        <f t="shared" si="15"/>
        <v>December</v>
      </c>
      <c r="Y358" t="str">
        <f t="shared" si="16"/>
        <v>Q4</v>
      </c>
      <c r="Z358" s="7">
        <f t="shared" si="17"/>
        <v>49.99</v>
      </c>
    </row>
    <row r="359" spans="1:26" x14ac:dyDescent="0.3">
      <c r="A359" s="4" t="s">
        <v>2418</v>
      </c>
      <c r="B359" s="9" t="s">
        <v>2004</v>
      </c>
      <c r="C359" s="4" t="s">
        <v>2419</v>
      </c>
      <c r="D359" s="4" t="s">
        <v>2212</v>
      </c>
      <c r="E359" s="4" t="s">
        <v>2420</v>
      </c>
      <c r="F359" s="4" t="s">
        <v>2421</v>
      </c>
      <c r="G359" s="4" t="s">
        <v>45</v>
      </c>
      <c r="H359" s="4" t="s">
        <v>46</v>
      </c>
      <c r="I359" s="4" t="s">
        <v>31</v>
      </c>
      <c r="J359" s="4" t="s">
        <v>2422</v>
      </c>
      <c r="K359" s="4" t="s">
        <v>48</v>
      </c>
      <c r="L359" s="4">
        <v>4</v>
      </c>
      <c r="M359" s="5">
        <v>285.94</v>
      </c>
      <c r="N359" s="4" t="s">
        <v>78</v>
      </c>
      <c r="O359" s="5">
        <v>28.59</v>
      </c>
      <c r="P359" s="5">
        <v>0</v>
      </c>
      <c r="Q359" s="5">
        <v>15.44</v>
      </c>
      <c r="R359" s="5">
        <v>272.79000000000002</v>
      </c>
      <c r="S359" s="4" t="s">
        <v>35</v>
      </c>
      <c r="T359" s="4" t="s">
        <v>99</v>
      </c>
      <c r="U359" s="4" t="s">
        <v>66</v>
      </c>
      <c r="V359" s="4" t="s">
        <v>1865</v>
      </c>
      <c r="W359" s="5">
        <v>0</v>
      </c>
      <c r="X359" t="str">
        <f t="shared" si="15"/>
        <v>September</v>
      </c>
      <c r="Y359" t="str">
        <f t="shared" si="16"/>
        <v>Q3</v>
      </c>
      <c r="Z359" s="7">
        <f t="shared" si="17"/>
        <v>257.35000000000002</v>
      </c>
    </row>
    <row r="360" spans="1:26" x14ac:dyDescent="0.3">
      <c r="A360" s="2" t="s">
        <v>2423</v>
      </c>
      <c r="B360" s="8" t="s">
        <v>155</v>
      </c>
      <c r="C360" s="2" t="s">
        <v>2424</v>
      </c>
      <c r="D360" s="2" t="s">
        <v>2425</v>
      </c>
      <c r="E360" s="2" t="s">
        <v>2426</v>
      </c>
      <c r="F360" s="2" t="s">
        <v>2427</v>
      </c>
      <c r="G360" s="2" t="s">
        <v>190</v>
      </c>
      <c r="H360" s="2" t="s">
        <v>161</v>
      </c>
      <c r="I360" s="2" t="s">
        <v>31</v>
      </c>
      <c r="J360" s="2" t="s">
        <v>2428</v>
      </c>
      <c r="K360" s="2" t="s">
        <v>364</v>
      </c>
      <c r="L360" s="2">
        <v>2</v>
      </c>
      <c r="M360" s="3">
        <v>54.97</v>
      </c>
      <c r="N360" s="2" t="s">
        <v>34</v>
      </c>
      <c r="O360" s="3">
        <v>0</v>
      </c>
      <c r="P360" s="3">
        <v>4.99</v>
      </c>
      <c r="Q360" s="3">
        <v>3.3</v>
      </c>
      <c r="R360" s="3">
        <v>63.26</v>
      </c>
      <c r="S360" s="2" t="s">
        <v>111</v>
      </c>
      <c r="T360" s="2" t="s">
        <v>99</v>
      </c>
      <c r="U360" s="2" t="s">
        <v>37</v>
      </c>
      <c r="V360" s="2" t="s">
        <v>24</v>
      </c>
      <c r="W360" s="3">
        <v>63.26</v>
      </c>
      <c r="X360" t="str">
        <f t="shared" si="15"/>
        <v>February</v>
      </c>
      <c r="Y360" t="str">
        <f t="shared" si="16"/>
        <v>Q1</v>
      </c>
      <c r="Z360" s="7">
        <f t="shared" si="17"/>
        <v>54.97</v>
      </c>
    </row>
    <row r="361" spans="1:26" x14ac:dyDescent="0.3">
      <c r="A361" s="4" t="s">
        <v>2429</v>
      </c>
      <c r="B361" s="9" t="s">
        <v>261</v>
      </c>
      <c r="C361" s="4" t="s">
        <v>2430</v>
      </c>
      <c r="D361" s="4" t="s">
        <v>2431</v>
      </c>
      <c r="E361" s="4" t="s">
        <v>2432</v>
      </c>
      <c r="F361" s="4" t="s">
        <v>2433</v>
      </c>
      <c r="G361" s="4" t="s">
        <v>676</v>
      </c>
      <c r="H361" s="4" t="s">
        <v>677</v>
      </c>
      <c r="I361" s="4" t="s">
        <v>31</v>
      </c>
      <c r="J361" s="4" t="s">
        <v>2434</v>
      </c>
      <c r="K361" s="4" t="s">
        <v>110</v>
      </c>
      <c r="L361" s="4">
        <v>2</v>
      </c>
      <c r="M361" s="5">
        <v>199.97</v>
      </c>
      <c r="N361" s="4" t="s">
        <v>78</v>
      </c>
      <c r="O361" s="5">
        <v>20</v>
      </c>
      <c r="P361" s="5">
        <v>0</v>
      </c>
      <c r="Q361" s="5">
        <v>12.6</v>
      </c>
      <c r="R361" s="5">
        <v>192.57</v>
      </c>
      <c r="S361" s="4" t="s">
        <v>123</v>
      </c>
      <c r="T361" s="4" t="s">
        <v>325</v>
      </c>
      <c r="U361" s="4" t="s">
        <v>66</v>
      </c>
      <c r="V361" s="4" t="s">
        <v>2435</v>
      </c>
      <c r="W361" s="5">
        <v>0</v>
      </c>
      <c r="X361" t="str">
        <f t="shared" si="15"/>
        <v>June</v>
      </c>
      <c r="Y361" t="str">
        <f t="shared" si="16"/>
        <v>Q2</v>
      </c>
      <c r="Z361" s="7">
        <f t="shared" si="17"/>
        <v>179.97</v>
      </c>
    </row>
    <row r="362" spans="1:26" x14ac:dyDescent="0.3">
      <c r="A362" s="2" t="s">
        <v>2436</v>
      </c>
      <c r="B362" s="8" t="s">
        <v>663</v>
      </c>
      <c r="C362" s="2" t="s">
        <v>2437</v>
      </c>
      <c r="D362" s="2" t="s">
        <v>2438</v>
      </c>
      <c r="E362" s="2" t="s">
        <v>2439</v>
      </c>
      <c r="F362" s="2" t="s">
        <v>2440</v>
      </c>
      <c r="G362" s="2" t="s">
        <v>207</v>
      </c>
      <c r="H362" s="2" t="s">
        <v>141</v>
      </c>
      <c r="I362" s="2" t="s">
        <v>31</v>
      </c>
      <c r="J362" s="2" t="s">
        <v>2441</v>
      </c>
      <c r="K362" s="2" t="s">
        <v>33</v>
      </c>
      <c r="L362" s="2">
        <v>3</v>
      </c>
      <c r="M362" s="3">
        <v>117.96</v>
      </c>
      <c r="N362" s="2" t="s">
        <v>78</v>
      </c>
      <c r="O362" s="3">
        <v>11.8</v>
      </c>
      <c r="P362" s="3">
        <v>0</v>
      </c>
      <c r="Q362" s="3">
        <v>9.5500000000000007</v>
      </c>
      <c r="R362" s="3">
        <v>115.71</v>
      </c>
      <c r="S362" s="2" t="s">
        <v>35</v>
      </c>
      <c r="T362" s="2" t="s">
        <v>99</v>
      </c>
      <c r="U362" s="2" t="s">
        <v>66</v>
      </c>
      <c r="V362" s="2" t="s">
        <v>2096</v>
      </c>
      <c r="W362" s="3">
        <v>0</v>
      </c>
      <c r="X362" t="str">
        <f t="shared" si="15"/>
        <v>March</v>
      </c>
      <c r="Y362" t="str">
        <f t="shared" si="16"/>
        <v>Q1</v>
      </c>
      <c r="Z362" s="7">
        <f t="shared" si="17"/>
        <v>106.16</v>
      </c>
    </row>
    <row r="363" spans="1:26" x14ac:dyDescent="0.3">
      <c r="A363" s="4" t="s">
        <v>2442</v>
      </c>
      <c r="B363" s="9" t="s">
        <v>849</v>
      </c>
      <c r="C363" s="4" t="s">
        <v>2443</v>
      </c>
      <c r="D363" s="4" t="s">
        <v>840</v>
      </c>
      <c r="E363" s="4" t="s">
        <v>2444</v>
      </c>
      <c r="F363" s="4" t="s">
        <v>2445</v>
      </c>
      <c r="G363" s="4" t="s">
        <v>140</v>
      </c>
      <c r="H363" s="4" t="s">
        <v>141</v>
      </c>
      <c r="I363" s="4" t="s">
        <v>31</v>
      </c>
      <c r="J363" s="4" t="s">
        <v>2446</v>
      </c>
      <c r="K363" s="4" t="s">
        <v>209</v>
      </c>
      <c r="L363" s="4">
        <v>2</v>
      </c>
      <c r="M363" s="5">
        <v>114.96</v>
      </c>
      <c r="N363" s="4" t="s">
        <v>34</v>
      </c>
      <c r="O363" s="5">
        <v>0</v>
      </c>
      <c r="P363" s="5">
        <v>0</v>
      </c>
      <c r="Q363" s="5">
        <v>9.77</v>
      </c>
      <c r="R363" s="5">
        <v>124.73</v>
      </c>
      <c r="S363" s="4" t="s">
        <v>79</v>
      </c>
      <c r="T363" s="4" t="s">
        <v>99</v>
      </c>
      <c r="U363" s="4" t="s">
        <v>37</v>
      </c>
      <c r="V363" s="4" t="s">
        <v>663</v>
      </c>
      <c r="W363" s="5">
        <v>124.73</v>
      </c>
      <c r="X363" t="str">
        <f t="shared" si="15"/>
        <v>March</v>
      </c>
      <c r="Y363" t="str">
        <f t="shared" si="16"/>
        <v>Q1</v>
      </c>
      <c r="Z363" s="7">
        <f t="shared" si="17"/>
        <v>114.96</v>
      </c>
    </row>
    <row r="364" spans="1:26" x14ac:dyDescent="0.3">
      <c r="A364" s="2" t="s">
        <v>2447</v>
      </c>
      <c r="B364" s="8" t="s">
        <v>124</v>
      </c>
      <c r="C364" s="2" t="s">
        <v>2448</v>
      </c>
      <c r="D364" s="2" t="s">
        <v>2449</v>
      </c>
      <c r="E364" s="2" t="s">
        <v>2450</v>
      </c>
      <c r="F364" s="2" t="s">
        <v>2451</v>
      </c>
      <c r="G364" s="2" t="s">
        <v>347</v>
      </c>
      <c r="H364" s="2" t="s">
        <v>60</v>
      </c>
      <c r="I364" s="2" t="s">
        <v>31</v>
      </c>
      <c r="J364" s="2" t="s">
        <v>2452</v>
      </c>
      <c r="K364" s="2" t="s">
        <v>679</v>
      </c>
      <c r="L364" s="2">
        <v>4</v>
      </c>
      <c r="M364" s="3">
        <v>138.94</v>
      </c>
      <c r="N364" s="2" t="s">
        <v>78</v>
      </c>
      <c r="O364" s="3">
        <v>13.89</v>
      </c>
      <c r="P364" s="3">
        <v>0</v>
      </c>
      <c r="Q364" s="3">
        <v>7.5</v>
      </c>
      <c r="R364" s="3">
        <v>132.55000000000001</v>
      </c>
      <c r="S364" s="2" t="s">
        <v>123</v>
      </c>
      <c r="T364" s="2" t="s">
        <v>183</v>
      </c>
      <c r="U364" s="2" t="s">
        <v>100</v>
      </c>
      <c r="V364" s="2"/>
      <c r="W364" s="3">
        <v>0</v>
      </c>
      <c r="X364" t="str">
        <f t="shared" si="15"/>
        <v>October</v>
      </c>
      <c r="Y364" t="str">
        <f t="shared" si="16"/>
        <v>Q4</v>
      </c>
      <c r="Z364" s="7">
        <f t="shared" si="17"/>
        <v>125.05</v>
      </c>
    </row>
    <row r="365" spans="1:26" x14ac:dyDescent="0.3">
      <c r="A365" s="4" t="s">
        <v>2453</v>
      </c>
      <c r="B365" s="9" t="s">
        <v>1201</v>
      </c>
      <c r="C365" s="4" t="s">
        <v>2454</v>
      </c>
      <c r="D365" s="4" t="s">
        <v>2455</v>
      </c>
      <c r="E365" s="4" t="s">
        <v>2456</v>
      </c>
      <c r="F365" s="4" t="s">
        <v>2457</v>
      </c>
      <c r="G365" s="4" t="s">
        <v>107</v>
      </c>
      <c r="H365" s="4" t="s">
        <v>108</v>
      </c>
      <c r="I365" s="4" t="s">
        <v>31</v>
      </c>
      <c r="J365" s="4" t="s">
        <v>2458</v>
      </c>
      <c r="K365" s="4" t="s">
        <v>122</v>
      </c>
      <c r="L365" s="4">
        <v>3</v>
      </c>
      <c r="M365" s="5">
        <v>189.97</v>
      </c>
      <c r="N365" s="4" t="s">
        <v>34</v>
      </c>
      <c r="O365" s="5">
        <v>0</v>
      </c>
      <c r="P365" s="5">
        <v>0</v>
      </c>
      <c r="Q365" s="5">
        <v>17.100000000000001</v>
      </c>
      <c r="R365" s="5">
        <v>207.07</v>
      </c>
      <c r="S365" s="4" t="s">
        <v>123</v>
      </c>
      <c r="T365" s="4" t="s">
        <v>173</v>
      </c>
      <c r="U365" s="4" t="s">
        <v>37</v>
      </c>
      <c r="V365" s="4" t="s">
        <v>1207</v>
      </c>
      <c r="W365" s="5">
        <v>207.07</v>
      </c>
      <c r="X365" t="str">
        <f t="shared" si="15"/>
        <v>December</v>
      </c>
      <c r="Y365" t="str">
        <f t="shared" si="16"/>
        <v>Q4</v>
      </c>
      <c r="Z365" s="7">
        <f t="shared" si="17"/>
        <v>189.97</v>
      </c>
    </row>
    <row r="366" spans="1:26" x14ac:dyDescent="0.3">
      <c r="A366" s="2" t="s">
        <v>2459</v>
      </c>
      <c r="B366" s="8" t="s">
        <v>1209</v>
      </c>
      <c r="C366" s="2" t="s">
        <v>2460</v>
      </c>
      <c r="D366" s="2" t="s">
        <v>2461</v>
      </c>
      <c r="E366" s="2" t="s">
        <v>2462</v>
      </c>
      <c r="F366" s="2" t="s">
        <v>2463</v>
      </c>
      <c r="G366" s="2" t="s">
        <v>394</v>
      </c>
      <c r="H366" s="2" t="s">
        <v>395</v>
      </c>
      <c r="I366" s="2" t="s">
        <v>31</v>
      </c>
      <c r="J366" s="2" t="s">
        <v>2464</v>
      </c>
      <c r="K366" s="2" t="s">
        <v>77</v>
      </c>
      <c r="L366" s="2">
        <v>1</v>
      </c>
      <c r="M366" s="3">
        <v>104.97</v>
      </c>
      <c r="N366" s="2" t="s">
        <v>63</v>
      </c>
      <c r="O366" s="3">
        <v>26.24</v>
      </c>
      <c r="P366" s="3">
        <v>0</v>
      </c>
      <c r="Q366" s="3">
        <v>4.72</v>
      </c>
      <c r="R366" s="3">
        <v>83.45</v>
      </c>
      <c r="S366" s="2" t="s">
        <v>35</v>
      </c>
      <c r="T366" s="2" t="s">
        <v>65</v>
      </c>
      <c r="U366" s="2" t="s">
        <v>317</v>
      </c>
      <c r="V366" s="2"/>
      <c r="W366" s="3">
        <v>0</v>
      </c>
      <c r="X366" t="str">
        <f t="shared" si="15"/>
        <v>April</v>
      </c>
      <c r="Y366" t="str">
        <f t="shared" si="16"/>
        <v>Q2</v>
      </c>
      <c r="Z366" s="7">
        <f t="shared" si="17"/>
        <v>78.73</v>
      </c>
    </row>
    <row r="367" spans="1:26" x14ac:dyDescent="0.3">
      <c r="A367" s="4" t="s">
        <v>2465</v>
      </c>
      <c r="B367" s="9" t="s">
        <v>831</v>
      </c>
      <c r="C367" s="4" t="s">
        <v>2466</v>
      </c>
      <c r="D367" s="4" t="s">
        <v>2467</v>
      </c>
      <c r="E367" s="4" t="s">
        <v>2468</v>
      </c>
      <c r="F367" s="4" t="s">
        <v>2469</v>
      </c>
      <c r="G367" s="4" t="s">
        <v>140</v>
      </c>
      <c r="H367" s="4" t="s">
        <v>141</v>
      </c>
      <c r="I367" s="4" t="s">
        <v>31</v>
      </c>
      <c r="J367" s="4" t="s">
        <v>2470</v>
      </c>
      <c r="K367" s="4" t="s">
        <v>62</v>
      </c>
      <c r="L367" s="4">
        <v>2</v>
      </c>
      <c r="M367" s="5">
        <v>244.96</v>
      </c>
      <c r="N367" s="4" t="s">
        <v>152</v>
      </c>
      <c r="O367" s="5">
        <v>12.25</v>
      </c>
      <c r="P367" s="5">
        <v>0</v>
      </c>
      <c r="Q367" s="5">
        <v>19.78</v>
      </c>
      <c r="R367" s="5">
        <v>252.49</v>
      </c>
      <c r="S367" s="4" t="s">
        <v>35</v>
      </c>
      <c r="T367" s="4" t="s">
        <v>173</v>
      </c>
      <c r="U367" s="4" t="s">
        <v>66</v>
      </c>
      <c r="V367" s="4" t="s">
        <v>595</v>
      </c>
      <c r="W367" s="5">
        <v>0</v>
      </c>
      <c r="X367" t="str">
        <f t="shared" si="15"/>
        <v>April</v>
      </c>
      <c r="Y367" t="str">
        <f t="shared" si="16"/>
        <v>Q2</v>
      </c>
      <c r="Z367" s="7">
        <f t="shared" si="17"/>
        <v>232.71</v>
      </c>
    </row>
    <row r="368" spans="1:26" x14ac:dyDescent="0.3">
      <c r="A368" s="2" t="s">
        <v>2471</v>
      </c>
      <c r="B368" s="8" t="s">
        <v>374</v>
      </c>
      <c r="C368" s="2" t="s">
        <v>2472</v>
      </c>
      <c r="D368" s="2" t="s">
        <v>2473</v>
      </c>
      <c r="E368" s="2" t="s">
        <v>2474</v>
      </c>
      <c r="F368" s="2" t="s">
        <v>2475</v>
      </c>
      <c r="G368" s="2" t="s">
        <v>1183</v>
      </c>
      <c r="H368" s="2" t="s">
        <v>88</v>
      </c>
      <c r="I368" s="2" t="s">
        <v>31</v>
      </c>
      <c r="J368" s="2" t="s">
        <v>444</v>
      </c>
      <c r="K368" s="2" t="s">
        <v>48</v>
      </c>
      <c r="L368" s="2">
        <v>1</v>
      </c>
      <c r="M368" s="3">
        <v>64.989999999999995</v>
      </c>
      <c r="N368" s="2" t="s">
        <v>152</v>
      </c>
      <c r="O368" s="3">
        <v>3.25</v>
      </c>
      <c r="P368" s="3">
        <v>7.99</v>
      </c>
      <c r="Q368" s="3">
        <v>5.25</v>
      </c>
      <c r="R368" s="3">
        <v>74.98</v>
      </c>
      <c r="S368" s="2" t="s">
        <v>64</v>
      </c>
      <c r="T368" s="2" t="s">
        <v>173</v>
      </c>
      <c r="U368" s="2" t="s">
        <v>66</v>
      </c>
      <c r="V368" s="2" t="s">
        <v>585</v>
      </c>
      <c r="W368" s="3">
        <v>0</v>
      </c>
      <c r="X368" t="str">
        <f t="shared" si="15"/>
        <v>July</v>
      </c>
      <c r="Y368" t="str">
        <f t="shared" si="16"/>
        <v>Q3</v>
      </c>
      <c r="Z368" s="7">
        <f t="shared" si="17"/>
        <v>61.739999999999995</v>
      </c>
    </row>
    <row r="369" spans="1:26" x14ac:dyDescent="0.3">
      <c r="A369" s="4" t="s">
        <v>2476</v>
      </c>
      <c r="B369" s="9" t="s">
        <v>585</v>
      </c>
      <c r="C369" s="4" t="s">
        <v>2477</v>
      </c>
      <c r="D369" s="4" t="s">
        <v>1819</v>
      </c>
      <c r="E369" s="4" t="s">
        <v>2478</v>
      </c>
      <c r="F369" s="4" t="s">
        <v>2479</v>
      </c>
      <c r="G369" s="4" t="s">
        <v>107</v>
      </c>
      <c r="H369" s="4" t="s">
        <v>108</v>
      </c>
      <c r="I369" s="4" t="s">
        <v>31</v>
      </c>
      <c r="J369" s="4" t="s">
        <v>2480</v>
      </c>
      <c r="K369" s="4" t="s">
        <v>110</v>
      </c>
      <c r="L369" s="4">
        <v>4</v>
      </c>
      <c r="M369" s="5">
        <v>435.93</v>
      </c>
      <c r="N369" s="4" t="s">
        <v>78</v>
      </c>
      <c r="O369" s="5">
        <v>43.59</v>
      </c>
      <c r="P369" s="5">
        <v>0</v>
      </c>
      <c r="Q369" s="5">
        <v>35.31</v>
      </c>
      <c r="R369" s="5">
        <v>427.65</v>
      </c>
      <c r="S369" s="4" t="s">
        <v>123</v>
      </c>
      <c r="T369" s="4" t="s">
        <v>173</v>
      </c>
      <c r="U369" s="4" t="s">
        <v>66</v>
      </c>
      <c r="V369" s="4" t="s">
        <v>2481</v>
      </c>
      <c r="W369" s="5">
        <v>0</v>
      </c>
      <c r="X369" t="str">
        <f t="shared" si="15"/>
        <v>July</v>
      </c>
      <c r="Y369" t="str">
        <f t="shared" si="16"/>
        <v>Q3</v>
      </c>
      <c r="Z369" s="7">
        <f t="shared" si="17"/>
        <v>392.34000000000003</v>
      </c>
    </row>
    <row r="370" spans="1:26" x14ac:dyDescent="0.3">
      <c r="A370" s="2" t="s">
        <v>2482</v>
      </c>
      <c r="B370" s="8" t="s">
        <v>992</v>
      </c>
      <c r="C370" s="2" t="s">
        <v>2483</v>
      </c>
      <c r="D370" s="2" t="s">
        <v>785</v>
      </c>
      <c r="E370" s="2" t="s">
        <v>2484</v>
      </c>
      <c r="F370" s="2" t="s">
        <v>2485</v>
      </c>
      <c r="G370" s="2" t="s">
        <v>29</v>
      </c>
      <c r="H370" s="2" t="s">
        <v>30</v>
      </c>
      <c r="I370" s="2" t="s">
        <v>31</v>
      </c>
      <c r="J370" s="2" t="s">
        <v>283</v>
      </c>
      <c r="K370" s="2" t="s">
        <v>209</v>
      </c>
      <c r="L370" s="2">
        <v>1</v>
      </c>
      <c r="M370" s="3">
        <v>49.99</v>
      </c>
      <c r="N370" s="2" t="s">
        <v>163</v>
      </c>
      <c r="O370" s="3">
        <v>10</v>
      </c>
      <c r="P370" s="3">
        <v>5.99</v>
      </c>
      <c r="Q370" s="3">
        <v>3.2</v>
      </c>
      <c r="R370" s="3">
        <v>49.18</v>
      </c>
      <c r="S370" s="2" t="s">
        <v>35</v>
      </c>
      <c r="T370" s="2" t="s">
        <v>99</v>
      </c>
      <c r="U370" s="2" t="s">
        <v>317</v>
      </c>
      <c r="V370" s="2"/>
      <c r="W370" s="3">
        <v>0</v>
      </c>
      <c r="X370" t="str">
        <f t="shared" si="15"/>
        <v>April</v>
      </c>
      <c r="Y370" t="str">
        <f t="shared" si="16"/>
        <v>Q2</v>
      </c>
      <c r="Z370" s="7">
        <f t="shared" si="17"/>
        <v>39.99</v>
      </c>
    </row>
    <row r="371" spans="1:26" x14ac:dyDescent="0.3">
      <c r="A371" s="4" t="s">
        <v>2486</v>
      </c>
      <c r="B371" s="9" t="s">
        <v>1417</v>
      </c>
      <c r="C371" s="4" t="s">
        <v>2487</v>
      </c>
      <c r="D371" s="4" t="s">
        <v>2488</v>
      </c>
      <c r="E371" s="4" t="s">
        <v>2489</v>
      </c>
      <c r="F371" s="4" t="s">
        <v>2490</v>
      </c>
      <c r="G371" s="4" t="s">
        <v>640</v>
      </c>
      <c r="H371" s="4" t="s">
        <v>161</v>
      </c>
      <c r="I371" s="4" t="s">
        <v>31</v>
      </c>
      <c r="J371" s="4" t="s">
        <v>2491</v>
      </c>
      <c r="K371" s="4" t="s">
        <v>48</v>
      </c>
      <c r="L371" s="4">
        <v>2</v>
      </c>
      <c r="M371" s="5">
        <v>74.98</v>
      </c>
      <c r="N371" s="4" t="s">
        <v>78</v>
      </c>
      <c r="O371" s="5">
        <v>7.5</v>
      </c>
      <c r="P371" s="5">
        <v>7.99</v>
      </c>
      <c r="Q371" s="5">
        <v>6.75</v>
      </c>
      <c r="R371" s="5">
        <v>82.22</v>
      </c>
      <c r="S371" s="4" t="s">
        <v>332</v>
      </c>
      <c r="T371" s="4" t="s">
        <v>99</v>
      </c>
      <c r="U371" s="4" t="s">
        <v>51</v>
      </c>
      <c r="V371" s="4" t="s">
        <v>1055</v>
      </c>
      <c r="W371" s="5">
        <v>0</v>
      </c>
      <c r="X371" t="str">
        <f t="shared" si="15"/>
        <v>October</v>
      </c>
      <c r="Y371" t="str">
        <f t="shared" si="16"/>
        <v>Q4</v>
      </c>
      <c r="Z371" s="7">
        <f t="shared" si="17"/>
        <v>67.48</v>
      </c>
    </row>
    <row r="372" spans="1:26" x14ac:dyDescent="0.3">
      <c r="A372" s="2" t="s">
        <v>2492</v>
      </c>
      <c r="B372" s="8" t="s">
        <v>286</v>
      </c>
      <c r="C372" s="2" t="s">
        <v>2493</v>
      </c>
      <c r="D372" s="2" t="s">
        <v>288</v>
      </c>
      <c r="E372" s="2" t="s">
        <v>2494</v>
      </c>
      <c r="F372" s="2" t="s">
        <v>2495</v>
      </c>
      <c r="G372" s="2" t="s">
        <v>140</v>
      </c>
      <c r="H372" s="2" t="s">
        <v>141</v>
      </c>
      <c r="I372" s="2" t="s">
        <v>31</v>
      </c>
      <c r="J372" s="2" t="s">
        <v>2496</v>
      </c>
      <c r="K372" s="2" t="s">
        <v>77</v>
      </c>
      <c r="L372" s="2">
        <v>2</v>
      </c>
      <c r="M372" s="3">
        <v>74.97</v>
      </c>
      <c r="N372" s="2" t="s">
        <v>34</v>
      </c>
      <c r="O372" s="3">
        <v>0</v>
      </c>
      <c r="P372" s="3">
        <v>5.99</v>
      </c>
      <c r="Q372" s="3">
        <v>5.25</v>
      </c>
      <c r="R372" s="3">
        <v>86.21</v>
      </c>
      <c r="S372" s="2" t="s">
        <v>332</v>
      </c>
      <c r="T372" s="2" t="s">
        <v>36</v>
      </c>
      <c r="U372" s="2" t="s">
        <v>37</v>
      </c>
      <c r="V372" s="2" t="s">
        <v>1823</v>
      </c>
      <c r="W372" s="3">
        <v>86.21</v>
      </c>
      <c r="X372" t="str">
        <f t="shared" si="15"/>
        <v>October</v>
      </c>
      <c r="Y372" t="str">
        <f t="shared" si="16"/>
        <v>Q4</v>
      </c>
      <c r="Z372" s="7">
        <f t="shared" si="17"/>
        <v>74.97</v>
      </c>
    </row>
    <row r="373" spans="1:26" x14ac:dyDescent="0.3">
      <c r="A373" s="4" t="s">
        <v>2497</v>
      </c>
      <c r="B373" s="9" t="s">
        <v>1848</v>
      </c>
      <c r="C373" s="4" t="s">
        <v>2498</v>
      </c>
      <c r="D373" s="4" t="s">
        <v>2499</v>
      </c>
      <c r="E373" s="4" t="s">
        <v>2500</v>
      </c>
      <c r="F373" s="4" t="s">
        <v>2501</v>
      </c>
      <c r="G373" s="4" t="s">
        <v>207</v>
      </c>
      <c r="H373" s="4" t="s">
        <v>141</v>
      </c>
      <c r="I373" s="4" t="s">
        <v>31</v>
      </c>
      <c r="J373" s="4" t="s">
        <v>2502</v>
      </c>
      <c r="K373" s="4" t="s">
        <v>143</v>
      </c>
      <c r="L373" s="4">
        <v>4</v>
      </c>
      <c r="M373" s="5">
        <v>274.94</v>
      </c>
      <c r="N373" s="4" t="s">
        <v>78</v>
      </c>
      <c r="O373" s="5">
        <v>27.49</v>
      </c>
      <c r="P373" s="5">
        <v>0</v>
      </c>
      <c r="Q373" s="5">
        <v>17.32</v>
      </c>
      <c r="R373" s="5">
        <v>264.77</v>
      </c>
      <c r="S373" s="4" t="s">
        <v>64</v>
      </c>
      <c r="T373" s="4" t="s">
        <v>99</v>
      </c>
      <c r="U373" s="4" t="s">
        <v>66</v>
      </c>
      <c r="V373" s="4" t="s">
        <v>2503</v>
      </c>
      <c r="W373" s="5">
        <v>0</v>
      </c>
      <c r="X373" t="str">
        <f t="shared" si="15"/>
        <v>February</v>
      </c>
      <c r="Y373" t="str">
        <f t="shared" si="16"/>
        <v>Q1</v>
      </c>
      <c r="Z373" s="7">
        <f t="shared" si="17"/>
        <v>247.45</v>
      </c>
    </row>
    <row r="374" spans="1:26" x14ac:dyDescent="0.3">
      <c r="A374" s="2" t="s">
        <v>2504</v>
      </c>
      <c r="B374" s="8" t="s">
        <v>736</v>
      </c>
      <c r="C374" s="2" t="s">
        <v>2505</v>
      </c>
      <c r="D374" s="2" t="s">
        <v>1051</v>
      </c>
      <c r="E374" s="2" t="s">
        <v>2506</v>
      </c>
      <c r="F374" s="2" t="s">
        <v>2507</v>
      </c>
      <c r="G374" s="2" t="s">
        <v>140</v>
      </c>
      <c r="H374" s="2" t="s">
        <v>141</v>
      </c>
      <c r="I374" s="2" t="s">
        <v>31</v>
      </c>
      <c r="J374" s="2" t="s">
        <v>2508</v>
      </c>
      <c r="K374" s="2" t="s">
        <v>48</v>
      </c>
      <c r="L374" s="2">
        <v>1</v>
      </c>
      <c r="M374" s="3">
        <v>69.98</v>
      </c>
      <c r="N374" s="2" t="s">
        <v>34</v>
      </c>
      <c r="O374" s="3">
        <v>0</v>
      </c>
      <c r="P374" s="3">
        <v>4.99</v>
      </c>
      <c r="Q374" s="3">
        <v>5.95</v>
      </c>
      <c r="R374" s="3">
        <v>80.92</v>
      </c>
      <c r="S374" s="2" t="s">
        <v>332</v>
      </c>
      <c r="T374" s="2" t="s">
        <v>99</v>
      </c>
      <c r="U374" s="2" t="s">
        <v>66</v>
      </c>
      <c r="V374" s="2" t="s">
        <v>627</v>
      </c>
      <c r="W374" s="3">
        <v>0</v>
      </c>
      <c r="X374" t="str">
        <f t="shared" si="15"/>
        <v>January</v>
      </c>
      <c r="Y374" t="str">
        <f t="shared" si="16"/>
        <v>Q1</v>
      </c>
      <c r="Z374" s="7">
        <f t="shared" si="17"/>
        <v>69.98</v>
      </c>
    </row>
    <row r="375" spans="1:26" x14ac:dyDescent="0.3">
      <c r="A375" s="4" t="s">
        <v>2509</v>
      </c>
      <c r="B375" s="9" t="s">
        <v>831</v>
      </c>
      <c r="C375" s="4" t="s">
        <v>2510</v>
      </c>
      <c r="D375" s="4" t="s">
        <v>1819</v>
      </c>
      <c r="E375" s="4" t="s">
        <v>2511</v>
      </c>
      <c r="F375" s="4" t="s">
        <v>2512</v>
      </c>
      <c r="G375" s="4" t="s">
        <v>207</v>
      </c>
      <c r="H375" s="4" t="s">
        <v>141</v>
      </c>
      <c r="I375" s="4" t="s">
        <v>31</v>
      </c>
      <c r="J375" s="4" t="s">
        <v>2513</v>
      </c>
      <c r="K375" s="4" t="s">
        <v>48</v>
      </c>
      <c r="L375" s="4">
        <v>2</v>
      </c>
      <c r="M375" s="5">
        <v>189.95</v>
      </c>
      <c r="N375" s="4" t="s">
        <v>34</v>
      </c>
      <c r="O375" s="5">
        <v>0</v>
      </c>
      <c r="P375" s="5">
        <v>0</v>
      </c>
      <c r="Q375" s="5">
        <v>17.100000000000001</v>
      </c>
      <c r="R375" s="5">
        <v>207.05</v>
      </c>
      <c r="S375" s="4" t="s">
        <v>79</v>
      </c>
      <c r="T375" s="4" t="s">
        <v>99</v>
      </c>
      <c r="U375" s="4" t="s">
        <v>51</v>
      </c>
      <c r="V375" s="4" t="s">
        <v>2514</v>
      </c>
      <c r="W375" s="5">
        <v>0</v>
      </c>
      <c r="X375" t="str">
        <f t="shared" si="15"/>
        <v>April</v>
      </c>
      <c r="Y375" t="str">
        <f t="shared" si="16"/>
        <v>Q2</v>
      </c>
      <c r="Z375" s="7">
        <f t="shared" si="17"/>
        <v>189.95</v>
      </c>
    </row>
    <row r="376" spans="1:26" x14ac:dyDescent="0.3">
      <c r="A376" s="2" t="s">
        <v>2515</v>
      </c>
      <c r="B376" s="8" t="s">
        <v>2303</v>
      </c>
      <c r="C376" s="2" t="s">
        <v>2516</v>
      </c>
      <c r="D376" s="2" t="s">
        <v>2517</v>
      </c>
      <c r="E376" s="2" t="s">
        <v>2518</v>
      </c>
      <c r="F376" s="2" t="s">
        <v>2519</v>
      </c>
      <c r="G376" s="2" t="s">
        <v>394</v>
      </c>
      <c r="H376" s="2" t="s">
        <v>395</v>
      </c>
      <c r="I376" s="2" t="s">
        <v>31</v>
      </c>
      <c r="J376" s="2" t="s">
        <v>151</v>
      </c>
      <c r="K376" s="2" t="s">
        <v>110</v>
      </c>
      <c r="L376" s="2">
        <v>1</v>
      </c>
      <c r="M376" s="3">
        <v>39.99</v>
      </c>
      <c r="N376" s="2" t="s">
        <v>152</v>
      </c>
      <c r="O376" s="3">
        <v>2</v>
      </c>
      <c r="P376" s="3">
        <v>4.99</v>
      </c>
      <c r="Q376" s="3">
        <v>3.42</v>
      </c>
      <c r="R376" s="3">
        <v>46.4</v>
      </c>
      <c r="S376" s="2" t="s">
        <v>35</v>
      </c>
      <c r="T376" s="2" t="s">
        <v>99</v>
      </c>
      <c r="U376" s="2" t="s">
        <v>66</v>
      </c>
      <c r="V376" s="2" t="s">
        <v>649</v>
      </c>
      <c r="W376" s="3">
        <v>0</v>
      </c>
      <c r="X376" t="str">
        <f t="shared" si="15"/>
        <v>August</v>
      </c>
      <c r="Y376" t="str">
        <f t="shared" si="16"/>
        <v>Q3</v>
      </c>
      <c r="Z376" s="7">
        <f t="shared" si="17"/>
        <v>37.99</v>
      </c>
    </row>
    <row r="377" spans="1:26" x14ac:dyDescent="0.3">
      <c r="A377" s="4" t="s">
        <v>2520</v>
      </c>
      <c r="B377" s="9" t="s">
        <v>1108</v>
      </c>
      <c r="C377" s="4" t="s">
        <v>2521</v>
      </c>
      <c r="D377" s="4" t="s">
        <v>2522</v>
      </c>
      <c r="E377" s="4" t="s">
        <v>2523</v>
      </c>
      <c r="F377" s="4" t="s">
        <v>2524</v>
      </c>
      <c r="G377" s="4" t="s">
        <v>207</v>
      </c>
      <c r="H377" s="4" t="s">
        <v>141</v>
      </c>
      <c r="I377" s="4" t="s">
        <v>31</v>
      </c>
      <c r="J377" s="4" t="s">
        <v>2525</v>
      </c>
      <c r="K377" s="4" t="s">
        <v>679</v>
      </c>
      <c r="L377" s="4">
        <v>2</v>
      </c>
      <c r="M377" s="5">
        <v>94.96</v>
      </c>
      <c r="N377" s="4" t="s">
        <v>78</v>
      </c>
      <c r="O377" s="5">
        <v>9.5</v>
      </c>
      <c r="P377" s="5">
        <v>0</v>
      </c>
      <c r="Q377" s="5">
        <v>7.26</v>
      </c>
      <c r="R377" s="5">
        <v>92.72</v>
      </c>
      <c r="S377" s="4" t="s">
        <v>123</v>
      </c>
      <c r="T377" s="4" t="s">
        <v>173</v>
      </c>
      <c r="U377" s="4" t="s">
        <v>317</v>
      </c>
      <c r="V377" s="4"/>
      <c r="W377" s="5">
        <v>0</v>
      </c>
      <c r="X377" t="str">
        <f t="shared" si="15"/>
        <v>September</v>
      </c>
      <c r="Y377" t="str">
        <f t="shared" si="16"/>
        <v>Q3</v>
      </c>
      <c r="Z377" s="7">
        <f t="shared" si="17"/>
        <v>85.46</v>
      </c>
    </row>
    <row r="378" spans="1:26" x14ac:dyDescent="0.3">
      <c r="A378" s="2" t="s">
        <v>2526</v>
      </c>
      <c r="B378" s="8" t="s">
        <v>1631</v>
      </c>
      <c r="C378" s="2" t="s">
        <v>2527</v>
      </c>
      <c r="D378" s="2" t="s">
        <v>2528</v>
      </c>
      <c r="E378" s="2" t="s">
        <v>2529</v>
      </c>
      <c r="F378" s="2" t="s">
        <v>2530</v>
      </c>
      <c r="G378" s="2" t="s">
        <v>802</v>
      </c>
      <c r="H378" s="2" t="s">
        <v>88</v>
      </c>
      <c r="I378" s="2" t="s">
        <v>31</v>
      </c>
      <c r="J378" s="2" t="s">
        <v>1232</v>
      </c>
      <c r="K378" s="2" t="s">
        <v>77</v>
      </c>
      <c r="L378" s="2">
        <v>1</v>
      </c>
      <c r="M378" s="3">
        <v>34.99</v>
      </c>
      <c r="N378" s="2" t="s">
        <v>34</v>
      </c>
      <c r="O378" s="3">
        <v>0</v>
      </c>
      <c r="P378" s="3">
        <v>4.99</v>
      </c>
      <c r="Q378" s="3">
        <v>2.8</v>
      </c>
      <c r="R378" s="3">
        <v>42.78</v>
      </c>
      <c r="S378" s="2" t="s">
        <v>123</v>
      </c>
      <c r="T378" s="2" t="s">
        <v>99</v>
      </c>
      <c r="U378" s="2" t="s">
        <v>100</v>
      </c>
      <c r="V378" s="2"/>
      <c r="W378" s="3">
        <v>0</v>
      </c>
      <c r="X378" t="str">
        <f t="shared" si="15"/>
        <v>October</v>
      </c>
      <c r="Y378" t="str">
        <f t="shared" si="16"/>
        <v>Q4</v>
      </c>
      <c r="Z378" s="7">
        <f t="shared" si="17"/>
        <v>34.99</v>
      </c>
    </row>
    <row r="379" spans="1:26" x14ac:dyDescent="0.3">
      <c r="A379" s="4" t="s">
        <v>2531</v>
      </c>
      <c r="B379" s="9" t="s">
        <v>2532</v>
      </c>
      <c r="C379" s="4" t="s">
        <v>2533</v>
      </c>
      <c r="D379" s="4" t="s">
        <v>719</v>
      </c>
      <c r="E379" s="4" t="s">
        <v>2534</v>
      </c>
      <c r="F379" s="4" t="s">
        <v>2535</v>
      </c>
      <c r="G379" s="4" t="s">
        <v>428</v>
      </c>
      <c r="H379" s="4" t="s">
        <v>429</v>
      </c>
      <c r="I379" s="4" t="s">
        <v>31</v>
      </c>
      <c r="J379" s="4" t="s">
        <v>267</v>
      </c>
      <c r="K379" s="4" t="s">
        <v>62</v>
      </c>
      <c r="L379" s="4">
        <v>1</v>
      </c>
      <c r="M379" s="5">
        <v>54.99</v>
      </c>
      <c r="N379" s="4" t="s">
        <v>163</v>
      </c>
      <c r="O379" s="5">
        <v>11</v>
      </c>
      <c r="P379" s="5">
        <v>7.99</v>
      </c>
      <c r="Q379" s="5">
        <v>3.08</v>
      </c>
      <c r="R379" s="5">
        <v>55.06</v>
      </c>
      <c r="S379" s="4" t="s">
        <v>35</v>
      </c>
      <c r="T379" s="4" t="s">
        <v>144</v>
      </c>
      <c r="U379" s="4" t="s">
        <v>66</v>
      </c>
      <c r="V379" s="4" t="s">
        <v>1194</v>
      </c>
      <c r="W379" s="5">
        <v>0</v>
      </c>
      <c r="X379" t="str">
        <f t="shared" si="15"/>
        <v>November</v>
      </c>
      <c r="Y379" t="str">
        <f t="shared" si="16"/>
        <v>Q4</v>
      </c>
      <c r="Z379" s="7">
        <f t="shared" si="17"/>
        <v>43.99</v>
      </c>
    </row>
    <row r="380" spans="1:26" x14ac:dyDescent="0.3">
      <c r="A380" s="2" t="s">
        <v>2536</v>
      </c>
      <c r="B380" s="8" t="s">
        <v>619</v>
      </c>
      <c r="C380" s="2" t="s">
        <v>2537</v>
      </c>
      <c r="D380" s="2" t="s">
        <v>104</v>
      </c>
      <c r="E380" s="2" t="s">
        <v>2538</v>
      </c>
      <c r="F380" s="2" t="s">
        <v>2539</v>
      </c>
      <c r="G380" s="2" t="s">
        <v>171</v>
      </c>
      <c r="H380" s="2" t="s">
        <v>88</v>
      </c>
      <c r="I380" s="2" t="s">
        <v>31</v>
      </c>
      <c r="J380" s="2" t="s">
        <v>2540</v>
      </c>
      <c r="K380" s="2" t="s">
        <v>122</v>
      </c>
      <c r="L380" s="2">
        <v>4</v>
      </c>
      <c r="M380" s="3">
        <v>258.94</v>
      </c>
      <c r="N380" s="2" t="s">
        <v>49</v>
      </c>
      <c r="O380" s="3">
        <v>38.840000000000003</v>
      </c>
      <c r="P380" s="3">
        <v>0</v>
      </c>
      <c r="Q380" s="3">
        <v>22.01</v>
      </c>
      <c r="R380" s="3">
        <v>242.11</v>
      </c>
      <c r="S380" s="2" t="s">
        <v>123</v>
      </c>
      <c r="T380" s="2" t="s">
        <v>144</v>
      </c>
      <c r="U380" s="2" t="s">
        <v>66</v>
      </c>
      <c r="V380" s="2" t="s">
        <v>1625</v>
      </c>
      <c r="W380" s="3">
        <v>0</v>
      </c>
      <c r="X380" t="str">
        <f t="shared" si="15"/>
        <v>October</v>
      </c>
      <c r="Y380" t="str">
        <f t="shared" si="16"/>
        <v>Q4</v>
      </c>
      <c r="Z380" s="7">
        <f t="shared" si="17"/>
        <v>220.1</v>
      </c>
    </row>
    <row r="381" spans="1:26" x14ac:dyDescent="0.3">
      <c r="A381" s="4" t="s">
        <v>2541</v>
      </c>
      <c r="B381" s="9" t="s">
        <v>382</v>
      </c>
      <c r="C381" s="4" t="s">
        <v>2542</v>
      </c>
      <c r="D381" s="4" t="s">
        <v>2543</v>
      </c>
      <c r="E381" s="4" t="s">
        <v>2544</v>
      </c>
      <c r="F381" s="4" t="s">
        <v>2545</v>
      </c>
      <c r="G381" s="4" t="s">
        <v>87</v>
      </c>
      <c r="H381" s="4" t="s">
        <v>88</v>
      </c>
      <c r="I381" s="4" t="s">
        <v>31</v>
      </c>
      <c r="J381" s="4" t="s">
        <v>2546</v>
      </c>
      <c r="K381" s="4" t="s">
        <v>122</v>
      </c>
      <c r="L381" s="4">
        <v>2</v>
      </c>
      <c r="M381" s="5">
        <v>212.96</v>
      </c>
      <c r="N381" s="4" t="s">
        <v>34</v>
      </c>
      <c r="O381" s="5">
        <v>0</v>
      </c>
      <c r="P381" s="5">
        <v>0</v>
      </c>
      <c r="Q381" s="5">
        <v>12.78</v>
      </c>
      <c r="R381" s="5">
        <v>225.74</v>
      </c>
      <c r="S381" s="4" t="s">
        <v>123</v>
      </c>
      <c r="T381" s="4" t="s">
        <v>99</v>
      </c>
      <c r="U381" s="4" t="s">
        <v>66</v>
      </c>
      <c r="V381" s="4" t="s">
        <v>328</v>
      </c>
      <c r="W381" s="5">
        <v>0</v>
      </c>
      <c r="X381" t="str">
        <f t="shared" si="15"/>
        <v>April</v>
      </c>
      <c r="Y381" t="str">
        <f t="shared" si="16"/>
        <v>Q2</v>
      </c>
      <c r="Z381" s="7">
        <f t="shared" si="17"/>
        <v>212.96</v>
      </c>
    </row>
    <row r="382" spans="1:26" x14ac:dyDescent="0.3">
      <c r="A382" s="2" t="s">
        <v>2547</v>
      </c>
      <c r="B382" s="8" t="s">
        <v>112</v>
      </c>
      <c r="C382" s="2" t="s">
        <v>2548</v>
      </c>
      <c r="D382" s="2" t="s">
        <v>2549</v>
      </c>
      <c r="E382" s="2" t="s">
        <v>2550</v>
      </c>
      <c r="F382" s="2" t="s">
        <v>2551</v>
      </c>
      <c r="G382" s="2" t="s">
        <v>59</v>
      </c>
      <c r="H382" s="2" t="s">
        <v>60</v>
      </c>
      <c r="I382" s="2" t="s">
        <v>31</v>
      </c>
      <c r="J382" s="2" t="s">
        <v>2552</v>
      </c>
      <c r="K382" s="2" t="s">
        <v>143</v>
      </c>
      <c r="L382" s="2">
        <v>2</v>
      </c>
      <c r="M382" s="3">
        <v>114.98</v>
      </c>
      <c r="N382" s="2" t="s">
        <v>78</v>
      </c>
      <c r="O382" s="3">
        <v>11.5</v>
      </c>
      <c r="P382" s="3">
        <v>0</v>
      </c>
      <c r="Q382" s="3">
        <v>10.35</v>
      </c>
      <c r="R382" s="3">
        <v>113.83</v>
      </c>
      <c r="S382" s="2" t="s">
        <v>123</v>
      </c>
      <c r="T382" s="2" t="s">
        <v>173</v>
      </c>
      <c r="U382" s="2" t="s">
        <v>37</v>
      </c>
      <c r="V382" s="2" t="s">
        <v>742</v>
      </c>
      <c r="W382" s="3">
        <v>113.83</v>
      </c>
      <c r="X382" t="str">
        <f t="shared" si="15"/>
        <v>January</v>
      </c>
      <c r="Y382" t="str">
        <f t="shared" si="16"/>
        <v>Q1</v>
      </c>
      <c r="Z382" s="7">
        <f t="shared" si="17"/>
        <v>103.48</v>
      </c>
    </row>
    <row r="383" spans="1:26" x14ac:dyDescent="0.3">
      <c r="A383" s="4" t="s">
        <v>2553</v>
      </c>
      <c r="B383" s="9" t="s">
        <v>447</v>
      </c>
      <c r="C383" s="4" t="s">
        <v>2554</v>
      </c>
      <c r="D383" s="4" t="s">
        <v>2555</v>
      </c>
      <c r="E383" s="4" t="s">
        <v>2556</v>
      </c>
      <c r="F383" s="4" t="s">
        <v>2557</v>
      </c>
      <c r="G383" s="4" t="s">
        <v>291</v>
      </c>
      <c r="H383" s="4" t="s">
        <v>292</v>
      </c>
      <c r="I383" s="4" t="s">
        <v>31</v>
      </c>
      <c r="J383" s="4" t="s">
        <v>2558</v>
      </c>
      <c r="K383" s="4" t="s">
        <v>679</v>
      </c>
      <c r="L383" s="4">
        <v>3</v>
      </c>
      <c r="M383" s="5">
        <v>189.96</v>
      </c>
      <c r="N383" s="4" t="s">
        <v>34</v>
      </c>
      <c r="O383" s="5">
        <v>0</v>
      </c>
      <c r="P383" s="5">
        <v>0</v>
      </c>
      <c r="Q383" s="5">
        <v>16.149999999999999</v>
      </c>
      <c r="R383" s="5">
        <v>206.11</v>
      </c>
      <c r="S383" s="4" t="s">
        <v>123</v>
      </c>
      <c r="T383" s="4" t="s">
        <v>99</v>
      </c>
      <c r="U383" s="4" t="s">
        <v>317</v>
      </c>
      <c r="V383" s="4"/>
      <c r="W383" s="5">
        <v>0</v>
      </c>
      <c r="X383" t="str">
        <f t="shared" si="15"/>
        <v>May</v>
      </c>
      <c r="Y383" t="str">
        <f t="shared" si="16"/>
        <v>Q2</v>
      </c>
      <c r="Z383" s="7">
        <f t="shared" si="17"/>
        <v>189.96</v>
      </c>
    </row>
    <row r="384" spans="1:26" x14ac:dyDescent="0.3">
      <c r="A384" s="2" t="s">
        <v>2559</v>
      </c>
      <c r="B384" s="8" t="s">
        <v>2296</v>
      </c>
      <c r="C384" s="2" t="s">
        <v>2560</v>
      </c>
      <c r="D384" s="2" t="s">
        <v>2561</v>
      </c>
      <c r="E384" s="2" t="s">
        <v>2562</v>
      </c>
      <c r="F384" s="2" t="s">
        <v>2563</v>
      </c>
      <c r="G384" s="2" t="s">
        <v>282</v>
      </c>
      <c r="H384" s="2" t="s">
        <v>88</v>
      </c>
      <c r="I384" s="2" t="s">
        <v>31</v>
      </c>
      <c r="J384" s="2" t="s">
        <v>2564</v>
      </c>
      <c r="K384" s="2" t="s">
        <v>122</v>
      </c>
      <c r="L384" s="2">
        <v>2</v>
      </c>
      <c r="M384" s="3">
        <v>154.97999999999999</v>
      </c>
      <c r="N384" s="2" t="s">
        <v>152</v>
      </c>
      <c r="O384" s="3">
        <v>7.75</v>
      </c>
      <c r="P384" s="3">
        <v>0</v>
      </c>
      <c r="Q384" s="3">
        <v>12.51</v>
      </c>
      <c r="R384" s="3">
        <v>159.74</v>
      </c>
      <c r="S384" s="2" t="s">
        <v>64</v>
      </c>
      <c r="T384" s="2" t="s">
        <v>99</v>
      </c>
      <c r="U384" s="2" t="s">
        <v>66</v>
      </c>
      <c r="V384" s="2" t="s">
        <v>2565</v>
      </c>
      <c r="W384" s="3">
        <v>0</v>
      </c>
      <c r="X384" t="str">
        <f t="shared" si="15"/>
        <v>July</v>
      </c>
      <c r="Y384" t="str">
        <f t="shared" si="16"/>
        <v>Q3</v>
      </c>
      <c r="Z384" s="7">
        <f t="shared" si="17"/>
        <v>147.22999999999999</v>
      </c>
    </row>
    <row r="385" spans="1:26" x14ac:dyDescent="0.3">
      <c r="A385" s="4" t="s">
        <v>2566</v>
      </c>
      <c r="B385" s="9" t="s">
        <v>210</v>
      </c>
      <c r="C385" s="4" t="s">
        <v>2567</v>
      </c>
      <c r="D385" s="4" t="s">
        <v>2568</v>
      </c>
      <c r="E385" s="4" t="s">
        <v>2569</v>
      </c>
      <c r="F385" s="4" t="s">
        <v>2570</v>
      </c>
      <c r="G385" s="4" t="s">
        <v>394</v>
      </c>
      <c r="H385" s="4" t="s">
        <v>395</v>
      </c>
      <c r="I385" s="4" t="s">
        <v>31</v>
      </c>
      <c r="J385" s="4" t="s">
        <v>1238</v>
      </c>
      <c r="K385" s="4" t="s">
        <v>209</v>
      </c>
      <c r="L385" s="4">
        <v>1</v>
      </c>
      <c r="M385" s="5">
        <v>39.99</v>
      </c>
      <c r="N385" s="4" t="s">
        <v>78</v>
      </c>
      <c r="O385" s="5">
        <v>4</v>
      </c>
      <c r="P385" s="5">
        <v>9.99</v>
      </c>
      <c r="Q385" s="5">
        <v>2.88</v>
      </c>
      <c r="R385" s="5">
        <v>48.86</v>
      </c>
      <c r="S385" s="4" t="s">
        <v>35</v>
      </c>
      <c r="T385" s="4" t="s">
        <v>99</v>
      </c>
      <c r="U385" s="4" t="s">
        <v>66</v>
      </c>
      <c r="V385" s="4" t="s">
        <v>656</v>
      </c>
      <c r="W385" s="5">
        <v>0</v>
      </c>
      <c r="X385" t="str">
        <f t="shared" si="15"/>
        <v>August</v>
      </c>
      <c r="Y385" t="str">
        <f t="shared" si="16"/>
        <v>Q3</v>
      </c>
      <c r="Z385" s="7">
        <f t="shared" si="17"/>
        <v>35.99</v>
      </c>
    </row>
    <row r="386" spans="1:26" x14ac:dyDescent="0.3">
      <c r="A386" s="2" t="s">
        <v>2571</v>
      </c>
      <c r="B386" s="8" t="s">
        <v>453</v>
      </c>
      <c r="C386" s="2" t="s">
        <v>2572</v>
      </c>
      <c r="D386" s="2" t="s">
        <v>2573</v>
      </c>
      <c r="E386" s="2" t="s">
        <v>2574</v>
      </c>
      <c r="F386" s="2" t="s">
        <v>2575</v>
      </c>
      <c r="G386" s="2" t="s">
        <v>131</v>
      </c>
      <c r="H386" s="2" t="s">
        <v>88</v>
      </c>
      <c r="I386" s="2" t="s">
        <v>31</v>
      </c>
      <c r="J386" s="2" t="s">
        <v>2576</v>
      </c>
      <c r="K386" s="2" t="s">
        <v>33</v>
      </c>
      <c r="L386" s="2">
        <v>1</v>
      </c>
      <c r="M386" s="3">
        <v>99.98</v>
      </c>
      <c r="N386" s="2" t="s">
        <v>152</v>
      </c>
      <c r="O386" s="3">
        <v>5</v>
      </c>
      <c r="P386" s="3">
        <v>0</v>
      </c>
      <c r="Q386" s="3">
        <v>8.5500000000000007</v>
      </c>
      <c r="R386" s="3">
        <v>103.53</v>
      </c>
      <c r="S386" s="2" t="s">
        <v>79</v>
      </c>
      <c r="T386" s="2" t="s">
        <v>99</v>
      </c>
      <c r="U386" s="2" t="s">
        <v>100</v>
      </c>
      <c r="V386" s="2"/>
      <c r="W386" s="3">
        <v>0</v>
      </c>
      <c r="X386" t="str">
        <f t="shared" si="15"/>
        <v>May</v>
      </c>
      <c r="Y386" t="str">
        <f t="shared" si="16"/>
        <v>Q2</v>
      </c>
      <c r="Z386" s="7">
        <f t="shared" si="17"/>
        <v>94.98</v>
      </c>
    </row>
    <row r="387" spans="1:26" x14ac:dyDescent="0.3">
      <c r="A387" s="4" t="s">
        <v>2577</v>
      </c>
      <c r="B387" s="9" t="s">
        <v>1341</v>
      </c>
      <c r="C387" s="4" t="s">
        <v>2578</v>
      </c>
      <c r="D387" s="4" t="s">
        <v>2579</v>
      </c>
      <c r="E387" s="4" t="s">
        <v>2580</v>
      </c>
      <c r="F387" s="4" t="s">
        <v>2581</v>
      </c>
      <c r="G387" s="4" t="s">
        <v>171</v>
      </c>
      <c r="H387" s="4" t="s">
        <v>88</v>
      </c>
      <c r="I387" s="4" t="s">
        <v>31</v>
      </c>
      <c r="J387" s="4" t="s">
        <v>2582</v>
      </c>
      <c r="K387" s="4" t="s">
        <v>122</v>
      </c>
      <c r="L387" s="4">
        <v>2</v>
      </c>
      <c r="M387" s="5">
        <v>119.97</v>
      </c>
      <c r="N387" s="4" t="s">
        <v>78</v>
      </c>
      <c r="O387" s="5">
        <v>12</v>
      </c>
      <c r="P387" s="5">
        <v>0</v>
      </c>
      <c r="Q387" s="5">
        <v>7.56</v>
      </c>
      <c r="R387" s="5">
        <v>115.53</v>
      </c>
      <c r="S387" s="4" t="s">
        <v>64</v>
      </c>
      <c r="T387" s="4" t="s">
        <v>99</v>
      </c>
      <c r="U387" s="4" t="s">
        <v>317</v>
      </c>
      <c r="V387" s="4"/>
      <c r="W387" s="5">
        <v>0</v>
      </c>
      <c r="X387" t="str">
        <f t="shared" ref="X387:X450" si="18">TEXT(B387,"MMMM")</f>
        <v>February</v>
      </c>
      <c r="Y387" t="str">
        <f t="shared" ref="Y387:Y450" si="19">IF(MONTH(B387)&lt;=3,"Q1",IF(MONTH(B387)&lt;=6,"Q2",IF(MONTH(B387)&lt;=9,"Q3","Q4")))</f>
        <v>Q1</v>
      </c>
      <c r="Z387" s="7">
        <f t="shared" ref="Z387:Z450" si="20">M387-O387</f>
        <v>107.97</v>
      </c>
    </row>
    <row r="388" spans="1:26" x14ac:dyDescent="0.3">
      <c r="A388" s="2" t="s">
        <v>2583</v>
      </c>
      <c r="B388" s="8" t="s">
        <v>2584</v>
      </c>
      <c r="C388" s="2" t="s">
        <v>2585</v>
      </c>
      <c r="D388" s="2" t="s">
        <v>2586</v>
      </c>
      <c r="E388" s="2" t="s">
        <v>2587</v>
      </c>
      <c r="F388" s="2" t="s">
        <v>2588</v>
      </c>
      <c r="G388" s="2" t="s">
        <v>190</v>
      </c>
      <c r="H388" s="2" t="s">
        <v>161</v>
      </c>
      <c r="I388" s="2" t="s">
        <v>31</v>
      </c>
      <c r="J388" s="2" t="s">
        <v>503</v>
      </c>
      <c r="K388" s="2" t="s">
        <v>122</v>
      </c>
      <c r="L388" s="2">
        <v>1</v>
      </c>
      <c r="M388" s="3">
        <v>59.99</v>
      </c>
      <c r="N388" s="2" t="s">
        <v>34</v>
      </c>
      <c r="O388" s="3">
        <v>0</v>
      </c>
      <c r="P388" s="3">
        <v>4.99</v>
      </c>
      <c r="Q388" s="3">
        <v>5.4</v>
      </c>
      <c r="R388" s="3">
        <v>70.38</v>
      </c>
      <c r="S388" s="2" t="s">
        <v>35</v>
      </c>
      <c r="T388" s="2" t="s">
        <v>99</v>
      </c>
      <c r="U388" s="2" t="s">
        <v>37</v>
      </c>
      <c r="V388" s="2" t="s">
        <v>2270</v>
      </c>
      <c r="W388" s="3">
        <v>70.38</v>
      </c>
      <c r="X388" t="str">
        <f t="shared" si="18"/>
        <v>August</v>
      </c>
      <c r="Y388" t="str">
        <f t="shared" si="19"/>
        <v>Q3</v>
      </c>
      <c r="Z388" s="7">
        <f t="shared" si="20"/>
        <v>59.99</v>
      </c>
    </row>
    <row r="389" spans="1:26" x14ac:dyDescent="0.3">
      <c r="A389" s="4" t="s">
        <v>2589</v>
      </c>
      <c r="B389" s="9" t="s">
        <v>67</v>
      </c>
      <c r="C389" s="4" t="s">
        <v>2590</v>
      </c>
      <c r="D389" s="4" t="s">
        <v>2591</v>
      </c>
      <c r="E389" s="4" t="s">
        <v>2592</v>
      </c>
      <c r="F389" s="4" t="s">
        <v>2593</v>
      </c>
      <c r="G389" s="4" t="s">
        <v>640</v>
      </c>
      <c r="H389" s="4" t="s">
        <v>161</v>
      </c>
      <c r="I389" s="4" t="s">
        <v>31</v>
      </c>
      <c r="J389" s="4" t="s">
        <v>577</v>
      </c>
      <c r="K389" s="4" t="s">
        <v>364</v>
      </c>
      <c r="L389" s="4">
        <v>1</v>
      </c>
      <c r="M389" s="5">
        <v>19.989999999999998</v>
      </c>
      <c r="N389" s="4" t="s">
        <v>152</v>
      </c>
      <c r="O389" s="5">
        <v>1</v>
      </c>
      <c r="P389" s="5">
        <v>9.99</v>
      </c>
      <c r="Q389" s="5">
        <v>1.9</v>
      </c>
      <c r="R389" s="5">
        <v>30.88</v>
      </c>
      <c r="S389" s="4" t="s">
        <v>332</v>
      </c>
      <c r="T389" s="4" t="s">
        <v>99</v>
      </c>
      <c r="U389" s="4" t="s">
        <v>66</v>
      </c>
      <c r="V389" s="4" t="s">
        <v>496</v>
      </c>
      <c r="W389" s="5">
        <v>0</v>
      </c>
      <c r="X389" t="str">
        <f t="shared" si="18"/>
        <v>July</v>
      </c>
      <c r="Y389" t="str">
        <f t="shared" si="19"/>
        <v>Q3</v>
      </c>
      <c r="Z389" s="7">
        <f t="shared" si="20"/>
        <v>18.989999999999998</v>
      </c>
    </row>
    <row r="390" spans="1:26" x14ac:dyDescent="0.3">
      <c r="A390" s="2" t="s">
        <v>2594</v>
      </c>
      <c r="B390" s="8" t="s">
        <v>1055</v>
      </c>
      <c r="C390" s="2" t="s">
        <v>2595</v>
      </c>
      <c r="D390" s="2" t="s">
        <v>2596</v>
      </c>
      <c r="E390" s="2" t="s">
        <v>2597</v>
      </c>
      <c r="F390" s="2" t="s">
        <v>2598</v>
      </c>
      <c r="G390" s="2" t="s">
        <v>87</v>
      </c>
      <c r="H390" s="2" t="s">
        <v>88</v>
      </c>
      <c r="I390" s="2" t="s">
        <v>31</v>
      </c>
      <c r="J390" s="2" t="s">
        <v>2599</v>
      </c>
      <c r="K390" s="2" t="s">
        <v>62</v>
      </c>
      <c r="L390" s="2">
        <v>4</v>
      </c>
      <c r="M390" s="3">
        <v>133.96</v>
      </c>
      <c r="N390" s="2" t="s">
        <v>78</v>
      </c>
      <c r="O390" s="3">
        <v>13.4</v>
      </c>
      <c r="P390" s="3">
        <v>0</v>
      </c>
      <c r="Q390" s="3">
        <v>10.25</v>
      </c>
      <c r="R390" s="3">
        <v>130.81</v>
      </c>
      <c r="S390" s="2" t="s">
        <v>123</v>
      </c>
      <c r="T390" s="2" t="s">
        <v>65</v>
      </c>
      <c r="U390" s="2" t="s">
        <v>66</v>
      </c>
      <c r="V390" s="2" t="s">
        <v>358</v>
      </c>
      <c r="W390" s="3">
        <v>0</v>
      </c>
      <c r="X390" t="str">
        <f t="shared" si="18"/>
        <v>October</v>
      </c>
      <c r="Y390" t="str">
        <f t="shared" si="19"/>
        <v>Q4</v>
      </c>
      <c r="Z390" s="7">
        <f t="shared" si="20"/>
        <v>120.56</v>
      </c>
    </row>
    <row r="391" spans="1:26" x14ac:dyDescent="0.3">
      <c r="A391" s="4" t="s">
        <v>2600</v>
      </c>
      <c r="B391" s="9" t="s">
        <v>915</v>
      </c>
      <c r="C391" s="4" t="s">
        <v>2601</v>
      </c>
      <c r="D391" s="4" t="s">
        <v>1751</v>
      </c>
      <c r="E391" s="4" t="s">
        <v>2602</v>
      </c>
      <c r="F391" s="4" t="s">
        <v>2603</v>
      </c>
      <c r="G391" s="4" t="s">
        <v>282</v>
      </c>
      <c r="H391" s="4" t="s">
        <v>88</v>
      </c>
      <c r="I391" s="4" t="s">
        <v>31</v>
      </c>
      <c r="J391" s="4" t="s">
        <v>172</v>
      </c>
      <c r="K391" s="4" t="s">
        <v>122</v>
      </c>
      <c r="L391" s="4">
        <v>1</v>
      </c>
      <c r="M391" s="5">
        <v>69.989999999999995</v>
      </c>
      <c r="N391" s="4" t="s">
        <v>78</v>
      </c>
      <c r="O391" s="5">
        <v>7</v>
      </c>
      <c r="P391" s="5">
        <v>9.99</v>
      </c>
      <c r="Q391" s="5">
        <v>5.35</v>
      </c>
      <c r="R391" s="5">
        <v>78.33</v>
      </c>
      <c r="S391" s="4" t="s">
        <v>64</v>
      </c>
      <c r="T391" s="4" t="s">
        <v>173</v>
      </c>
      <c r="U391" s="4" t="s">
        <v>66</v>
      </c>
      <c r="V391" s="4" t="s">
        <v>1580</v>
      </c>
      <c r="W391" s="5">
        <v>0</v>
      </c>
      <c r="X391" t="str">
        <f t="shared" si="18"/>
        <v>April</v>
      </c>
      <c r="Y391" t="str">
        <f t="shared" si="19"/>
        <v>Q2</v>
      </c>
      <c r="Z391" s="7">
        <f t="shared" si="20"/>
        <v>62.989999999999995</v>
      </c>
    </row>
    <row r="392" spans="1:26" x14ac:dyDescent="0.3">
      <c r="A392" s="2" t="s">
        <v>2604</v>
      </c>
      <c r="B392" s="8" t="s">
        <v>1873</v>
      </c>
      <c r="C392" s="2" t="s">
        <v>2605</v>
      </c>
      <c r="D392" s="2" t="s">
        <v>2606</v>
      </c>
      <c r="E392" s="2" t="s">
        <v>2607</v>
      </c>
      <c r="F392" s="2" t="s">
        <v>2608</v>
      </c>
      <c r="G392" s="2" t="s">
        <v>242</v>
      </c>
      <c r="H392" s="2" t="s">
        <v>243</v>
      </c>
      <c r="I392" s="2" t="s">
        <v>31</v>
      </c>
      <c r="J392" s="2" t="s">
        <v>387</v>
      </c>
      <c r="K392" s="2" t="s">
        <v>33</v>
      </c>
      <c r="L392" s="2">
        <v>1</v>
      </c>
      <c r="M392" s="3">
        <v>35.99</v>
      </c>
      <c r="N392" s="2" t="s">
        <v>34</v>
      </c>
      <c r="O392" s="3">
        <v>0</v>
      </c>
      <c r="P392" s="3">
        <v>4.99</v>
      </c>
      <c r="Q392" s="3">
        <v>2.16</v>
      </c>
      <c r="R392" s="3">
        <v>43.14</v>
      </c>
      <c r="S392" s="2" t="s">
        <v>35</v>
      </c>
      <c r="T392" s="2" t="s">
        <v>99</v>
      </c>
      <c r="U392" s="2" t="s">
        <v>66</v>
      </c>
      <c r="V392" s="2" t="s">
        <v>406</v>
      </c>
      <c r="W392" s="3">
        <v>0</v>
      </c>
      <c r="X392" t="str">
        <f t="shared" si="18"/>
        <v>November</v>
      </c>
      <c r="Y392" t="str">
        <f t="shared" si="19"/>
        <v>Q4</v>
      </c>
      <c r="Z392" s="7">
        <f t="shared" si="20"/>
        <v>35.99</v>
      </c>
    </row>
    <row r="393" spans="1:26" x14ac:dyDescent="0.3">
      <c r="A393" s="4" t="s">
        <v>2609</v>
      </c>
      <c r="B393" s="9" t="s">
        <v>2610</v>
      </c>
      <c r="C393" s="4" t="s">
        <v>2611</v>
      </c>
      <c r="D393" s="4" t="s">
        <v>2218</v>
      </c>
      <c r="E393" s="4" t="s">
        <v>2612</v>
      </c>
      <c r="F393" s="4" t="s">
        <v>2613</v>
      </c>
      <c r="G393" s="4" t="s">
        <v>160</v>
      </c>
      <c r="H393" s="4" t="s">
        <v>161</v>
      </c>
      <c r="I393" s="4" t="s">
        <v>31</v>
      </c>
      <c r="J393" s="4" t="s">
        <v>2614</v>
      </c>
      <c r="K393" s="4" t="s">
        <v>48</v>
      </c>
      <c r="L393" s="4">
        <v>2</v>
      </c>
      <c r="M393" s="5">
        <v>314.94</v>
      </c>
      <c r="N393" s="4" t="s">
        <v>78</v>
      </c>
      <c r="O393" s="5">
        <v>31.49</v>
      </c>
      <c r="P393" s="5">
        <v>0</v>
      </c>
      <c r="Q393" s="5">
        <v>24.09</v>
      </c>
      <c r="R393" s="5">
        <v>307.54000000000002</v>
      </c>
      <c r="S393" s="4" t="s">
        <v>111</v>
      </c>
      <c r="T393" s="4" t="s">
        <v>99</v>
      </c>
      <c r="U393" s="4" t="s">
        <v>66</v>
      </c>
      <c r="V393" s="4" t="s">
        <v>1623</v>
      </c>
      <c r="W393" s="5">
        <v>0</v>
      </c>
      <c r="X393" t="str">
        <f t="shared" si="18"/>
        <v>February</v>
      </c>
      <c r="Y393" t="str">
        <f t="shared" si="19"/>
        <v>Q1</v>
      </c>
      <c r="Z393" s="7">
        <f t="shared" si="20"/>
        <v>283.45</v>
      </c>
    </row>
    <row r="394" spans="1:26" x14ac:dyDescent="0.3">
      <c r="A394" s="2" t="s">
        <v>2615</v>
      </c>
      <c r="B394" s="8" t="s">
        <v>2616</v>
      </c>
      <c r="C394" s="2" t="s">
        <v>2617</v>
      </c>
      <c r="D394" s="2" t="s">
        <v>2618</v>
      </c>
      <c r="E394" s="2" t="s">
        <v>2619</v>
      </c>
      <c r="F394" s="2" t="s">
        <v>2620</v>
      </c>
      <c r="G394" s="2" t="s">
        <v>1183</v>
      </c>
      <c r="H394" s="2" t="s">
        <v>88</v>
      </c>
      <c r="I394" s="2" t="s">
        <v>31</v>
      </c>
      <c r="J394" s="2" t="s">
        <v>2621</v>
      </c>
      <c r="K394" s="2" t="s">
        <v>679</v>
      </c>
      <c r="L394" s="2">
        <v>5</v>
      </c>
      <c r="M394" s="3">
        <v>239.95</v>
      </c>
      <c r="N394" s="2" t="s">
        <v>163</v>
      </c>
      <c r="O394" s="3">
        <v>47.99</v>
      </c>
      <c r="P394" s="3">
        <v>0</v>
      </c>
      <c r="Q394" s="3">
        <v>19.2</v>
      </c>
      <c r="R394" s="3">
        <v>211.16</v>
      </c>
      <c r="S394" s="2" t="s">
        <v>35</v>
      </c>
      <c r="T394" s="2" t="s">
        <v>99</v>
      </c>
      <c r="U394" s="2" t="s">
        <v>66</v>
      </c>
      <c r="V394" s="2" t="s">
        <v>1124</v>
      </c>
      <c r="W394" s="3">
        <v>0</v>
      </c>
      <c r="X394" t="str">
        <f t="shared" si="18"/>
        <v>March</v>
      </c>
      <c r="Y394" t="str">
        <f t="shared" si="19"/>
        <v>Q1</v>
      </c>
      <c r="Z394" s="7">
        <f t="shared" si="20"/>
        <v>191.95999999999998</v>
      </c>
    </row>
    <row r="395" spans="1:26" x14ac:dyDescent="0.3">
      <c r="A395" s="4" t="s">
        <v>2622</v>
      </c>
      <c r="B395" s="9" t="s">
        <v>619</v>
      </c>
      <c r="C395" s="4" t="s">
        <v>2623</v>
      </c>
      <c r="D395" s="4" t="s">
        <v>2624</v>
      </c>
      <c r="E395" s="4" t="s">
        <v>2625</v>
      </c>
      <c r="F395" s="4" t="s">
        <v>2626</v>
      </c>
      <c r="G395" s="4" t="s">
        <v>107</v>
      </c>
      <c r="H395" s="4" t="s">
        <v>108</v>
      </c>
      <c r="I395" s="4" t="s">
        <v>31</v>
      </c>
      <c r="J395" s="4" t="s">
        <v>2627</v>
      </c>
      <c r="K395" s="4" t="s">
        <v>209</v>
      </c>
      <c r="L395" s="4">
        <v>2</v>
      </c>
      <c r="M395" s="5">
        <v>118.97</v>
      </c>
      <c r="N395" s="4" t="s">
        <v>78</v>
      </c>
      <c r="O395" s="5">
        <v>11.9</v>
      </c>
      <c r="P395" s="5">
        <v>0</v>
      </c>
      <c r="Q395" s="5">
        <v>9.64</v>
      </c>
      <c r="R395" s="5">
        <v>116.71</v>
      </c>
      <c r="S395" s="4" t="s">
        <v>123</v>
      </c>
      <c r="T395" s="4" t="s">
        <v>36</v>
      </c>
      <c r="U395" s="4" t="s">
        <v>51</v>
      </c>
      <c r="V395" s="4" t="s">
        <v>245</v>
      </c>
      <c r="W395" s="5">
        <v>0</v>
      </c>
      <c r="X395" t="str">
        <f t="shared" si="18"/>
        <v>October</v>
      </c>
      <c r="Y395" t="str">
        <f t="shared" si="19"/>
        <v>Q4</v>
      </c>
      <c r="Z395" s="7">
        <f t="shared" si="20"/>
        <v>107.07</v>
      </c>
    </row>
    <row r="396" spans="1:26" x14ac:dyDescent="0.3">
      <c r="A396" s="2" t="s">
        <v>2628</v>
      </c>
      <c r="B396" s="8" t="s">
        <v>1000</v>
      </c>
      <c r="C396" s="2" t="s">
        <v>2629</v>
      </c>
      <c r="D396" s="2" t="s">
        <v>2630</v>
      </c>
      <c r="E396" s="2" t="s">
        <v>2631</v>
      </c>
      <c r="F396" s="2" t="s">
        <v>2632</v>
      </c>
      <c r="G396" s="2" t="s">
        <v>251</v>
      </c>
      <c r="H396" s="2" t="s">
        <v>252</v>
      </c>
      <c r="I396" s="2" t="s">
        <v>31</v>
      </c>
      <c r="J396" s="2" t="s">
        <v>132</v>
      </c>
      <c r="K396" s="2" t="s">
        <v>48</v>
      </c>
      <c r="L396" s="2">
        <v>1</v>
      </c>
      <c r="M396" s="3">
        <v>129.97999999999999</v>
      </c>
      <c r="N396" s="2" t="s">
        <v>78</v>
      </c>
      <c r="O396" s="3">
        <v>13</v>
      </c>
      <c r="P396" s="3">
        <v>0</v>
      </c>
      <c r="Q396" s="3">
        <v>8.19</v>
      </c>
      <c r="R396" s="3">
        <v>125.17</v>
      </c>
      <c r="S396" s="2" t="s">
        <v>111</v>
      </c>
      <c r="T396" s="2" t="s">
        <v>99</v>
      </c>
      <c r="U396" s="2" t="s">
        <v>100</v>
      </c>
      <c r="V396" s="2"/>
      <c r="W396" s="3">
        <v>0</v>
      </c>
      <c r="X396" t="str">
        <f t="shared" si="18"/>
        <v>April</v>
      </c>
      <c r="Y396" t="str">
        <f t="shared" si="19"/>
        <v>Q2</v>
      </c>
      <c r="Z396" s="7">
        <f t="shared" si="20"/>
        <v>116.97999999999999</v>
      </c>
    </row>
    <row r="397" spans="1:26" x14ac:dyDescent="0.3">
      <c r="A397" s="4" t="s">
        <v>2633</v>
      </c>
      <c r="B397" s="9" t="s">
        <v>851</v>
      </c>
      <c r="C397" s="4" t="s">
        <v>2634</v>
      </c>
      <c r="D397" s="4" t="s">
        <v>2635</v>
      </c>
      <c r="E397" s="4" t="s">
        <v>2636</v>
      </c>
      <c r="F397" s="4" t="s">
        <v>2637</v>
      </c>
      <c r="G397" s="4" t="s">
        <v>74</v>
      </c>
      <c r="H397" s="4" t="s">
        <v>75</v>
      </c>
      <c r="I397" s="4" t="s">
        <v>31</v>
      </c>
      <c r="J397" s="4" t="s">
        <v>2638</v>
      </c>
      <c r="K397" s="4" t="s">
        <v>62</v>
      </c>
      <c r="L397" s="4">
        <v>3</v>
      </c>
      <c r="M397" s="5">
        <v>229.94</v>
      </c>
      <c r="N397" s="4" t="s">
        <v>34</v>
      </c>
      <c r="O397" s="5">
        <v>0</v>
      </c>
      <c r="P397" s="5">
        <v>0</v>
      </c>
      <c r="Q397" s="5">
        <v>22.99</v>
      </c>
      <c r="R397" s="5">
        <v>252.93</v>
      </c>
      <c r="S397" s="4" t="s">
        <v>35</v>
      </c>
      <c r="T397" s="4" t="s">
        <v>99</v>
      </c>
      <c r="U397" s="4" t="s">
        <v>317</v>
      </c>
      <c r="V397" s="4"/>
      <c r="W397" s="5">
        <v>0</v>
      </c>
      <c r="X397" t="str">
        <f t="shared" si="18"/>
        <v>July</v>
      </c>
      <c r="Y397" t="str">
        <f t="shared" si="19"/>
        <v>Q3</v>
      </c>
      <c r="Z397" s="7">
        <f t="shared" si="20"/>
        <v>229.94</v>
      </c>
    </row>
    <row r="398" spans="1:26" x14ac:dyDescent="0.3">
      <c r="A398" s="2" t="s">
        <v>2639</v>
      </c>
      <c r="B398" s="8" t="s">
        <v>1347</v>
      </c>
      <c r="C398" s="2" t="s">
        <v>2640</v>
      </c>
      <c r="D398" s="2" t="s">
        <v>2641</v>
      </c>
      <c r="E398" s="2" t="s">
        <v>2642</v>
      </c>
      <c r="F398" s="2" t="s">
        <v>2643</v>
      </c>
      <c r="G398" s="2" t="s">
        <v>692</v>
      </c>
      <c r="H398" s="2" t="s">
        <v>693</v>
      </c>
      <c r="I398" s="2" t="s">
        <v>31</v>
      </c>
      <c r="J398" s="2" t="s">
        <v>2644</v>
      </c>
      <c r="K398" s="2" t="s">
        <v>48</v>
      </c>
      <c r="L398" s="2">
        <v>2</v>
      </c>
      <c r="M398" s="3">
        <v>75.98</v>
      </c>
      <c r="N398" s="2" t="s">
        <v>78</v>
      </c>
      <c r="O398" s="3">
        <v>7.6</v>
      </c>
      <c r="P398" s="3">
        <v>0</v>
      </c>
      <c r="Q398" s="3">
        <v>5.47</v>
      </c>
      <c r="R398" s="3">
        <v>73.849999999999994</v>
      </c>
      <c r="S398" s="2" t="s">
        <v>64</v>
      </c>
      <c r="T398" s="2" t="s">
        <v>99</v>
      </c>
      <c r="U398" s="2" t="s">
        <v>66</v>
      </c>
      <c r="V398" s="2" t="s">
        <v>2645</v>
      </c>
      <c r="W398" s="3">
        <v>0</v>
      </c>
      <c r="X398" t="str">
        <f t="shared" si="18"/>
        <v>March</v>
      </c>
      <c r="Y398" t="str">
        <f t="shared" si="19"/>
        <v>Q1</v>
      </c>
      <c r="Z398" s="7">
        <f t="shared" si="20"/>
        <v>68.38000000000001</v>
      </c>
    </row>
    <row r="399" spans="1:26" x14ac:dyDescent="0.3">
      <c r="A399" s="4" t="s">
        <v>2646</v>
      </c>
      <c r="B399" s="9" t="s">
        <v>2647</v>
      </c>
      <c r="C399" s="4" t="s">
        <v>2648</v>
      </c>
      <c r="D399" s="4" t="s">
        <v>2649</v>
      </c>
      <c r="E399" s="4" t="s">
        <v>2650</v>
      </c>
      <c r="F399" s="4" t="s">
        <v>2651</v>
      </c>
      <c r="G399" s="4" t="s">
        <v>242</v>
      </c>
      <c r="H399" s="4" t="s">
        <v>243</v>
      </c>
      <c r="I399" s="4" t="s">
        <v>31</v>
      </c>
      <c r="J399" s="4" t="s">
        <v>2652</v>
      </c>
      <c r="K399" s="4" t="s">
        <v>122</v>
      </c>
      <c r="L399" s="4">
        <v>3</v>
      </c>
      <c r="M399" s="5">
        <v>234.97</v>
      </c>
      <c r="N399" s="4" t="s">
        <v>34</v>
      </c>
      <c r="O399" s="5">
        <v>0</v>
      </c>
      <c r="P399" s="5">
        <v>0</v>
      </c>
      <c r="Q399" s="5">
        <v>19.97</v>
      </c>
      <c r="R399" s="5">
        <v>254.94</v>
      </c>
      <c r="S399" s="4" t="s">
        <v>123</v>
      </c>
      <c r="T399" s="4" t="s">
        <v>99</v>
      </c>
      <c r="U399" s="4" t="s">
        <v>317</v>
      </c>
      <c r="V399" s="4"/>
      <c r="W399" s="5">
        <v>0</v>
      </c>
      <c r="X399" t="str">
        <f t="shared" si="18"/>
        <v>December</v>
      </c>
      <c r="Y399" t="str">
        <f t="shared" si="19"/>
        <v>Q4</v>
      </c>
      <c r="Z399" s="7">
        <f t="shared" si="20"/>
        <v>234.97</v>
      </c>
    </row>
    <row r="400" spans="1:26" x14ac:dyDescent="0.3">
      <c r="A400" s="2" t="s">
        <v>2653</v>
      </c>
      <c r="B400" s="8" t="s">
        <v>463</v>
      </c>
      <c r="C400" s="2" t="s">
        <v>2654</v>
      </c>
      <c r="D400" s="2" t="s">
        <v>2655</v>
      </c>
      <c r="E400" s="2" t="s">
        <v>2656</v>
      </c>
      <c r="F400" s="2" t="s">
        <v>2657</v>
      </c>
      <c r="G400" s="2" t="s">
        <v>107</v>
      </c>
      <c r="H400" s="2" t="s">
        <v>108</v>
      </c>
      <c r="I400" s="2" t="s">
        <v>31</v>
      </c>
      <c r="J400" s="2" t="s">
        <v>2658</v>
      </c>
      <c r="K400" s="2" t="s">
        <v>33</v>
      </c>
      <c r="L400" s="2">
        <v>1</v>
      </c>
      <c r="M400" s="3">
        <v>37.979999999999997</v>
      </c>
      <c r="N400" s="2" t="s">
        <v>34</v>
      </c>
      <c r="O400" s="3">
        <v>0</v>
      </c>
      <c r="P400" s="3">
        <v>9.99</v>
      </c>
      <c r="Q400" s="3">
        <v>3.42</v>
      </c>
      <c r="R400" s="3">
        <v>51.39</v>
      </c>
      <c r="S400" s="2" t="s">
        <v>123</v>
      </c>
      <c r="T400" s="2" t="s">
        <v>99</v>
      </c>
      <c r="U400" s="2" t="s">
        <v>66</v>
      </c>
      <c r="V400" s="2" t="s">
        <v>851</v>
      </c>
      <c r="W400" s="3">
        <v>0</v>
      </c>
      <c r="X400" t="str">
        <f t="shared" si="18"/>
        <v>June</v>
      </c>
      <c r="Y400" t="str">
        <f t="shared" si="19"/>
        <v>Q2</v>
      </c>
      <c r="Z400" s="7">
        <f t="shared" si="20"/>
        <v>37.979999999999997</v>
      </c>
    </row>
    <row r="401" spans="1:26" x14ac:dyDescent="0.3">
      <c r="A401" s="4" t="s">
        <v>2659</v>
      </c>
      <c r="B401" s="9" t="s">
        <v>2004</v>
      </c>
      <c r="C401" s="4" t="s">
        <v>2660</v>
      </c>
      <c r="D401" s="4" t="s">
        <v>2661</v>
      </c>
      <c r="E401" s="4" t="s">
        <v>2662</v>
      </c>
      <c r="F401" s="4" t="s">
        <v>2663</v>
      </c>
      <c r="G401" s="4" t="s">
        <v>119</v>
      </c>
      <c r="H401" s="4" t="s">
        <v>120</v>
      </c>
      <c r="I401" s="4" t="s">
        <v>31</v>
      </c>
      <c r="J401" s="4" t="s">
        <v>2664</v>
      </c>
      <c r="K401" s="4" t="s">
        <v>122</v>
      </c>
      <c r="L401" s="4">
        <v>2</v>
      </c>
      <c r="M401" s="5">
        <v>116.96</v>
      </c>
      <c r="N401" s="4" t="s">
        <v>78</v>
      </c>
      <c r="O401" s="5">
        <v>11.7</v>
      </c>
      <c r="P401" s="5">
        <v>0</v>
      </c>
      <c r="Q401" s="5">
        <v>8.42</v>
      </c>
      <c r="R401" s="5">
        <v>113.68</v>
      </c>
      <c r="S401" s="4" t="s">
        <v>332</v>
      </c>
      <c r="T401" s="4" t="s">
        <v>99</v>
      </c>
      <c r="U401" s="4" t="s">
        <v>317</v>
      </c>
      <c r="V401" s="4"/>
      <c r="W401" s="5">
        <v>0</v>
      </c>
      <c r="X401" t="str">
        <f t="shared" si="18"/>
        <v>September</v>
      </c>
      <c r="Y401" t="str">
        <f t="shared" si="19"/>
        <v>Q3</v>
      </c>
      <c r="Z401" s="7">
        <f t="shared" si="20"/>
        <v>105.25999999999999</v>
      </c>
    </row>
    <row r="402" spans="1:26" x14ac:dyDescent="0.3">
      <c r="A402" s="2" t="s">
        <v>2665</v>
      </c>
      <c r="B402" s="8" t="s">
        <v>38</v>
      </c>
      <c r="C402" s="2" t="s">
        <v>2666</v>
      </c>
      <c r="D402" s="2" t="s">
        <v>2667</v>
      </c>
      <c r="E402" s="2" t="s">
        <v>2668</v>
      </c>
      <c r="F402" s="2" t="s">
        <v>2669</v>
      </c>
      <c r="G402" s="2" t="s">
        <v>119</v>
      </c>
      <c r="H402" s="2" t="s">
        <v>120</v>
      </c>
      <c r="I402" s="2" t="s">
        <v>31</v>
      </c>
      <c r="J402" s="2" t="s">
        <v>371</v>
      </c>
      <c r="K402" s="2" t="s">
        <v>122</v>
      </c>
      <c r="L402" s="2">
        <v>1</v>
      </c>
      <c r="M402" s="3">
        <v>109.99</v>
      </c>
      <c r="N402" s="2" t="s">
        <v>163</v>
      </c>
      <c r="O402" s="3">
        <v>22</v>
      </c>
      <c r="P402" s="3">
        <v>0</v>
      </c>
      <c r="Q402" s="3">
        <v>6.16</v>
      </c>
      <c r="R402" s="3">
        <v>94.15</v>
      </c>
      <c r="S402" s="2" t="s">
        <v>123</v>
      </c>
      <c r="T402" s="2" t="s">
        <v>144</v>
      </c>
      <c r="U402" s="2" t="s">
        <v>100</v>
      </c>
      <c r="V402" s="2"/>
      <c r="W402" s="3">
        <v>0</v>
      </c>
      <c r="X402" t="str">
        <f t="shared" si="18"/>
        <v>February</v>
      </c>
      <c r="Y402" t="str">
        <f t="shared" si="19"/>
        <v>Q1</v>
      </c>
      <c r="Z402" s="7">
        <f t="shared" si="20"/>
        <v>87.99</v>
      </c>
    </row>
    <row r="403" spans="1:26" x14ac:dyDescent="0.3">
      <c r="A403" s="4" t="s">
        <v>2670</v>
      </c>
      <c r="B403" s="9" t="s">
        <v>2671</v>
      </c>
      <c r="C403" s="4" t="s">
        <v>2672</v>
      </c>
      <c r="D403" s="4" t="s">
        <v>2673</v>
      </c>
      <c r="E403" s="4" t="s">
        <v>2674</v>
      </c>
      <c r="F403" s="4" t="s">
        <v>2675</v>
      </c>
      <c r="G403" s="4" t="s">
        <v>692</v>
      </c>
      <c r="H403" s="4" t="s">
        <v>693</v>
      </c>
      <c r="I403" s="4" t="s">
        <v>31</v>
      </c>
      <c r="J403" s="4" t="s">
        <v>217</v>
      </c>
      <c r="K403" s="4" t="s">
        <v>110</v>
      </c>
      <c r="L403" s="4">
        <v>1</v>
      </c>
      <c r="M403" s="5">
        <v>22.99</v>
      </c>
      <c r="N403" s="4" t="s">
        <v>34</v>
      </c>
      <c r="O403" s="5">
        <v>0</v>
      </c>
      <c r="P403" s="5">
        <v>4.99</v>
      </c>
      <c r="Q403" s="5">
        <v>1.38</v>
      </c>
      <c r="R403" s="5">
        <v>29.36</v>
      </c>
      <c r="S403" s="4" t="s">
        <v>35</v>
      </c>
      <c r="T403" s="4" t="s">
        <v>99</v>
      </c>
      <c r="U403" s="4" t="s">
        <v>51</v>
      </c>
      <c r="V403" s="4" t="s">
        <v>114</v>
      </c>
      <c r="W403" s="5">
        <v>0</v>
      </c>
      <c r="X403" t="str">
        <f t="shared" si="18"/>
        <v>October</v>
      </c>
      <c r="Y403" t="str">
        <f t="shared" si="19"/>
        <v>Q4</v>
      </c>
      <c r="Z403" s="7">
        <f t="shared" si="20"/>
        <v>22.99</v>
      </c>
    </row>
    <row r="404" spans="1:26" x14ac:dyDescent="0.3">
      <c r="A404" s="2" t="s">
        <v>2676</v>
      </c>
      <c r="B404" s="8" t="s">
        <v>1095</v>
      </c>
      <c r="C404" s="2" t="s">
        <v>2677</v>
      </c>
      <c r="D404" s="2" t="s">
        <v>2678</v>
      </c>
      <c r="E404" s="2" t="s">
        <v>2679</v>
      </c>
      <c r="F404" s="2" t="s">
        <v>2680</v>
      </c>
      <c r="G404" s="2" t="s">
        <v>640</v>
      </c>
      <c r="H404" s="2" t="s">
        <v>161</v>
      </c>
      <c r="I404" s="2" t="s">
        <v>31</v>
      </c>
      <c r="J404" s="2" t="s">
        <v>2681</v>
      </c>
      <c r="K404" s="2" t="s">
        <v>209</v>
      </c>
      <c r="L404" s="2">
        <v>2</v>
      </c>
      <c r="M404" s="3">
        <v>149.97999999999999</v>
      </c>
      <c r="N404" s="2" t="s">
        <v>78</v>
      </c>
      <c r="O404" s="3">
        <v>15</v>
      </c>
      <c r="P404" s="3">
        <v>0</v>
      </c>
      <c r="Q404" s="3">
        <v>9.4499999999999993</v>
      </c>
      <c r="R404" s="3">
        <v>144.43</v>
      </c>
      <c r="S404" s="2" t="s">
        <v>123</v>
      </c>
      <c r="T404" s="2" t="s">
        <v>50</v>
      </c>
      <c r="U404" s="2" t="s">
        <v>100</v>
      </c>
      <c r="V404" s="2"/>
      <c r="W404" s="3">
        <v>0</v>
      </c>
      <c r="X404" t="str">
        <f t="shared" si="18"/>
        <v>June</v>
      </c>
      <c r="Y404" t="str">
        <f t="shared" si="19"/>
        <v>Q2</v>
      </c>
      <c r="Z404" s="7">
        <f t="shared" si="20"/>
        <v>134.97999999999999</v>
      </c>
    </row>
    <row r="405" spans="1:26" x14ac:dyDescent="0.3">
      <c r="A405" s="4" t="s">
        <v>2682</v>
      </c>
      <c r="B405" s="9" t="s">
        <v>1176</v>
      </c>
      <c r="C405" s="4" t="s">
        <v>2683</v>
      </c>
      <c r="D405" s="4" t="s">
        <v>2684</v>
      </c>
      <c r="E405" s="4" t="s">
        <v>2685</v>
      </c>
      <c r="F405" s="4" t="s">
        <v>2686</v>
      </c>
      <c r="G405" s="4" t="s">
        <v>140</v>
      </c>
      <c r="H405" s="4" t="s">
        <v>141</v>
      </c>
      <c r="I405" s="4" t="s">
        <v>31</v>
      </c>
      <c r="J405" s="4" t="s">
        <v>2687</v>
      </c>
      <c r="K405" s="4" t="s">
        <v>143</v>
      </c>
      <c r="L405" s="4">
        <v>5</v>
      </c>
      <c r="M405" s="5">
        <v>496.93</v>
      </c>
      <c r="N405" s="4" t="s">
        <v>78</v>
      </c>
      <c r="O405" s="5">
        <v>49.69</v>
      </c>
      <c r="P405" s="5">
        <v>0</v>
      </c>
      <c r="Q405" s="5">
        <v>40.25</v>
      </c>
      <c r="R405" s="5">
        <v>487.49</v>
      </c>
      <c r="S405" s="4" t="s">
        <v>35</v>
      </c>
      <c r="T405" s="4" t="s">
        <v>65</v>
      </c>
      <c r="U405" s="4" t="s">
        <v>51</v>
      </c>
      <c r="V405" s="4" t="s">
        <v>959</v>
      </c>
      <c r="W405" s="5">
        <v>0</v>
      </c>
      <c r="X405" t="str">
        <f t="shared" si="18"/>
        <v>January</v>
      </c>
      <c r="Y405" t="str">
        <f t="shared" si="19"/>
        <v>Q1</v>
      </c>
      <c r="Z405" s="7">
        <f t="shared" si="20"/>
        <v>447.24</v>
      </c>
    </row>
    <row r="406" spans="1:26" x14ac:dyDescent="0.3">
      <c r="A406" s="2" t="s">
        <v>2688</v>
      </c>
      <c r="B406" s="8" t="s">
        <v>2285</v>
      </c>
      <c r="C406" s="2" t="s">
        <v>2689</v>
      </c>
      <c r="D406" s="2" t="s">
        <v>2690</v>
      </c>
      <c r="E406" s="2" t="s">
        <v>2691</v>
      </c>
      <c r="F406" s="2" t="s">
        <v>2692</v>
      </c>
      <c r="G406" s="2" t="s">
        <v>140</v>
      </c>
      <c r="H406" s="2" t="s">
        <v>141</v>
      </c>
      <c r="I406" s="2" t="s">
        <v>31</v>
      </c>
      <c r="J406" s="2" t="s">
        <v>782</v>
      </c>
      <c r="K406" s="2" t="s">
        <v>122</v>
      </c>
      <c r="L406" s="2">
        <v>2</v>
      </c>
      <c r="M406" s="3">
        <v>93.98</v>
      </c>
      <c r="N406" s="2" t="s">
        <v>163</v>
      </c>
      <c r="O406" s="3">
        <v>18.8</v>
      </c>
      <c r="P406" s="3">
        <v>0</v>
      </c>
      <c r="Q406" s="3">
        <v>4.51</v>
      </c>
      <c r="R406" s="3">
        <v>79.69</v>
      </c>
      <c r="S406" s="2" t="s">
        <v>123</v>
      </c>
      <c r="T406" s="2" t="s">
        <v>325</v>
      </c>
      <c r="U406" s="2" t="s">
        <v>37</v>
      </c>
      <c r="V406" s="2" t="s">
        <v>1176</v>
      </c>
      <c r="W406" s="3">
        <v>79.69</v>
      </c>
      <c r="X406" t="str">
        <f t="shared" si="18"/>
        <v>January</v>
      </c>
      <c r="Y406" t="str">
        <f t="shared" si="19"/>
        <v>Q1</v>
      </c>
      <c r="Z406" s="7">
        <f t="shared" si="20"/>
        <v>75.180000000000007</v>
      </c>
    </row>
    <row r="407" spans="1:26" x14ac:dyDescent="0.3">
      <c r="A407" s="4" t="s">
        <v>2693</v>
      </c>
      <c r="B407" s="9" t="s">
        <v>1209</v>
      </c>
      <c r="C407" s="4" t="s">
        <v>2694</v>
      </c>
      <c r="D407" s="4" t="s">
        <v>2695</v>
      </c>
      <c r="E407" s="4" t="s">
        <v>2696</v>
      </c>
      <c r="F407" s="4" t="s">
        <v>2697</v>
      </c>
      <c r="G407" s="4" t="s">
        <v>394</v>
      </c>
      <c r="H407" s="4" t="s">
        <v>395</v>
      </c>
      <c r="I407" s="4" t="s">
        <v>31</v>
      </c>
      <c r="J407" s="4" t="s">
        <v>293</v>
      </c>
      <c r="K407" s="4" t="s">
        <v>122</v>
      </c>
      <c r="L407" s="4">
        <v>1</v>
      </c>
      <c r="M407" s="5">
        <v>149.97999999999999</v>
      </c>
      <c r="N407" s="4" t="s">
        <v>78</v>
      </c>
      <c r="O407" s="5">
        <v>15</v>
      </c>
      <c r="P407" s="5">
        <v>0</v>
      </c>
      <c r="Q407" s="5">
        <v>12.15</v>
      </c>
      <c r="R407" s="5">
        <v>147.13</v>
      </c>
      <c r="S407" s="4" t="s">
        <v>111</v>
      </c>
      <c r="T407" s="4" t="s">
        <v>36</v>
      </c>
      <c r="U407" s="4" t="s">
        <v>66</v>
      </c>
      <c r="V407" s="4" t="s">
        <v>2698</v>
      </c>
      <c r="W407" s="5">
        <v>0</v>
      </c>
      <c r="X407" t="str">
        <f t="shared" si="18"/>
        <v>April</v>
      </c>
      <c r="Y407" t="str">
        <f t="shared" si="19"/>
        <v>Q2</v>
      </c>
      <c r="Z407" s="7">
        <f t="shared" si="20"/>
        <v>134.97999999999999</v>
      </c>
    </row>
    <row r="408" spans="1:26" x14ac:dyDescent="0.3">
      <c r="A408" s="2" t="s">
        <v>2699</v>
      </c>
      <c r="B408" s="8" t="s">
        <v>2171</v>
      </c>
      <c r="C408" s="2" t="s">
        <v>2700</v>
      </c>
      <c r="D408" s="2" t="s">
        <v>2701</v>
      </c>
      <c r="E408" s="2" t="s">
        <v>2702</v>
      </c>
      <c r="F408" s="2" t="s">
        <v>2703</v>
      </c>
      <c r="G408" s="2" t="s">
        <v>160</v>
      </c>
      <c r="H408" s="2" t="s">
        <v>161</v>
      </c>
      <c r="I408" s="2" t="s">
        <v>31</v>
      </c>
      <c r="J408" s="2" t="s">
        <v>2704</v>
      </c>
      <c r="K408" s="2" t="s">
        <v>209</v>
      </c>
      <c r="L408" s="2">
        <v>4</v>
      </c>
      <c r="M408" s="3">
        <v>354.93</v>
      </c>
      <c r="N408" s="2" t="s">
        <v>34</v>
      </c>
      <c r="O408" s="3">
        <v>0</v>
      </c>
      <c r="P408" s="3">
        <v>0</v>
      </c>
      <c r="Q408" s="3">
        <v>21.3</v>
      </c>
      <c r="R408" s="3">
        <v>376.23</v>
      </c>
      <c r="S408" s="2" t="s">
        <v>35</v>
      </c>
      <c r="T408" s="2" t="s">
        <v>183</v>
      </c>
      <c r="U408" s="2" t="s">
        <v>100</v>
      </c>
      <c r="V408" s="2"/>
      <c r="W408" s="3">
        <v>0</v>
      </c>
      <c r="X408" t="str">
        <f t="shared" si="18"/>
        <v>February</v>
      </c>
      <c r="Y408" t="str">
        <f t="shared" si="19"/>
        <v>Q1</v>
      </c>
      <c r="Z408" s="7">
        <f t="shared" si="20"/>
        <v>354.93</v>
      </c>
    </row>
    <row r="409" spans="1:26" x14ac:dyDescent="0.3">
      <c r="A409" s="4" t="s">
        <v>2705</v>
      </c>
      <c r="B409" s="9" t="s">
        <v>453</v>
      </c>
      <c r="C409" s="4" t="s">
        <v>2706</v>
      </c>
      <c r="D409" s="4" t="s">
        <v>2707</v>
      </c>
      <c r="E409" s="4" t="s">
        <v>2708</v>
      </c>
      <c r="F409" s="4" t="s">
        <v>2709</v>
      </c>
      <c r="G409" s="4" t="s">
        <v>131</v>
      </c>
      <c r="H409" s="4" t="s">
        <v>88</v>
      </c>
      <c r="I409" s="4" t="s">
        <v>31</v>
      </c>
      <c r="J409" s="4" t="s">
        <v>2710</v>
      </c>
      <c r="K409" s="4" t="s">
        <v>33</v>
      </c>
      <c r="L409" s="4">
        <v>4</v>
      </c>
      <c r="M409" s="5">
        <v>211.94</v>
      </c>
      <c r="N409" s="4" t="s">
        <v>34</v>
      </c>
      <c r="O409" s="5">
        <v>0</v>
      </c>
      <c r="P409" s="5">
        <v>0</v>
      </c>
      <c r="Q409" s="5">
        <v>21.19</v>
      </c>
      <c r="R409" s="5">
        <v>233.13</v>
      </c>
      <c r="S409" s="4" t="s">
        <v>35</v>
      </c>
      <c r="T409" s="4" t="s">
        <v>50</v>
      </c>
      <c r="U409" s="4" t="s">
        <v>317</v>
      </c>
      <c r="V409" s="4"/>
      <c r="W409" s="5">
        <v>0</v>
      </c>
      <c r="X409" t="str">
        <f t="shared" si="18"/>
        <v>May</v>
      </c>
      <c r="Y409" t="str">
        <f t="shared" si="19"/>
        <v>Q2</v>
      </c>
      <c r="Z409" s="7">
        <f t="shared" si="20"/>
        <v>211.94</v>
      </c>
    </row>
    <row r="410" spans="1:26" x14ac:dyDescent="0.3">
      <c r="A410" s="2" t="s">
        <v>2711</v>
      </c>
      <c r="B410" s="8" t="s">
        <v>1873</v>
      </c>
      <c r="C410" s="2" t="s">
        <v>2712</v>
      </c>
      <c r="D410" s="2" t="s">
        <v>2713</v>
      </c>
      <c r="E410" s="2" t="s">
        <v>2714</v>
      </c>
      <c r="F410" s="2" t="s">
        <v>2715</v>
      </c>
      <c r="G410" s="2" t="s">
        <v>347</v>
      </c>
      <c r="H410" s="2" t="s">
        <v>60</v>
      </c>
      <c r="I410" s="2" t="s">
        <v>31</v>
      </c>
      <c r="J410" s="2" t="s">
        <v>1320</v>
      </c>
      <c r="K410" s="2" t="s">
        <v>364</v>
      </c>
      <c r="L410" s="2">
        <v>1</v>
      </c>
      <c r="M410" s="3">
        <v>89.98</v>
      </c>
      <c r="N410" s="2" t="s">
        <v>78</v>
      </c>
      <c r="O410" s="3">
        <v>9</v>
      </c>
      <c r="P410" s="3">
        <v>0</v>
      </c>
      <c r="Q410" s="3">
        <v>8.1</v>
      </c>
      <c r="R410" s="3">
        <v>89.08</v>
      </c>
      <c r="S410" s="2" t="s">
        <v>332</v>
      </c>
      <c r="T410" s="2" t="s">
        <v>36</v>
      </c>
      <c r="U410" s="2" t="s">
        <v>66</v>
      </c>
      <c r="V410" s="2" t="s">
        <v>166</v>
      </c>
      <c r="W410" s="3">
        <v>0</v>
      </c>
      <c r="X410" t="str">
        <f t="shared" si="18"/>
        <v>November</v>
      </c>
      <c r="Y410" t="str">
        <f t="shared" si="19"/>
        <v>Q4</v>
      </c>
      <c r="Z410" s="7">
        <f t="shared" si="20"/>
        <v>80.98</v>
      </c>
    </row>
    <row r="411" spans="1:26" x14ac:dyDescent="0.3">
      <c r="A411" s="4" t="s">
        <v>2716</v>
      </c>
      <c r="B411" s="9" t="s">
        <v>2247</v>
      </c>
      <c r="C411" s="4" t="s">
        <v>2717</v>
      </c>
      <c r="D411" s="4" t="s">
        <v>2718</v>
      </c>
      <c r="E411" s="4" t="s">
        <v>2719</v>
      </c>
      <c r="F411" s="4" t="s">
        <v>2720</v>
      </c>
      <c r="G411" s="4" t="s">
        <v>140</v>
      </c>
      <c r="H411" s="4" t="s">
        <v>141</v>
      </c>
      <c r="I411" s="4" t="s">
        <v>31</v>
      </c>
      <c r="J411" s="4" t="s">
        <v>2721</v>
      </c>
      <c r="K411" s="4" t="s">
        <v>679</v>
      </c>
      <c r="L411" s="4">
        <v>1</v>
      </c>
      <c r="M411" s="5">
        <v>29.98</v>
      </c>
      <c r="N411" s="4" t="s">
        <v>163</v>
      </c>
      <c r="O411" s="5">
        <v>6</v>
      </c>
      <c r="P411" s="5">
        <v>7.99</v>
      </c>
      <c r="Q411" s="5">
        <v>2.16</v>
      </c>
      <c r="R411" s="5">
        <v>34.130000000000003</v>
      </c>
      <c r="S411" s="4" t="s">
        <v>64</v>
      </c>
      <c r="T411" s="4" t="s">
        <v>99</v>
      </c>
      <c r="U411" s="4" t="s">
        <v>317</v>
      </c>
      <c r="V411" s="4"/>
      <c r="W411" s="5">
        <v>0</v>
      </c>
      <c r="X411" t="str">
        <f t="shared" si="18"/>
        <v>July</v>
      </c>
      <c r="Y411" t="str">
        <f t="shared" si="19"/>
        <v>Q3</v>
      </c>
      <c r="Z411" s="7">
        <f t="shared" si="20"/>
        <v>23.98</v>
      </c>
    </row>
    <row r="412" spans="1:26" x14ac:dyDescent="0.3">
      <c r="A412" s="2" t="s">
        <v>2722</v>
      </c>
      <c r="B412" s="8" t="s">
        <v>2723</v>
      </c>
      <c r="C412" s="2" t="s">
        <v>2724</v>
      </c>
      <c r="D412" s="2" t="s">
        <v>2725</v>
      </c>
      <c r="E412" s="2" t="s">
        <v>2726</v>
      </c>
      <c r="F412" s="2" t="s">
        <v>2727</v>
      </c>
      <c r="G412" s="2" t="s">
        <v>180</v>
      </c>
      <c r="H412" s="2" t="s">
        <v>181</v>
      </c>
      <c r="I412" s="2" t="s">
        <v>31</v>
      </c>
      <c r="J412" s="2" t="s">
        <v>2576</v>
      </c>
      <c r="K412" s="2" t="s">
        <v>33</v>
      </c>
      <c r="L412" s="2">
        <v>1</v>
      </c>
      <c r="M412" s="3">
        <v>99.98</v>
      </c>
      <c r="N412" s="2" t="s">
        <v>163</v>
      </c>
      <c r="O412" s="3">
        <v>20</v>
      </c>
      <c r="P412" s="3">
        <v>0</v>
      </c>
      <c r="Q412" s="3">
        <v>7.2</v>
      </c>
      <c r="R412" s="3">
        <v>87.18</v>
      </c>
      <c r="S412" s="2" t="s">
        <v>64</v>
      </c>
      <c r="T412" s="2" t="s">
        <v>173</v>
      </c>
      <c r="U412" s="2" t="s">
        <v>66</v>
      </c>
      <c r="V412" s="2" t="s">
        <v>1529</v>
      </c>
      <c r="W412" s="3">
        <v>0</v>
      </c>
      <c r="X412" t="str">
        <f t="shared" si="18"/>
        <v>September</v>
      </c>
      <c r="Y412" t="str">
        <f t="shared" si="19"/>
        <v>Q3</v>
      </c>
      <c r="Z412" s="7">
        <f t="shared" si="20"/>
        <v>79.98</v>
      </c>
    </row>
    <row r="413" spans="1:26" x14ac:dyDescent="0.3">
      <c r="A413" s="4" t="s">
        <v>2728</v>
      </c>
      <c r="B413" s="9" t="s">
        <v>2729</v>
      </c>
      <c r="C413" s="4" t="s">
        <v>2730</v>
      </c>
      <c r="D413" s="4" t="s">
        <v>2731</v>
      </c>
      <c r="E413" s="4" t="s">
        <v>2732</v>
      </c>
      <c r="F413" s="4" t="s">
        <v>2733</v>
      </c>
      <c r="G413" s="4" t="s">
        <v>140</v>
      </c>
      <c r="H413" s="4" t="s">
        <v>141</v>
      </c>
      <c r="I413" s="4" t="s">
        <v>31</v>
      </c>
      <c r="J413" s="4" t="s">
        <v>151</v>
      </c>
      <c r="K413" s="4" t="s">
        <v>110</v>
      </c>
      <c r="L413" s="4">
        <v>1</v>
      </c>
      <c r="M413" s="5">
        <v>39.99</v>
      </c>
      <c r="N413" s="4" t="s">
        <v>34</v>
      </c>
      <c r="O413" s="5">
        <v>0</v>
      </c>
      <c r="P413" s="5">
        <v>4.99</v>
      </c>
      <c r="Q413" s="5">
        <v>3.6</v>
      </c>
      <c r="R413" s="5">
        <v>48.58</v>
      </c>
      <c r="S413" s="4" t="s">
        <v>35</v>
      </c>
      <c r="T413" s="4" t="s">
        <v>173</v>
      </c>
      <c r="U413" s="4" t="s">
        <v>66</v>
      </c>
      <c r="V413" s="4" t="s">
        <v>489</v>
      </c>
      <c r="W413" s="5">
        <v>0</v>
      </c>
      <c r="X413" t="str">
        <f t="shared" si="18"/>
        <v>July</v>
      </c>
      <c r="Y413" t="str">
        <f t="shared" si="19"/>
        <v>Q3</v>
      </c>
      <c r="Z413" s="7">
        <f t="shared" si="20"/>
        <v>39.99</v>
      </c>
    </row>
    <row r="414" spans="1:26" x14ac:dyDescent="0.3">
      <c r="A414" s="2" t="s">
        <v>2734</v>
      </c>
      <c r="B414" s="8" t="s">
        <v>619</v>
      </c>
      <c r="C414" s="2" t="s">
        <v>2735</v>
      </c>
      <c r="D414" s="2" t="s">
        <v>2736</v>
      </c>
      <c r="E414" s="2" t="s">
        <v>2737</v>
      </c>
      <c r="F414" s="2" t="s">
        <v>2738</v>
      </c>
      <c r="G414" s="2" t="s">
        <v>676</v>
      </c>
      <c r="H414" s="2" t="s">
        <v>677</v>
      </c>
      <c r="I414" s="2" t="s">
        <v>31</v>
      </c>
      <c r="J414" s="2" t="s">
        <v>2739</v>
      </c>
      <c r="K414" s="2" t="s">
        <v>122</v>
      </c>
      <c r="L414" s="2">
        <v>2</v>
      </c>
      <c r="M414" s="3">
        <v>117.98</v>
      </c>
      <c r="N414" s="2" t="s">
        <v>34</v>
      </c>
      <c r="O414" s="3">
        <v>0</v>
      </c>
      <c r="P414" s="3">
        <v>0</v>
      </c>
      <c r="Q414" s="3">
        <v>10.029999999999999</v>
      </c>
      <c r="R414" s="3">
        <v>128.01</v>
      </c>
      <c r="S414" s="2" t="s">
        <v>111</v>
      </c>
      <c r="T414" s="2" t="s">
        <v>99</v>
      </c>
      <c r="U414" s="2" t="s">
        <v>100</v>
      </c>
      <c r="V414" s="2"/>
      <c r="W414" s="3">
        <v>0</v>
      </c>
      <c r="X414" t="str">
        <f t="shared" si="18"/>
        <v>October</v>
      </c>
      <c r="Y414" t="str">
        <f t="shared" si="19"/>
        <v>Q4</v>
      </c>
      <c r="Z414" s="7">
        <f t="shared" si="20"/>
        <v>117.98</v>
      </c>
    </row>
    <row r="415" spans="1:26" x14ac:dyDescent="0.3">
      <c r="A415" s="4" t="s">
        <v>2740</v>
      </c>
      <c r="B415" s="9" t="s">
        <v>736</v>
      </c>
      <c r="C415" s="4" t="s">
        <v>2741</v>
      </c>
      <c r="D415" s="4" t="s">
        <v>2742</v>
      </c>
      <c r="E415" s="4" t="s">
        <v>2743</v>
      </c>
      <c r="F415" s="4" t="s">
        <v>2744</v>
      </c>
      <c r="G415" s="4" t="s">
        <v>131</v>
      </c>
      <c r="H415" s="4" t="s">
        <v>88</v>
      </c>
      <c r="I415" s="4" t="s">
        <v>31</v>
      </c>
      <c r="J415" s="4" t="s">
        <v>2745</v>
      </c>
      <c r="K415" s="4" t="s">
        <v>110</v>
      </c>
      <c r="L415" s="4">
        <v>3</v>
      </c>
      <c r="M415" s="5">
        <v>187.97</v>
      </c>
      <c r="N415" s="4" t="s">
        <v>49</v>
      </c>
      <c r="O415" s="5">
        <v>28.2</v>
      </c>
      <c r="P415" s="5">
        <v>0</v>
      </c>
      <c r="Q415" s="5">
        <v>9.59</v>
      </c>
      <c r="R415" s="5">
        <v>169.36</v>
      </c>
      <c r="S415" s="4" t="s">
        <v>35</v>
      </c>
      <c r="T415" s="4" t="s">
        <v>36</v>
      </c>
      <c r="U415" s="4" t="s">
        <v>100</v>
      </c>
      <c r="V415" s="4"/>
      <c r="W415" s="5">
        <v>0</v>
      </c>
      <c r="X415" t="str">
        <f t="shared" si="18"/>
        <v>January</v>
      </c>
      <c r="Y415" t="str">
        <f t="shared" si="19"/>
        <v>Q1</v>
      </c>
      <c r="Z415" s="7">
        <f t="shared" si="20"/>
        <v>159.77000000000001</v>
      </c>
    </row>
    <row r="416" spans="1:26" x14ac:dyDescent="0.3">
      <c r="A416" s="2" t="s">
        <v>2746</v>
      </c>
      <c r="B416" s="8" t="s">
        <v>2004</v>
      </c>
      <c r="C416" s="2" t="s">
        <v>2747</v>
      </c>
      <c r="D416" s="2" t="s">
        <v>2748</v>
      </c>
      <c r="E416" s="2" t="s">
        <v>2749</v>
      </c>
      <c r="F416" s="2" t="s">
        <v>2750</v>
      </c>
      <c r="G416" s="2" t="s">
        <v>224</v>
      </c>
      <c r="H416" s="2" t="s">
        <v>225</v>
      </c>
      <c r="I416" s="2" t="s">
        <v>31</v>
      </c>
      <c r="J416" s="2" t="s">
        <v>2751</v>
      </c>
      <c r="K416" s="2" t="s">
        <v>33</v>
      </c>
      <c r="L416" s="2">
        <v>5</v>
      </c>
      <c r="M416" s="3">
        <v>262.93</v>
      </c>
      <c r="N416" s="2" t="s">
        <v>34</v>
      </c>
      <c r="O416" s="3">
        <v>0</v>
      </c>
      <c r="P416" s="3">
        <v>0</v>
      </c>
      <c r="Q416" s="3">
        <v>18.41</v>
      </c>
      <c r="R416" s="3">
        <v>281.33999999999997</v>
      </c>
      <c r="S416" s="2" t="s">
        <v>123</v>
      </c>
      <c r="T416" s="2" t="s">
        <v>99</v>
      </c>
      <c r="U416" s="2" t="s">
        <v>66</v>
      </c>
      <c r="V416" s="2" t="s">
        <v>1865</v>
      </c>
      <c r="W416" s="3">
        <v>0</v>
      </c>
      <c r="X416" t="str">
        <f t="shared" si="18"/>
        <v>September</v>
      </c>
      <c r="Y416" t="str">
        <f t="shared" si="19"/>
        <v>Q3</v>
      </c>
      <c r="Z416" s="7">
        <f t="shared" si="20"/>
        <v>262.93</v>
      </c>
    </row>
    <row r="417" spans="1:26" x14ac:dyDescent="0.3">
      <c r="A417" s="4" t="s">
        <v>2752</v>
      </c>
      <c r="B417" s="9" t="s">
        <v>2296</v>
      </c>
      <c r="C417" s="4" t="s">
        <v>2753</v>
      </c>
      <c r="D417" s="4" t="s">
        <v>2754</v>
      </c>
      <c r="E417" s="4" t="s">
        <v>2755</v>
      </c>
      <c r="F417" s="4" t="s">
        <v>2756</v>
      </c>
      <c r="G417" s="4" t="s">
        <v>190</v>
      </c>
      <c r="H417" s="4" t="s">
        <v>161</v>
      </c>
      <c r="I417" s="4" t="s">
        <v>31</v>
      </c>
      <c r="J417" s="4" t="s">
        <v>1238</v>
      </c>
      <c r="K417" s="4" t="s">
        <v>209</v>
      </c>
      <c r="L417" s="4">
        <v>1</v>
      </c>
      <c r="M417" s="5">
        <v>39.99</v>
      </c>
      <c r="N417" s="4" t="s">
        <v>34</v>
      </c>
      <c r="O417" s="5">
        <v>0</v>
      </c>
      <c r="P417" s="5">
        <v>9.99</v>
      </c>
      <c r="Q417" s="5">
        <v>3.4</v>
      </c>
      <c r="R417" s="5">
        <v>53.38</v>
      </c>
      <c r="S417" s="4" t="s">
        <v>123</v>
      </c>
      <c r="T417" s="4" t="s">
        <v>65</v>
      </c>
      <c r="U417" s="4" t="s">
        <v>66</v>
      </c>
      <c r="V417" s="4" t="s">
        <v>579</v>
      </c>
      <c r="W417" s="5">
        <v>0</v>
      </c>
      <c r="X417" t="str">
        <f t="shared" si="18"/>
        <v>July</v>
      </c>
      <c r="Y417" t="str">
        <f t="shared" si="19"/>
        <v>Q3</v>
      </c>
      <c r="Z417" s="7">
        <f t="shared" si="20"/>
        <v>39.99</v>
      </c>
    </row>
    <row r="418" spans="1:26" x14ac:dyDescent="0.3">
      <c r="A418" s="2" t="s">
        <v>2757</v>
      </c>
      <c r="B418" s="8" t="s">
        <v>421</v>
      </c>
      <c r="C418" s="2" t="s">
        <v>2758</v>
      </c>
      <c r="D418" s="2" t="s">
        <v>2759</v>
      </c>
      <c r="E418" s="2" t="s">
        <v>2760</v>
      </c>
      <c r="F418" s="2" t="s">
        <v>2761</v>
      </c>
      <c r="G418" s="2" t="s">
        <v>251</v>
      </c>
      <c r="H418" s="2" t="s">
        <v>252</v>
      </c>
      <c r="I418" s="2" t="s">
        <v>31</v>
      </c>
      <c r="J418" s="2" t="s">
        <v>2762</v>
      </c>
      <c r="K418" s="2" t="s">
        <v>33</v>
      </c>
      <c r="L418" s="2">
        <v>3</v>
      </c>
      <c r="M418" s="3">
        <v>214.94</v>
      </c>
      <c r="N418" s="2" t="s">
        <v>49</v>
      </c>
      <c r="O418" s="3">
        <v>32.24</v>
      </c>
      <c r="P418" s="3">
        <v>0</v>
      </c>
      <c r="Q418" s="3">
        <v>15.53</v>
      </c>
      <c r="R418" s="3">
        <v>198.23</v>
      </c>
      <c r="S418" s="2" t="s">
        <v>123</v>
      </c>
      <c r="T418" s="2" t="s">
        <v>144</v>
      </c>
      <c r="U418" s="2" t="s">
        <v>100</v>
      </c>
      <c r="V418" s="2"/>
      <c r="W418" s="3">
        <v>0</v>
      </c>
      <c r="X418" t="str">
        <f t="shared" si="18"/>
        <v>June</v>
      </c>
      <c r="Y418" t="str">
        <f t="shared" si="19"/>
        <v>Q2</v>
      </c>
      <c r="Z418" s="7">
        <f t="shared" si="20"/>
        <v>182.7</v>
      </c>
    </row>
    <row r="419" spans="1:26" x14ac:dyDescent="0.3">
      <c r="A419" s="4" t="s">
        <v>2763</v>
      </c>
      <c r="B419" s="9" t="s">
        <v>102</v>
      </c>
      <c r="C419" s="4" t="s">
        <v>2764</v>
      </c>
      <c r="D419" s="4" t="s">
        <v>2425</v>
      </c>
      <c r="E419" s="4" t="s">
        <v>2765</v>
      </c>
      <c r="F419" s="4" t="s">
        <v>2766</v>
      </c>
      <c r="G419" s="4" t="s">
        <v>119</v>
      </c>
      <c r="H419" s="4" t="s">
        <v>120</v>
      </c>
      <c r="I419" s="4" t="s">
        <v>31</v>
      </c>
      <c r="J419" s="4" t="s">
        <v>526</v>
      </c>
      <c r="K419" s="4" t="s">
        <v>110</v>
      </c>
      <c r="L419" s="4">
        <v>1</v>
      </c>
      <c r="M419" s="5">
        <v>32.99</v>
      </c>
      <c r="N419" s="4" t="s">
        <v>163</v>
      </c>
      <c r="O419" s="5">
        <v>6.6</v>
      </c>
      <c r="P419" s="5">
        <v>4.99</v>
      </c>
      <c r="Q419" s="5">
        <v>2.2400000000000002</v>
      </c>
      <c r="R419" s="5">
        <v>33.619999999999997</v>
      </c>
      <c r="S419" s="4" t="s">
        <v>64</v>
      </c>
      <c r="T419" s="4" t="s">
        <v>36</v>
      </c>
      <c r="U419" s="4" t="s">
        <v>100</v>
      </c>
      <c r="V419" s="4"/>
      <c r="W419" s="5">
        <v>0</v>
      </c>
      <c r="X419" t="str">
        <f t="shared" si="18"/>
        <v>January</v>
      </c>
      <c r="Y419" t="str">
        <f t="shared" si="19"/>
        <v>Q1</v>
      </c>
      <c r="Z419" s="7">
        <f t="shared" si="20"/>
        <v>26.39</v>
      </c>
    </row>
    <row r="420" spans="1:26" x14ac:dyDescent="0.3">
      <c r="A420" s="2" t="s">
        <v>2767</v>
      </c>
      <c r="B420" s="8" t="s">
        <v>2015</v>
      </c>
      <c r="C420" s="2" t="s">
        <v>2768</v>
      </c>
      <c r="D420" s="2" t="s">
        <v>2769</v>
      </c>
      <c r="E420" s="2" t="s">
        <v>2770</v>
      </c>
      <c r="F420" s="2" t="s">
        <v>2771</v>
      </c>
      <c r="G420" s="2" t="s">
        <v>29</v>
      </c>
      <c r="H420" s="2" t="s">
        <v>30</v>
      </c>
      <c r="I420" s="2" t="s">
        <v>31</v>
      </c>
      <c r="J420" s="2" t="s">
        <v>503</v>
      </c>
      <c r="K420" s="2" t="s">
        <v>122</v>
      </c>
      <c r="L420" s="2">
        <v>1</v>
      </c>
      <c r="M420" s="3">
        <v>59.99</v>
      </c>
      <c r="N420" s="2" t="s">
        <v>78</v>
      </c>
      <c r="O420" s="3">
        <v>6</v>
      </c>
      <c r="P420" s="3">
        <v>9.99</v>
      </c>
      <c r="Q420" s="3">
        <v>3.78</v>
      </c>
      <c r="R420" s="3">
        <v>67.760000000000005</v>
      </c>
      <c r="S420" s="2" t="s">
        <v>111</v>
      </c>
      <c r="T420" s="2" t="s">
        <v>144</v>
      </c>
      <c r="U420" s="2" t="s">
        <v>317</v>
      </c>
      <c r="V420" s="2"/>
      <c r="W420" s="3">
        <v>0</v>
      </c>
      <c r="X420" t="str">
        <f t="shared" si="18"/>
        <v>June</v>
      </c>
      <c r="Y420" t="str">
        <f t="shared" si="19"/>
        <v>Q2</v>
      </c>
      <c r="Z420" s="7">
        <f t="shared" si="20"/>
        <v>53.99</v>
      </c>
    </row>
    <row r="421" spans="1:26" x14ac:dyDescent="0.3">
      <c r="A421" s="4" t="s">
        <v>2772</v>
      </c>
      <c r="B421" s="9" t="s">
        <v>924</v>
      </c>
      <c r="C421" s="4" t="s">
        <v>2773</v>
      </c>
      <c r="D421" s="4" t="s">
        <v>2774</v>
      </c>
      <c r="E421" s="4" t="s">
        <v>2775</v>
      </c>
      <c r="F421" s="4" t="s">
        <v>2776</v>
      </c>
      <c r="G421" s="4" t="s">
        <v>59</v>
      </c>
      <c r="H421" s="4" t="s">
        <v>60</v>
      </c>
      <c r="I421" s="4" t="s">
        <v>31</v>
      </c>
      <c r="J421" s="4" t="s">
        <v>1997</v>
      </c>
      <c r="K421" s="4" t="s">
        <v>143</v>
      </c>
      <c r="L421" s="4">
        <v>1</v>
      </c>
      <c r="M421" s="5">
        <v>129.99</v>
      </c>
      <c r="N421" s="4" t="s">
        <v>34</v>
      </c>
      <c r="O421" s="5">
        <v>0</v>
      </c>
      <c r="P421" s="5">
        <v>0</v>
      </c>
      <c r="Q421" s="5">
        <v>9.1</v>
      </c>
      <c r="R421" s="5">
        <v>139.09</v>
      </c>
      <c r="S421" s="4" t="s">
        <v>64</v>
      </c>
      <c r="T421" s="4" t="s">
        <v>99</v>
      </c>
      <c r="U421" s="4" t="s">
        <v>317</v>
      </c>
      <c r="V421" s="4"/>
      <c r="W421" s="5">
        <v>0</v>
      </c>
      <c r="X421" t="str">
        <f t="shared" si="18"/>
        <v>October</v>
      </c>
      <c r="Y421" t="str">
        <f t="shared" si="19"/>
        <v>Q4</v>
      </c>
      <c r="Z421" s="7">
        <f t="shared" si="20"/>
        <v>129.99</v>
      </c>
    </row>
    <row r="422" spans="1:26" x14ac:dyDescent="0.3">
      <c r="A422" s="2" t="s">
        <v>2777</v>
      </c>
      <c r="B422" s="8" t="s">
        <v>328</v>
      </c>
      <c r="C422" s="2" t="s">
        <v>2778</v>
      </c>
      <c r="D422" s="2" t="s">
        <v>2779</v>
      </c>
      <c r="E422" s="2" t="s">
        <v>2780</v>
      </c>
      <c r="F422" s="2" t="s">
        <v>2781</v>
      </c>
      <c r="G422" s="2" t="s">
        <v>1730</v>
      </c>
      <c r="H422" s="2" t="s">
        <v>161</v>
      </c>
      <c r="I422" s="2" t="s">
        <v>31</v>
      </c>
      <c r="J422" s="2" t="s">
        <v>1141</v>
      </c>
      <c r="K422" s="2" t="s">
        <v>122</v>
      </c>
      <c r="L422" s="2">
        <v>1</v>
      </c>
      <c r="M422" s="3">
        <v>74.989999999999995</v>
      </c>
      <c r="N422" s="2" t="s">
        <v>63</v>
      </c>
      <c r="O422" s="3">
        <v>18.75</v>
      </c>
      <c r="P422" s="3">
        <v>4.99</v>
      </c>
      <c r="Q422" s="3">
        <v>3.37</v>
      </c>
      <c r="R422" s="3">
        <v>64.599999999999994</v>
      </c>
      <c r="S422" s="2" t="s">
        <v>35</v>
      </c>
      <c r="T422" s="2" t="s">
        <v>99</v>
      </c>
      <c r="U422" s="2" t="s">
        <v>66</v>
      </c>
      <c r="V422" s="2" t="s">
        <v>333</v>
      </c>
      <c r="W422" s="3">
        <v>0</v>
      </c>
      <c r="X422" t="str">
        <f t="shared" si="18"/>
        <v>April</v>
      </c>
      <c r="Y422" t="str">
        <f t="shared" si="19"/>
        <v>Q2</v>
      </c>
      <c r="Z422" s="7">
        <f t="shared" si="20"/>
        <v>56.239999999999995</v>
      </c>
    </row>
    <row r="423" spans="1:26" x14ac:dyDescent="0.3">
      <c r="A423" s="4" t="s">
        <v>2782</v>
      </c>
      <c r="B423" s="9" t="s">
        <v>145</v>
      </c>
      <c r="C423" s="4" t="s">
        <v>2783</v>
      </c>
      <c r="D423" s="4" t="s">
        <v>2784</v>
      </c>
      <c r="E423" s="4" t="s">
        <v>2785</v>
      </c>
      <c r="F423" s="4" t="s">
        <v>2786</v>
      </c>
      <c r="G423" s="4" t="s">
        <v>242</v>
      </c>
      <c r="H423" s="4" t="s">
        <v>243</v>
      </c>
      <c r="I423" s="4" t="s">
        <v>31</v>
      </c>
      <c r="J423" s="4" t="s">
        <v>533</v>
      </c>
      <c r="K423" s="4" t="s">
        <v>209</v>
      </c>
      <c r="L423" s="4">
        <v>1</v>
      </c>
      <c r="M423" s="5">
        <v>239.98</v>
      </c>
      <c r="N423" s="4" t="s">
        <v>63</v>
      </c>
      <c r="O423" s="5">
        <v>59.99</v>
      </c>
      <c r="P423" s="5">
        <v>0</v>
      </c>
      <c r="Q423" s="5">
        <v>16.2</v>
      </c>
      <c r="R423" s="5">
        <v>196.19</v>
      </c>
      <c r="S423" s="4" t="s">
        <v>64</v>
      </c>
      <c r="T423" s="4" t="s">
        <v>144</v>
      </c>
      <c r="U423" s="4" t="s">
        <v>100</v>
      </c>
      <c r="V423" s="4"/>
      <c r="W423" s="5">
        <v>0</v>
      </c>
      <c r="X423" t="str">
        <f t="shared" si="18"/>
        <v>August</v>
      </c>
      <c r="Y423" t="str">
        <f t="shared" si="19"/>
        <v>Q3</v>
      </c>
      <c r="Z423" s="7">
        <f t="shared" si="20"/>
        <v>179.98999999999998</v>
      </c>
    </row>
    <row r="424" spans="1:26" x14ac:dyDescent="0.3">
      <c r="A424" s="2" t="s">
        <v>2787</v>
      </c>
      <c r="B424" s="8" t="s">
        <v>1488</v>
      </c>
      <c r="C424" s="2" t="s">
        <v>2788</v>
      </c>
      <c r="D424" s="2" t="s">
        <v>2789</v>
      </c>
      <c r="E424" s="2" t="s">
        <v>2790</v>
      </c>
      <c r="F424" s="2" t="s">
        <v>2791</v>
      </c>
      <c r="G424" s="2" t="s">
        <v>59</v>
      </c>
      <c r="H424" s="2" t="s">
        <v>60</v>
      </c>
      <c r="I424" s="2" t="s">
        <v>31</v>
      </c>
      <c r="J424" s="2" t="s">
        <v>2792</v>
      </c>
      <c r="K424" s="2" t="s">
        <v>209</v>
      </c>
      <c r="L424" s="2">
        <v>1</v>
      </c>
      <c r="M424" s="3">
        <v>79.98</v>
      </c>
      <c r="N424" s="2" t="s">
        <v>78</v>
      </c>
      <c r="O424" s="3">
        <v>8</v>
      </c>
      <c r="P424" s="3">
        <v>0</v>
      </c>
      <c r="Q424" s="3">
        <v>5.04</v>
      </c>
      <c r="R424" s="3">
        <v>77.02</v>
      </c>
      <c r="S424" s="2" t="s">
        <v>64</v>
      </c>
      <c r="T424" s="2" t="s">
        <v>144</v>
      </c>
      <c r="U424" s="2" t="s">
        <v>37</v>
      </c>
      <c r="V424" s="2" t="s">
        <v>1618</v>
      </c>
      <c r="W424" s="3">
        <v>77.02</v>
      </c>
      <c r="X424" t="str">
        <f t="shared" si="18"/>
        <v>February</v>
      </c>
      <c r="Y424" t="str">
        <f t="shared" si="19"/>
        <v>Q1</v>
      </c>
      <c r="Z424" s="7">
        <f t="shared" si="20"/>
        <v>71.98</v>
      </c>
    </row>
    <row r="425" spans="1:26" x14ac:dyDescent="0.3">
      <c r="A425" s="4" t="s">
        <v>2793</v>
      </c>
      <c r="B425" s="9" t="s">
        <v>806</v>
      </c>
      <c r="C425" s="4" t="s">
        <v>2794</v>
      </c>
      <c r="D425" s="4" t="s">
        <v>2795</v>
      </c>
      <c r="E425" s="4" t="s">
        <v>2796</v>
      </c>
      <c r="F425" s="4" t="s">
        <v>2797</v>
      </c>
      <c r="G425" s="4" t="s">
        <v>131</v>
      </c>
      <c r="H425" s="4" t="s">
        <v>88</v>
      </c>
      <c r="I425" s="4" t="s">
        <v>31</v>
      </c>
      <c r="J425" s="4" t="s">
        <v>2798</v>
      </c>
      <c r="K425" s="4" t="s">
        <v>364</v>
      </c>
      <c r="L425" s="4">
        <v>1</v>
      </c>
      <c r="M425" s="5">
        <v>39.979999999999997</v>
      </c>
      <c r="N425" s="4" t="s">
        <v>34</v>
      </c>
      <c r="O425" s="5">
        <v>0</v>
      </c>
      <c r="P425" s="5">
        <v>5.99</v>
      </c>
      <c r="Q425" s="5">
        <v>3.4</v>
      </c>
      <c r="R425" s="5">
        <v>49.37</v>
      </c>
      <c r="S425" s="4" t="s">
        <v>35</v>
      </c>
      <c r="T425" s="4" t="s">
        <v>173</v>
      </c>
      <c r="U425" s="4" t="s">
        <v>66</v>
      </c>
      <c r="V425" s="4" t="s">
        <v>284</v>
      </c>
      <c r="W425" s="5">
        <v>0</v>
      </c>
      <c r="X425" t="str">
        <f t="shared" si="18"/>
        <v>March</v>
      </c>
      <c r="Y425" t="str">
        <f t="shared" si="19"/>
        <v>Q1</v>
      </c>
      <c r="Z425" s="7">
        <f t="shared" si="20"/>
        <v>39.979999999999997</v>
      </c>
    </row>
    <row r="426" spans="1:26" x14ac:dyDescent="0.3">
      <c r="A426" s="2" t="s">
        <v>2799</v>
      </c>
      <c r="B426" s="8" t="s">
        <v>641</v>
      </c>
      <c r="C426" s="2" t="s">
        <v>2800</v>
      </c>
      <c r="D426" s="2" t="s">
        <v>2801</v>
      </c>
      <c r="E426" s="2" t="s">
        <v>2802</v>
      </c>
      <c r="F426" s="2" t="s">
        <v>2803</v>
      </c>
      <c r="G426" s="2" t="s">
        <v>140</v>
      </c>
      <c r="H426" s="2" t="s">
        <v>141</v>
      </c>
      <c r="I426" s="2" t="s">
        <v>31</v>
      </c>
      <c r="J426" s="2" t="s">
        <v>577</v>
      </c>
      <c r="K426" s="2" t="s">
        <v>364</v>
      </c>
      <c r="L426" s="2">
        <v>1</v>
      </c>
      <c r="M426" s="3">
        <v>19.989999999999998</v>
      </c>
      <c r="N426" s="2" t="s">
        <v>49</v>
      </c>
      <c r="O426" s="3">
        <v>3</v>
      </c>
      <c r="P426" s="3">
        <v>9.99</v>
      </c>
      <c r="Q426" s="3">
        <v>1.53</v>
      </c>
      <c r="R426" s="3">
        <v>28.51</v>
      </c>
      <c r="S426" s="2" t="s">
        <v>332</v>
      </c>
      <c r="T426" s="2" t="s">
        <v>99</v>
      </c>
      <c r="U426" s="2" t="s">
        <v>66</v>
      </c>
      <c r="V426" s="2" t="s">
        <v>915</v>
      </c>
      <c r="W426" s="3">
        <v>0</v>
      </c>
      <c r="X426" t="str">
        <f t="shared" si="18"/>
        <v>March</v>
      </c>
      <c r="Y426" t="str">
        <f t="shared" si="19"/>
        <v>Q1</v>
      </c>
      <c r="Z426" s="7">
        <f t="shared" si="20"/>
        <v>16.989999999999998</v>
      </c>
    </row>
    <row r="427" spans="1:26" x14ac:dyDescent="0.3">
      <c r="A427" s="4" t="s">
        <v>2804</v>
      </c>
      <c r="B427" s="9" t="s">
        <v>2805</v>
      </c>
      <c r="C427" s="4" t="s">
        <v>2806</v>
      </c>
      <c r="D427" s="4" t="s">
        <v>2807</v>
      </c>
      <c r="E427" s="4" t="s">
        <v>2808</v>
      </c>
      <c r="F427" s="4" t="s">
        <v>2809</v>
      </c>
      <c r="G427" s="4" t="s">
        <v>180</v>
      </c>
      <c r="H427" s="4" t="s">
        <v>181</v>
      </c>
      <c r="I427" s="4" t="s">
        <v>31</v>
      </c>
      <c r="J427" s="4" t="s">
        <v>283</v>
      </c>
      <c r="K427" s="4" t="s">
        <v>209</v>
      </c>
      <c r="L427" s="4">
        <v>1</v>
      </c>
      <c r="M427" s="5">
        <v>49.99</v>
      </c>
      <c r="N427" s="4" t="s">
        <v>34</v>
      </c>
      <c r="O427" s="5">
        <v>0</v>
      </c>
      <c r="P427" s="5">
        <v>5.99</v>
      </c>
      <c r="Q427" s="5">
        <v>4.5</v>
      </c>
      <c r="R427" s="5">
        <v>60.48</v>
      </c>
      <c r="S427" s="4" t="s">
        <v>35</v>
      </c>
      <c r="T427" s="4" t="s">
        <v>36</v>
      </c>
      <c r="U427" s="4" t="s">
        <v>37</v>
      </c>
      <c r="V427" s="4" t="s">
        <v>286</v>
      </c>
      <c r="W427" s="5">
        <v>60.48</v>
      </c>
      <c r="X427" t="str">
        <f t="shared" si="18"/>
        <v>October</v>
      </c>
      <c r="Y427" t="str">
        <f t="shared" si="19"/>
        <v>Q4</v>
      </c>
      <c r="Z427" s="7">
        <f t="shared" si="20"/>
        <v>49.99</v>
      </c>
    </row>
    <row r="428" spans="1:26" x14ac:dyDescent="0.3">
      <c r="A428" s="2" t="s">
        <v>2810</v>
      </c>
      <c r="B428" s="8" t="s">
        <v>2149</v>
      </c>
      <c r="C428" s="2" t="s">
        <v>2811</v>
      </c>
      <c r="D428" s="2" t="s">
        <v>840</v>
      </c>
      <c r="E428" s="2" t="s">
        <v>2812</v>
      </c>
      <c r="F428" s="2" t="s">
        <v>2813</v>
      </c>
      <c r="G428" s="2" t="s">
        <v>251</v>
      </c>
      <c r="H428" s="2" t="s">
        <v>252</v>
      </c>
      <c r="I428" s="2" t="s">
        <v>31</v>
      </c>
      <c r="J428" s="2" t="s">
        <v>2814</v>
      </c>
      <c r="K428" s="2" t="s">
        <v>679</v>
      </c>
      <c r="L428" s="2">
        <v>2</v>
      </c>
      <c r="M428" s="3">
        <v>47.98</v>
      </c>
      <c r="N428" s="2" t="s">
        <v>152</v>
      </c>
      <c r="O428" s="3">
        <v>2.4</v>
      </c>
      <c r="P428" s="3">
        <v>9.99</v>
      </c>
      <c r="Q428" s="3">
        <v>4.5599999999999996</v>
      </c>
      <c r="R428" s="3">
        <v>60.13</v>
      </c>
      <c r="S428" s="2" t="s">
        <v>35</v>
      </c>
      <c r="T428" s="2" t="s">
        <v>183</v>
      </c>
      <c r="U428" s="2" t="s">
        <v>317</v>
      </c>
      <c r="V428" s="2"/>
      <c r="W428" s="3">
        <v>0</v>
      </c>
      <c r="X428" t="str">
        <f t="shared" si="18"/>
        <v>February</v>
      </c>
      <c r="Y428" t="str">
        <f t="shared" si="19"/>
        <v>Q1</v>
      </c>
      <c r="Z428" s="7">
        <f t="shared" si="20"/>
        <v>45.58</v>
      </c>
    </row>
    <row r="429" spans="1:26" x14ac:dyDescent="0.3">
      <c r="A429" s="4" t="s">
        <v>2815</v>
      </c>
      <c r="B429" s="9" t="s">
        <v>397</v>
      </c>
      <c r="C429" s="4" t="s">
        <v>2816</v>
      </c>
      <c r="D429" s="4" t="s">
        <v>2817</v>
      </c>
      <c r="E429" s="4" t="s">
        <v>2818</v>
      </c>
      <c r="F429" s="4" t="s">
        <v>2819</v>
      </c>
      <c r="G429" s="4" t="s">
        <v>428</v>
      </c>
      <c r="H429" s="4" t="s">
        <v>429</v>
      </c>
      <c r="I429" s="4" t="s">
        <v>31</v>
      </c>
      <c r="J429" s="4" t="s">
        <v>2820</v>
      </c>
      <c r="K429" s="4" t="s">
        <v>209</v>
      </c>
      <c r="L429" s="4">
        <v>3</v>
      </c>
      <c r="M429" s="5">
        <v>254.97</v>
      </c>
      <c r="N429" s="4" t="s">
        <v>63</v>
      </c>
      <c r="O429" s="5">
        <v>63.74</v>
      </c>
      <c r="P429" s="5">
        <v>0</v>
      </c>
      <c r="Q429" s="5">
        <v>15.3</v>
      </c>
      <c r="R429" s="5">
        <v>206.53</v>
      </c>
      <c r="S429" s="4" t="s">
        <v>332</v>
      </c>
      <c r="T429" s="4" t="s">
        <v>99</v>
      </c>
      <c r="U429" s="4" t="s">
        <v>66</v>
      </c>
      <c r="V429" s="4" t="s">
        <v>1713</v>
      </c>
      <c r="W429" s="5">
        <v>0</v>
      </c>
      <c r="X429" t="str">
        <f t="shared" si="18"/>
        <v>October</v>
      </c>
      <c r="Y429" t="str">
        <f t="shared" si="19"/>
        <v>Q4</v>
      </c>
      <c r="Z429" s="7">
        <f t="shared" si="20"/>
        <v>191.23</v>
      </c>
    </row>
    <row r="430" spans="1:26" x14ac:dyDescent="0.3">
      <c r="A430" s="2" t="s">
        <v>2821</v>
      </c>
      <c r="B430" s="8" t="s">
        <v>992</v>
      </c>
      <c r="C430" s="2" t="s">
        <v>2822</v>
      </c>
      <c r="D430" s="2" t="s">
        <v>2823</v>
      </c>
      <c r="E430" s="2" t="s">
        <v>2824</v>
      </c>
      <c r="F430" s="2" t="s">
        <v>2825</v>
      </c>
      <c r="G430" s="2" t="s">
        <v>640</v>
      </c>
      <c r="H430" s="2" t="s">
        <v>161</v>
      </c>
      <c r="I430" s="2" t="s">
        <v>31</v>
      </c>
      <c r="J430" s="2" t="s">
        <v>977</v>
      </c>
      <c r="K430" s="2" t="s">
        <v>77</v>
      </c>
      <c r="L430" s="2">
        <v>2</v>
      </c>
      <c r="M430" s="3">
        <v>67.98</v>
      </c>
      <c r="N430" s="2" t="s">
        <v>34</v>
      </c>
      <c r="O430" s="3">
        <v>0</v>
      </c>
      <c r="P430" s="3">
        <v>9.99</v>
      </c>
      <c r="Q430" s="3">
        <v>5.44</v>
      </c>
      <c r="R430" s="3">
        <v>83.41</v>
      </c>
      <c r="S430" s="2" t="s">
        <v>64</v>
      </c>
      <c r="T430" s="2" t="s">
        <v>99</v>
      </c>
      <c r="U430" s="2" t="s">
        <v>51</v>
      </c>
      <c r="V430" s="2" t="s">
        <v>333</v>
      </c>
      <c r="W430" s="3">
        <v>0</v>
      </c>
      <c r="X430" t="str">
        <f t="shared" si="18"/>
        <v>April</v>
      </c>
      <c r="Y430" t="str">
        <f t="shared" si="19"/>
        <v>Q2</v>
      </c>
      <c r="Z430" s="7">
        <f t="shared" si="20"/>
        <v>67.98</v>
      </c>
    </row>
    <row r="431" spans="1:26" x14ac:dyDescent="0.3">
      <c r="A431" s="4" t="s">
        <v>2826</v>
      </c>
      <c r="B431" s="9" t="s">
        <v>1781</v>
      </c>
      <c r="C431" s="4" t="s">
        <v>2827</v>
      </c>
      <c r="D431" s="4" t="s">
        <v>320</v>
      </c>
      <c r="E431" s="4" t="s">
        <v>2828</v>
      </c>
      <c r="F431" s="4" t="s">
        <v>2829</v>
      </c>
      <c r="G431" s="4" t="s">
        <v>394</v>
      </c>
      <c r="H431" s="4" t="s">
        <v>395</v>
      </c>
      <c r="I431" s="4" t="s">
        <v>31</v>
      </c>
      <c r="J431" s="4" t="s">
        <v>2830</v>
      </c>
      <c r="K431" s="4" t="s">
        <v>110</v>
      </c>
      <c r="L431" s="4">
        <v>3</v>
      </c>
      <c r="M431" s="5">
        <v>249.96</v>
      </c>
      <c r="N431" s="4" t="s">
        <v>78</v>
      </c>
      <c r="O431" s="5">
        <v>25</v>
      </c>
      <c r="P431" s="5">
        <v>0</v>
      </c>
      <c r="Q431" s="5">
        <v>20.25</v>
      </c>
      <c r="R431" s="5">
        <v>245.21</v>
      </c>
      <c r="S431" s="4" t="s">
        <v>64</v>
      </c>
      <c r="T431" s="4" t="s">
        <v>183</v>
      </c>
      <c r="U431" s="4" t="s">
        <v>51</v>
      </c>
      <c r="V431" s="4" t="s">
        <v>2831</v>
      </c>
      <c r="W431" s="5">
        <v>0</v>
      </c>
      <c r="X431" t="str">
        <f t="shared" si="18"/>
        <v>October</v>
      </c>
      <c r="Y431" t="str">
        <f t="shared" si="19"/>
        <v>Q4</v>
      </c>
      <c r="Z431" s="7">
        <f t="shared" si="20"/>
        <v>224.96</v>
      </c>
    </row>
    <row r="432" spans="1:26" x14ac:dyDescent="0.3">
      <c r="A432" s="2" t="s">
        <v>2832</v>
      </c>
      <c r="B432" s="8" t="s">
        <v>1848</v>
      </c>
      <c r="C432" s="2" t="s">
        <v>2833</v>
      </c>
      <c r="D432" s="2" t="s">
        <v>2834</v>
      </c>
      <c r="E432" s="2" t="s">
        <v>2835</v>
      </c>
      <c r="F432" s="2" t="s">
        <v>2836</v>
      </c>
      <c r="G432" s="2" t="s">
        <v>180</v>
      </c>
      <c r="H432" s="2" t="s">
        <v>181</v>
      </c>
      <c r="I432" s="2" t="s">
        <v>31</v>
      </c>
      <c r="J432" s="2" t="s">
        <v>2837</v>
      </c>
      <c r="K432" s="2" t="s">
        <v>679</v>
      </c>
      <c r="L432" s="2">
        <v>2</v>
      </c>
      <c r="M432" s="3">
        <v>44.98</v>
      </c>
      <c r="N432" s="2" t="s">
        <v>152</v>
      </c>
      <c r="O432" s="3">
        <v>2.25</v>
      </c>
      <c r="P432" s="3">
        <v>9.99</v>
      </c>
      <c r="Q432" s="3">
        <v>3.42</v>
      </c>
      <c r="R432" s="3">
        <v>56.14</v>
      </c>
      <c r="S432" s="2" t="s">
        <v>64</v>
      </c>
      <c r="T432" s="2" t="s">
        <v>36</v>
      </c>
      <c r="U432" s="2" t="s">
        <v>100</v>
      </c>
      <c r="V432" s="2"/>
      <c r="W432" s="3">
        <v>0</v>
      </c>
      <c r="X432" t="str">
        <f t="shared" si="18"/>
        <v>February</v>
      </c>
      <c r="Y432" t="str">
        <f t="shared" si="19"/>
        <v>Q1</v>
      </c>
      <c r="Z432" s="7">
        <f t="shared" si="20"/>
        <v>42.73</v>
      </c>
    </row>
    <row r="433" spans="1:26" x14ac:dyDescent="0.3">
      <c r="A433" s="4" t="s">
        <v>2838</v>
      </c>
      <c r="B433" s="9" t="s">
        <v>2839</v>
      </c>
      <c r="C433" s="4" t="s">
        <v>2840</v>
      </c>
      <c r="D433" s="4" t="s">
        <v>2841</v>
      </c>
      <c r="E433" s="4" t="s">
        <v>2842</v>
      </c>
      <c r="F433" s="4" t="s">
        <v>2843</v>
      </c>
      <c r="G433" s="4" t="s">
        <v>640</v>
      </c>
      <c r="H433" s="4" t="s">
        <v>161</v>
      </c>
      <c r="I433" s="4" t="s">
        <v>31</v>
      </c>
      <c r="J433" s="4" t="s">
        <v>1148</v>
      </c>
      <c r="K433" s="4" t="s">
        <v>33</v>
      </c>
      <c r="L433" s="4">
        <v>1</v>
      </c>
      <c r="M433" s="5">
        <v>18.989999999999998</v>
      </c>
      <c r="N433" s="4" t="s">
        <v>63</v>
      </c>
      <c r="O433" s="5">
        <v>4.75</v>
      </c>
      <c r="P433" s="5">
        <v>4.99</v>
      </c>
      <c r="Q433" s="5">
        <v>1.42</v>
      </c>
      <c r="R433" s="5">
        <v>20.65</v>
      </c>
      <c r="S433" s="4" t="s">
        <v>35</v>
      </c>
      <c r="T433" s="4" t="s">
        <v>173</v>
      </c>
      <c r="U433" s="4" t="s">
        <v>66</v>
      </c>
      <c r="V433" s="4" t="s">
        <v>851</v>
      </c>
      <c r="W433" s="5">
        <v>0</v>
      </c>
      <c r="X433" t="str">
        <f t="shared" si="18"/>
        <v>June</v>
      </c>
      <c r="Y433" t="str">
        <f t="shared" si="19"/>
        <v>Q2</v>
      </c>
      <c r="Z433" s="7">
        <f t="shared" si="20"/>
        <v>14.239999999999998</v>
      </c>
    </row>
    <row r="434" spans="1:26" x14ac:dyDescent="0.3">
      <c r="A434" s="2" t="s">
        <v>2844</v>
      </c>
      <c r="B434" s="8" t="s">
        <v>2729</v>
      </c>
      <c r="C434" s="2" t="s">
        <v>2845</v>
      </c>
      <c r="D434" s="2" t="s">
        <v>2846</v>
      </c>
      <c r="E434" s="2" t="s">
        <v>2847</v>
      </c>
      <c r="F434" s="2" t="s">
        <v>2848</v>
      </c>
      <c r="G434" s="2" t="s">
        <v>394</v>
      </c>
      <c r="H434" s="2" t="s">
        <v>395</v>
      </c>
      <c r="I434" s="2" t="s">
        <v>31</v>
      </c>
      <c r="J434" s="2" t="s">
        <v>1269</v>
      </c>
      <c r="K434" s="2" t="s">
        <v>77</v>
      </c>
      <c r="L434" s="2">
        <v>1</v>
      </c>
      <c r="M434" s="3">
        <v>27.99</v>
      </c>
      <c r="N434" s="2" t="s">
        <v>78</v>
      </c>
      <c r="O434" s="3">
        <v>2.8</v>
      </c>
      <c r="P434" s="3">
        <v>7.99</v>
      </c>
      <c r="Q434" s="3">
        <v>2.02</v>
      </c>
      <c r="R434" s="3">
        <v>35.200000000000003</v>
      </c>
      <c r="S434" s="2" t="s">
        <v>123</v>
      </c>
      <c r="T434" s="2" t="s">
        <v>183</v>
      </c>
      <c r="U434" s="2" t="s">
        <v>66</v>
      </c>
      <c r="V434" s="2" t="s">
        <v>54</v>
      </c>
      <c r="W434" s="3">
        <v>0</v>
      </c>
      <c r="X434" t="str">
        <f t="shared" si="18"/>
        <v>July</v>
      </c>
      <c r="Y434" t="str">
        <f t="shared" si="19"/>
        <v>Q3</v>
      </c>
      <c r="Z434" s="7">
        <f t="shared" si="20"/>
        <v>25.189999999999998</v>
      </c>
    </row>
    <row r="435" spans="1:26" x14ac:dyDescent="0.3">
      <c r="A435" s="4" t="s">
        <v>2849</v>
      </c>
      <c r="B435" s="9" t="s">
        <v>2176</v>
      </c>
      <c r="C435" s="4" t="s">
        <v>2850</v>
      </c>
      <c r="D435" s="4" t="s">
        <v>900</v>
      </c>
      <c r="E435" s="4" t="s">
        <v>2851</v>
      </c>
      <c r="F435" s="4" t="s">
        <v>2852</v>
      </c>
      <c r="G435" s="4" t="s">
        <v>403</v>
      </c>
      <c r="H435" s="4" t="s">
        <v>404</v>
      </c>
      <c r="I435" s="4" t="s">
        <v>31</v>
      </c>
      <c r="J435" s="4" t="s">
        <v>2853</v>
      </c>
      <c r="K435" s="4" t="s">
        <v>209</v>
      </c>
      <c r="L435" s="4">
        <v>2</v>
      </c>
      <c r="M435" s="5">
        <v>84.98</v>
      </c>
      <c r="N435" s="4" t="s">
        <v>78</v>
      </c>
      <c r="O435" s="5">
        <v>8.5</v>
      </c>
      <c r="P435" s="5">
        <v>0</v>
      </c>
      <c r="Q435" s="5">
        <v>6.88</v>
      </c>
      <c r="R435" s="5">
        <v>83.36</v>
      </c>
      <c r="S435" s="4" t="s">
        <v>123</v>
      </c>
      <c r="T435" s="4" t="s">
        <v>99</v>
      </c>
      <c r="U435" s="4" t="s">
        <v>317</v>
      </c>
      <c r="V435" s="4"/>
      <c r="W435" s="5">
        <v>0</v>
      </c>
      <c r="X435" t="str">
        <f t="shared" si="18"/>
        <v>February</v>
      </c>
      <c r="Y435" t="str">
        <f t="shared" si="19"/>
        <v>Q1</v>
      </c>
      <c r="Z435" s="7">
        <f t="shared" si="20"/>
        <v>76.48</v>
      </c>
    </row>
    <row r="436" spans="1:26" x14ac:dyDescent="0.3">
      <c r="A436" s="2" t="s">
        <v>2854</v>
      </c>
      <c r="B436" s="8" t="s">
        <v>2149</v>
      </c>
      <c r="C436" s="2" t="s">
        <v>2855</v>
      </c>
      <c r="D436" s="2" t="s">
        <v>2856</v>
      </c>
      <c r="E436" s="2" t="s">
        <v>2857</v>
      </c>
      <c r="F436" s="2" t="s">
        <v>2858</v>
      </c>
      <c r="G436" s="2" t="s">
        <v>107</v>
      </c>
      <c r="H436" s="2" t="s">
        <v>108</v>
      </c>
      <c r="I436" s="2" t="s">
        <v>31</v>
      </c>
      <c r="J436" s="2" t="s">
        <v>2859</v>
      </c>
      <c r="K436" s="2" t="s">
        <v>77</v>
      </c>
      <c r="L436" s="2">
        <v>3</v>
      </c>
      <c r="M436" s="3">
        <v>97.97</v>
      </c>
      <c r="N436" s="2" t="s">
        <v>49</v>
      </c>
      <c r="O436" s="3">
        <v>14.7</v>
      </c>
      <c r="P436" s="3">
        <v>0</v>
      </c>
      <c r="Q436" s="3">
        <v>6.66</v>
      </c>
      <c r="R436" s="3">
        <v>89.93</v>
      </c>
      <c r="S436" s="2" t="s">
        <v>123</v>
      </c>
      <c r="T436" s="2" t="s">
        <v>50</v>
      </c>
      <c r="U436" s="2" t="s">
        <v>100</v>
      </c>
      <c r="V436" s="2"/>
      <c r="W436" s="3">
        <v>0</v>
      </c>
      <c r="X436" t="str">
        <f t="shared" si="18"/>
        <v>February</v>
      </c>
      <c r="Y436" t="str">
        <f t="shared" si="19"/>
        <v>Q1</v>
      </c>
      <c r="Z436" s="7">
        <f t="shared" si="20"/>
        <v>83.27</v>
      </c>
    </row>
    <row r="437" spans="1:26" x14ac:dyDescent="0.3">
      <c r="A437" s="4" t="s">
        <v>2860</v>
      </c>
      <c r="B437" s="9" t="s">
        <v>1846</v>
      </c>
      <c r="C437" s="4" t="s">
        <v>2861</v>
      </c>
      <c r="D437" s="4" t="s">
        <v>2348</v>
      </c>
      <c r="E437" s="4" t="s">
        <v>2862</v>
      </c>
      <c r="F437" s="4" t="s">
        <v>2863</v>
      </c>
      <c r="G437" s="4" t="s">
        <v>676</v>
      </c>
      <c r="H437" s="4" t="s">
        <v>677</v>
      </c>
      <c r="I437" s="4" t="s">
        <v>31</v>
      </c>
      <c r="J437" s="4" t="s">
        <v>2864</v>
      </c>
      <c r="K437" s="4" t="s">
        <v>110</v>
      </c>
      <c r="L437" s="4">
        <v>2</v>
      </c>
      <c r="M437" s="5">
        <v>197.96</v>
      </c>
      <c r="N437" s="4" t="s">
        <v>63</v>
      </c>
      <c r="O437" s="5">
        <v>49.49</v>
      </c>
      <c r="P437" s="5">
        <v>0</v>
      </c>
      <c r="Q437" s="5">
        <v>13.36</v>
      </c>
      <c r="R437" s="5">
        <v>161.83000000000001</v>
      </c>
      <c r="S437" s="4" t="s">
        <v>332</v>
      </c>
      <c r="T437" s="4" t="s">
        <v>50</v>
      </c>
      <c r="U437" s="4" t="s">
        <v>37</v>
      </c>
      <c r="V437" s="4" t="s">
        <v>2865</v>
      </c>
      <c r="W437" s="5">
        <v>161.83000000000001</v>
      </c>
      <c r="X437" t="str">
        <f t="shared" si="18"/>
        <v>August</v>
      </c>
      <c r="Y437" t="str">
        <f t="shared" si="19"/>
        <v>Q3</v>
      </c>
      <c r="Z437" s="7">
        <f t="shared" si="20"/>
        <v>148.47</v>
      </c>
    </row>
    <row r="438" spans="1:26" x14ac:dyDescent="0.3">
      <c r="A438" s="2" t="s">
        <v>2866</v>
      </c>
      <c r="B438" s="8" t="s">
        <v>703</v>
      </c>
      <c r="C438" s="2" t="s">
        <v>2867</v>
      </c>
      <c r="D438" s="2" t="s">
        <v>2868</v>
      </c>
      <c r="E438" s="2" t="s">
        <v>2869</v>
      </c>
      <c r="F438" s="2" t="s">
        <v>2870</v>
      </c>
      <c r="G438" s="2" t="s">
        <v>282</v>
      </c>
      <c r="H438" s="2" t="s">
        <v>88</v>
      </c>
      <c r="I438" s="2" t="s">
        <v>31</v>
      </c>
      <c r="J438" s="2" t="s">
        <v>172</v>
      </c>
      <c r="K438" s="2" t="s">
        <v>122</v>
      </c>
      <c r="L438" s="2">
        <v>1</v>
      </c>
      <c r="M438" s="3">
        <v>69.989999999999995</v>
      </c>
      <c r="N438" s="2" t="s">
        <v>152</v>
      </c>
      <c r="O438" s="3">
        <v>3.5</v>
      </c>
      <c r="P438" s="3">
        <v>9.99</v>
      </c>
      <c r="Q438" s="3">
        <v>3.99</v>
      </c>
      <c r="R438" s="3">
        <v>80.47</v>
      </c>
      <c r="S438" s="2" t="s">
        <v>332</v>
      </c>
      <c r="T438" s="2" t="s">
        <v>36</v>
      </c>
      <c r="U438" s="2" t="s">
        <v>317</v>
      </c>
      <c r="V438" s="2"/>
      <c r="W438" s="3">
        <v>0</v>
      </c>
      <c r="X438" t="str">
        <f t="shared" si="18"/>
        <v>January</v>
      </c>
      <c r="Y438" t="str">
        <f t="shared" si="19"/>
        <v>Q1</v>
      </c>
      <c r="Z438" s="7">
        <f t="shared" si="20"/>
        <v>66.489999999999995</v>
      </c>
    </row>
    <row r="439" spans="1:26" x14ac:dyDescent="0.3">
      <c r="A439" s="4" t="s">
        <v>2871</v>
      </c>
      <c r="B439" s="9" t="s">
        <v>1271</v>
      </c>
      <c r="C439" s="4" t="s">
        <v>2872</v>
      </c>
      <c r="D439" s="4" t="s">
        <v>1138</v>
      </c>
      <c r="E439" s="4" t="s">
        <v>2873</v>
      </c>
      <c r="F439" s="4" t="s">
        <v>2874</v>
      </c>
      <c r="G439" s="4" t="s">
        <v>119</v>
      </c>
      <c r="H439" s="4" t="s">
        <v>120</v>
      </c>
      <c r="I439" s="4" t="s">
        <v>31</v>
      </c>
      <c r="J439" s="4" t="s">
        <v>2875</v>
      </c>
      <c r="K439" s="4" t="s">
        <v>364</v>
      </c>
      <c r="L439" s="4">
        <v>2</v>
      </c>
      <c r="M439" s="5">
        <v>374.96</v>
      </c>
      <c r="N439" s="4" t="s">
        <v>63</v>
      </c>
      <c r="O439" s="5">
        <v>93.74</v>
      </c>
      <c r="P439" s="5">
        <v>0</v>
      </c>
      <c r="Q439" s="5">
        <v>19.690000000000001</v>
      </c>
      <c r="R439" s="5">
        <v>300.91000000000003</v>
      </c>
      <c r="S439" s="4" t="s">
        <v>35</v>
      </c>
      <c r="T439" s="4" t="s">
        <v>99</v>
      </c>
      <c r="U439" s="4" t="s">
        <v>66</v>
      </c>
      <c r="V439" s="4" t="s">
        <v>406</v>
      </c>
      <c r="W439" s="5">
        <v>0</v>
      </c>
      <c r="X439" t="str">
        <f t="shared" si="18"/>
        <v>November</v>
      </c>
      <c r="Y439" t="str">
        <f t="shared" si="19"/>
        <v>Q4</v>
      </c>
      <c r="Z439" s="7">
        <f t="shared" si="20"/>
        <v>281.21999999999997</v>
      </c>
    </row>
    <row r="440" spans="1:26" x14ac:dyDescent="0.3">
      <c r="A440" s="2" t="s">
        <v>2876</v>
      </c>
      <c r="B440" s="8" t="s">
        <v>1446</v>
      </c>
      <c r="C440" s="2" t="s">
        <v>2877</v>
      </c>
      <c r="D440" s="2" t="s">
        <v>2878</v>
      </c>
      <c r="E440" s="2" t="s">
        <v>2879</v>
      </c>
      <c r="F440" s="2" t="s">
        <v>2880</v>
      </c>
      <c r="G440" s="2" t="s">
        <v>131</v>
      </c>
      <c r="H440" s="2" t="s">
        <v>88</v>
      </c>
      <c r="I440" s="2" t="s">
        <v>31</v>
      </c>
      <c r="J440" s="2" t="s">
        <v>1238</v>
      </c>
      <c r="K440" s="2" t="s">
        <v>209</v>
      </c>
      <c r="L440" s="2">
        <v>1</v>
      </c>
      <c r="M440" s="3">
        <v>39.99</v>
      </c>
      <c r="N440" s="2" t="s">
        <v>49</v>
      </c>
      <c r="O440" s="3">
        <v>6</v>
      </c>
      <c r="P440" s="3">
        <v>7.99</v>
      </c>
      <c r="Q440" s="3">
        <v>2.72</v>
      </c>
      <c r="R440" s="3">
        <v>44.7</v>
      </c>
      <c r="S440" s="2" t="s">
        <v>123</v>
      </c>
      <c r="T440" s="2" t="s">
        <v>183</v>
      </c>
      <c r="U440" s="2" t="s">
        <v>66</v>
      </c>
      <c r="V440" s="2" t="s">
        <v>1296</v>
      </c>
      <c r="W440" s="3">
        <v>0</v>
      </c>
      <c r="X440" t="str">
        <f t="shared" si="18"/>
        <v>January</v>
      </c>
      <c r="Y440" t="str">
        <f t="shared" si="19"/>
        <v>Q1</v>
      </c>
      <c r="Z440" s="7">
        <f t="shared" si="20"/>
        <v>33.99</v>
      </c>
    </row>
    <row r="441" spans="1:26" x14ac:dyDescent="0.3">
      <c r="A441" s="4" t="s">
        <v>2881</v>
      </c>
      <c r="B441" s="9" t="s">
        <v>1618</v>
      </c>
      <c r="C441" s="4" t="s">
        <v>2882</v>
      </c>
      <c r="D441" s="4" t="s">
        <v>2543</v>
      </c>
      <c r="E441" s="4" t="s">
        <v>2883</v>
      </c>
      <c r="F441" s="4" t="s">
        <v>2884</v>
      </c>
      <c r="G441" s="4" t="s">
        <v>347</v>
      </c>
      <c r="H441" s="4" t="s">
        <v>60</v>
      </c>
      <c r="I441" s="4" t="s">
        <v>31</v>
      </c>
      <c r="J441" s="4" t="s">
        <v>191</v>
      </c>
      <c r="K441" s="4" t="s">
        <v>77</v>
      </c>
      <c r="L441" s="4">
        <v>1</v>
      </c>
      <c r="M441" s="5">
        <v>24.99</v>
      </c>
      <c r="N441" s="4" t="s">
        <v>49</v>
      </c>
      <c r="O441" s="5">
        <v>3.75</v>
      </c>
      <c r="P441" s="5">
        <v>4.99</v>
      </c>
      <c r="Q441" s="5">
        <v>1.81</v>
      </c>
      <c r="R441" s="5">
        <v>28.04</v>
      </c>
      <c r="S441" s="4" t="s">
        <v>35</v>
      </c>
      <c r="T441" s="4" t="s">
        <v>36</v>
      </c>
      <c r="U441" s="4" t="s">
        <v>66</v>
      </c>
      <c r="V441" s="4" t="s">
        <v>2176</v>
      </c>
      <c r="W441" s="5">
        <v>0</v>
      </c>
      <c r="X441" t="str">
        <f t="shared" si="18"/>
        <v>February</v>
      </c>
      <c r="Y441" t="str">
        <f t="shared" si="19"/>
        <v>Q1</v>
      </c>
      <c r="Z441" s="7">
        <f t="shared" si="20"/>
        <v>21.24</v>
      </c>
    </row>
    <row r="442" spans="1:26" x14ac:dyDescent="0.3">
      <c r="A442" s="2" t="s">
        <v>2885</v>
      </c>
      <c r="B442" s="8" t="s">
        <v>2886</v>
      </c>
      <c r="C442" s="2" t="s">
        <v>2887</v>
      </c>
      <c r="D442" s="2" t="s">
        <v>1241</v>
      </c>
      <c r="E442" s="2" t="s">
        <v>2888</v>
      </c>
      <c r="F442" s="2" t="s">
        <v>2889</v>
      </c>
      <c r="G442" s="2" t="s">
        <v>107</v>
      </c>
      <c r="H442" s="2" t="s">
        <v>108</v>
      </c>
      <c r="I442" s="2" t="s">
        <v>31</v>
      </c>
      <c r="J442" s="2" t="s">
        <v>267</v>
      </c>
      <c r="K442" s="2" t="s">
        <v>62</v>
      </c>
      <c r="L442" s="2">
        <v>1</v>
      </c>
      <c r="M442" s="3">
        <v>54.99</v>
      </c>
      <c r="N442" s="2" t="s">
        <v>34</v>
      </c>
      <c r="O442" s="3">
        <v>0</v>
      </c>
      <c r="P442" s="3">
        <v>5.99</v>
      </c>
      <c r="Q442" s="3">
        <v>4.4000000000000004</v>
      </c>
      <c r="R442" s="3">
        <v>65.38</v>
      </c>
      <c r="S442" s="2" t="s">
        <v>123</v>
      </c>
      <c r="T442" s="2" t="s">
        <v>99</v>
      </c>
      <c r="U442" s="2" t="s">
        <v>66</v>
      </c>
      <c r="V442" s="2" t="s">
        <v>1477</v>
      </c>
      <c r="W442" s="3">
        <v>0</v>
      </c>
      <c r="X442" t="str">
        <f t="shared" si="18"/>
        <v>June</v>
      </c>
      <c r="Y442" t="str">
        <f t="shared" si="19"/>
        <v>Q2</v>
      </c>
      <c r="Z442" s="7">
        <f t="shared" si="20"/>
        <v>54.99</v>
      </c>
    </row>
    <row r="443" spans="1:26" x14ac:dyDescent="0.3">
      <c r="A443" s="4" t="s">
        <v>2890</v>
      </c>
      <c r="B443" s="9" t="s">
        <v>335</v>
      </c>
      <c r="C443" s="4" t="s">
        <v>2891</v>
      </c>
      <c r="D443" s="4" t="s">
        <v>2892</v>
      </c>
      <c r="E443" s="4" t="s">
        <v>2893</v>
      </c>
      <c r="F443" s="4" t="s">
        <v>2894</v>
      </c>
      <c r="G443" s="4" t="s">
        <v>224</v>
      </c>
      <c r="H443" s="4" t="s">
        <v>225</v>
      </c>
      <c r="I443" s="4" t="s">
        <v>31</v>
      </c>
      <c r="J443" s="4" t="s">
        <v>2895</v>
      </c>
      <c r="K443" s="4" t="s">
        <v>209</v>
      </c>
      <c r="L443" s="4">
        <v>5</v>
      </c>
      <c r="M443" s="5">
        <v>454.94</v>
      </c>
      <c r="N443" s="4" t="s">
        <v>152</v>
      </c>
      <c r="O443" s="5">
        <v>22.75</v>
      </c>
      <c r="P443" s="5">
        <v>0</v>
      </c>
      <c r="Q443" s="5">
        <v>38.9</v>
      </c>
      <c r="R443" s="5">
        <v>471.09</v>
      </c>
      <c r="S443" s="4" t="s">
        <v>35</v>
      </c>
      <c r="T443" s="4" t="s">
        <v>99</v>
      </c>
      <c r="U443" s="4" t="s">
        <v>37</v>
      </c>
      <c r="V443" s="4" t="s">
        <v>1573</v>
      </c>
      <c r="W443" s="5">
        <v>471.09</v>
      </c>
      <c r="X443" t="str">
        <f t="shared" si="18"/>
        <v>September</v>
      </c>
      <c r="Y443" t="str">
        <f t="shared" si="19"/>
        <v>Q3</v>
      </c>
      <c r="Z443" s="7">
        <f t="shared" si="20"/>
        <v>432.19</v>
      </c>
    </row>
    <row r="444" spans="1:26" x14ac:dyDescent="0.3">
      <c r="A444" s="2" t="s">
        <v>2896</v>
      </c>
      <c r="B444" s="8" t="s">
        <v>1560</v>
      </c>
      <c r="C444" s="2" t="s">
        <v>2897</v>
      </c>
      <c r="D444" s="2" t="s">
        <v>2898</v>
      </c>
      <c r="E444" s="2" t="s">
        <v>2899</v>
      </c>
      <c r="F444" s="2" t="s">
        <v>2900</v>
      </c>
      <c r="G444" s="2" t="s">
        <v>224</v>
      </c>
      <c r="H444" s="2" t="s">
        <v>225</v>
      </c>
      <c r="I444" s="2" t="s">
        <v>31</v>
      </c>
      <c r="J444" s="2" t="s">
        <v>217</v>
      </c>
      <c r="K444" s="2" t="s">
        <v>110</v>
      </c>
      <c r="L444" s="2">
        <v>1</v>
      </c>
      <c r="M444" s="3">
        <v>22.99</v>
      </c>
      <c r="N444" s="2" t="s">
        <v>78</v>
      </c>
      <c r="O444" s="3">
        <v>2.2999999999999998</v>
      </c>
      <c r="P444" s="3">
        <v>7.99</v>
      </c>
      <c r="Q444" s="3">
        <v>2.0699999999999998</v>
      </c>
      <c r="R444" s="3">
        <v>30.75</v>
      </c>
      <c r="S444" s="2" t="s">
        <v>35</v>
      </c>
      <c r="T444" s="2" t="s">
        <v>144</v>
      </c>
      <c r="U444" s="2" t="s">
        <v>100</v>
      </c>
      <c r="V444" s="2"/>
      <c r="W444" s="3">
        <v>0</v>
      </c>
      <c r="X444" t="str">
        <f t="shared" si="18"/>
        <v>December</v>
      </c>
      <c r="Y444" t="str">
        <f t="shared" si="19"/>
        <v>Q4</v>
      </c>
      <c r="Z444" s="7">
        <f t="shared" si="20"/>
        <v>20.689999999999998</v>
      </c>
    </row>
    <row r="445" spans="1:26" x14ac:dyDescent="0.3">
      <c r="A445" s="4" t="s">
        <v>2901</v>
      </c>
      <c r="B445" s="9" t="s">
        <v>2902</v>
      </c>
      <c r="C445" s="4" t="s">
        <v>2903</v>
      </c>
      <c r="D445" s="4" t="s">
        <v>2904</v>
      </c>
      <c r="E445" s="4" t="s">
        <v>2905</v>
      </c>
      <c r="F445" s="4" t="s">
        <v>2906</v>
      </c>
      <c r="G445" s="4" t="s">
        <v>45</v>
      </c>
      <c r="H445" s="4" t="s">
        <v>46</v>
      </c>
      <c r="I445" s="4" t="s">
        <v>31</v>
      </c>
      <c r="J445" s="4" t="s">
        <v>2907</v>
      </c>
      <c r="K445" s="4" t="s">
        <v>110</v>
      </c>
      <c r="L445" s="4">
        <v>2</v>
      </c>
      <c r="M445" s="5">
        <v>57.98</v>
      </c>
      <c r="N445" s="4" t="s">
        <v>34</v>
      </c>
      <c r="O445" s="5">
        <v>0</v>
      </c>
      <c r="P445" s="5">
        <v>5.99</v>
      </c>
      <c r="Q445" s="5">
        <v>4.93</v>
      </c>
      <c r="R445" s="5">
        <v>68.900000000000006</v>
      </c>
      <c r="S445" s="4" t="s">
        <v>64</v>
      </c>
      <c r="T445" s="4" t="s">
        <v>144</v>
      </c>
      <c r="U445" s="4" t="s">
        <v>100</v>
      </c>
      <c r="V445" s="4"/>
      <c r="W445" s="5">
        <v>0</v>
      </c>
      <c r="X445" t="str">
        <f t="shared" si="18"/>
        <v>December</v>
      </c>
      <c r="Y445" t="str">
        <f t="shared" si="19"/>
        <v>Q4</v>
      </c>
      <c r="Z445" s="7">
        <f t="shared" si="20"/>
        <v>57.98</v>
      </c>
    </row>
    <row r="446" spans="1:26" x14ac:dyDescent="0.3">
      <c r="A446" s="2" t="s">
        <v>2908</v>
      </c>
      <c r="B446" s="8" t="s">
        <v>261</v>
      </c>
      <c r="C446" s="2" t="s">
        <v>2909</v>
      </c>
      <c r="D446" s="2" t="s">
        <v>2910</v>
      </c>
      <c r="E446" s="2" t="s">
        <v>2911</v>
      </c>
      <c r="F446" s="2" t="s">
        <v>2912</v>
      </c>
      <c r="G446" s="2" t="s">
        <v>428</v>
      </c>
      <c r="H446" s="2" t="s">
        <v>429</v>
      </c>
      <c r="I446" s="2" t="s">
        <v>31</v>
      </c>
      <c r="J446" s="2" t="s">
        <v>2913</v>
      </c>
      <c r="K446" s="2" t="s">
        <v>77</v>
      </c>
      <c r="L446" s="2">
        <v>2</v>
      </c>
      <c r="M446" s="3">
        <v>92.98</v>
      </c>
      <c r="N446" s="2" t="s">
        <v>49</v>
      </c>
      <c r="O446" s="3">
        <v>13.95</v>
      </c>
      <c r="P446" s="3">
        <v>0</v>
      </c>
      <c r="Q446" s="3">
        <v>5.53</v>
      </c>
      <c r="R446" s="3">
        <v>84.56</v>
      </c>
      <c r="S446" s="2" t="s">
        <v>111</v>
      </c>
      <c r="T446" s="2" t="s">
        <v>183</v>
      </c>
      <c r="U446" s="2" t="s">
        <v>66</v>
      </c>
      <c r="V446" s="2" t="s">
        <v>461</v>
      </c>
      <c r="W446" s="3">
        <v>0</v>
      </c>
      <c r="X446" t="str">
        <f t="shared" si="18"/>
        <v>June</v>
      </c>
      <c r="Y446" t="str">
        <f t="shared" si="19"/>
        <v>Q2</v>
      </c>
      <c r="Z446" s="7">
        <f t="shared" si="20"/>
        <v>79.03</v>
      </c>
    </row>
    <row r="447" spans="1:26" x14ac:dyDescent="0.3">
      <c r="A447" s="4" t="s">
        <v>2914</v>
      </c>
      <c r="B447" s="9" t="s">
        <v>2915</v>
      </c>
      <c r="C447" s="4" t="s">
        <v>2916</v>
      </c>
      <c r="D447" s="4" t="s">
        <v>2917</v>
      </c>
      <c r="E447" s="4" t="s">
        <v>2918</v>
      </c>
      <c r="F447" s="4" t="s">
        <v>2919</v>
      </c>
      <c r="G447" s="4" t="s">
        <v>160</v>
      </c>
      <c r="H447" s="4" t="s">
        <v>161</v>
      </c>
      <c r="I447" s="4" t="s">
        <v>31</v>
      </c>
      <c r="J447" s="4" t="s">
        <v>2920</v>
      </c>
      <c r="K447" s="4" t="s">
        <v>33</v>
      </c>
      <c r="L447" s="4">
        <v>2</v>
      </c>
      <c r="M447" s="5">
        <v>74.97</v>
      </c>
      <c r="N447" s="4" t="s">
        <v>78</v>
      </c>
      <c r="O447" s="5">
        <v>7.5</v>
      </c>
      <c r="P447" s="5">
        <v>5.99</v>
      </c>
      <c r="Q447" s="5">
        <v>4.72</v>
      </c>
      <c r="R447" s="5">
        <v>78.180000000000007</v>
      </c>
      <c r="S447" s="4" t="s">
        <v>98</v>
      </c>
      <c r="T447" s="4" t="s">
        <v>50</v>
      </c>
      <c r="U447" s="4" t="s">
        <v>66</v>
      </c>
      <c r="V447" s="4" t="s">
        <v>858</v>
      </c>
      <c r="W447" s="5">
        <v>0</v>
      </c>
      <c r="X447" t="str">
        <f t="shared" si="18"/>
        <v>April</v>
      </c>
      <c r="Y447" t="str">
        <f t="shared" si="19"/>
        <v>Q2</v>
      </c>
      <c r="Z447" s="7">
        <f t="shared" si="20"/>
        <v>67.47</v>
      </c>
    </row>
    <row r="448" spans="1:26" x14ac:dyDescent="0.3">
      <c r="A448" s="2" t="s">
        <v>2921</v>
      </c>
      <c r="B448" s="8" t="s">
        <v>40</v>
      </c>
      <c r="C448" s="2" t="s">
        <v>2922</v>
      </c>
      <c r="D448" s="2" t="s">
        <v>2923</v>
      </c>
      <c r="E448" s="2" t="s">
        <v>2924</v>
      </c>
      <c r="F448" s="2" t="s">
        <v>2925</v>
      </c>
      <c r="G448" s="2" t="s">
        <v>224</v>
      </c>
      <c r="H448" s="2" t="s">
        <v>225</v>
      </c>
      <c r="I448" s="2" t="s">
        <v>31</v>
      </c>
      <c r="J448" s="2" t="s">
        <v>661</v>
      </c>
      <c r="K448" s="2" t="s">
        <v>143</v>
      </c>
      <c r="L448" s="2">
        <v>1</v>
      </c>
      <c r="M448" s="3">
        <v>79.989999999999995</v>
      </c>
      <c r="N448" s="2" t="s">
        <v>63</v>
      </c>
      <c r="O448" s="3">
        <v>20</v>
      </c>
      <c r="P448" s="3">
        <v>0</v>
      </c>
      <c r="Q448" s="3">
        <v>4.2</v>
      </c>
      <c r="R448" s="3">
        <v>64.19</v>
      </c>
      <c r="S448" s="2" t="s">
        <v>64</v>
      </c>
      <c r="T448" s="2" t="s">
        <v>36</v>
      </c>
      <c r="U448" s="2" t="s">
        <v>66</v>
      </c>
      <c r="V448" s="2" t="s">
        <v>52</v>
      </c>
      <c r="W448" s="3">
        <v>0</v>
      </c>
      <c r="X448" t="str">
        <f t="shared" si="18"/>
        <v>December</v>
      </c>
      <c r="Y448" t="str">
        <f t="shared" si="19"/>
        <v>Q4</v>
      </c>
      <c r="Z448" s="7">
        <f t="shared" si="20"/>
        <v>59.989999999999995</v>
      </c>
    </row>
    <row r="449" spans="1:26" x14ac:dyDescent="0.3">
      <c r="A449" s="4" t="s">
        <v>2926</v>
      </c>
      <c r="B449" s="9" t="s">
        <v>2240</v>
      </c>
      <c r="C449" s="4" t="s">
        <v>2927</v>
      </c>
      <c r="D449" s="4" t="s">
        <v>2928</v>
      </c>
      <c r="E449" s="4" t="s">
        <v>2929</v>
      </c>
      <c r="F449" s="4" t="s">
        <v>2930</v>
      </c>
      <c r="G449" s="4" t="s">
        <v>207</v>
      </c>
      <c r="H449" s="4" t="s">
        <v>141</v>
      </c>
      <c r="I449" s="4" t="s">
        <v>31</v>
      </c>
      <c r="J449" s="4" t="s">
        <v>2931</v>
      </c>
      <c r="K449" s="4" t="s">
        <v>122</v>
      </c>
      <c r="L449" s="4">
        <v>3</v>
      </c>
      <c r="M449" s="5">
        <v>284.95</v>
      </c>
      <c r="N449" s="4" t="s">
        <v>152</v>
      </c>
      <c r="O449" s="5">
        <v>14.25</v>
      </c>
      <c r="P449" s="5">
        <v>0</v>
      </c>
      <c r="Q449" s="5">
        <v>21.66</v>
      </c>
      <c r="R449" s="5">
        <v>292.36</v>
      </c>
      <c r="S449" s="4" t="s">
        <v>64</v>
      </c>
      <c r="T449" s="4" t="s">
        <v>65</v>
      </c>
      <c r="U449" s="4" t="s">
        <v>66</v>
      </c>
      <c r="V449" s="4" t="s">
        <v>619</v>
      </c>
      <c r="W449" s="5">
        <v>0</v>
      </c>
      <c r="X449" t="str">
        <f t="shared" si="18"/>
        <v>October</v>
      </c>
      <c r="Y449" t="str">
        <f t="shared" si="19"/>
        <v>Q4</v>
      </c>
      <c r="Z449" s="7">
        <f t="shared" si="20"/>
        <v>270.7</v>
      </c>
    </row>
    <row r="450" spans="1:26" x14ac:dyDescent="0.3">
      <c r="A450" s="2" t="s">
        <v>2932</v>
      </c>
      <c r="B450" s="8" t="s">
        <v>2210</v>
      </c>
      <c r="C450" s="2" t="s">
        <v>2933</v>
      </c>
      <c r="D450" s="2" t="s">
        <v>2934</v>
      </c>
      <c r="E450" s="2" t="s">
        <v>2935</v>
      </c>
      <c r="F450" s="2" t="s">
        <v>2936</v>
      </c>
      <c r="G450" s="2" t="s">
        <v>74</v>
      </c>
      <c r="H450" s="2" t="s">
        <v>75</v>
      </c>
      <c r="I450" s="2" t="s">
        <v>31</v>
      </c>
      <c r="J450" s="2" t="s">
        <v>1572</v>
      </c>
      <c r="K450" s="2" t="s">
        <v>143</v>
      </c>
      <c r="L450" s="2">
        <v>2</v>
      </c>
      <c r="M450" s="3">
        <v>157.97999999999999</v>
      </c>
      <c r="N450" s="2" t="s">
        <v>34</v>
      </c>
      <c r="O450" s="3">
        <v>0</v>
      </c>
      <c r="P450" s="3">
        <v>0</v>
      </c>
      <c r="Q450" s="3">
        <v>9.48</v>
      </c>
      <c r="R450" s="3">
        <v>167.46</v>
      </c>
      <c r="S450" s="2" t="s">
        <v>35</v>
      </c>
      <c r="T450" s="2" t="s">
        <v>173</v>
      </c>
      <c r="U450" s="2" t="s">
        <v>100</v>
      </c>
      <c r="V450" s="2"/>
      <c r="W450" s="3">
        <v>0</v>
      </c>
      <c r="X450" t="str">
        <f t="shared" si="18"/>
        <v>September</v>
      </c>
      <c r="Y450" t="str">
        <f t="shared" si="19"/>
        <v>Q3</v>
      </c>
      <c r="Z450" s="7">
        <f t="shared" si="20"/>
        <v>157.97999999999999</v>
      </c>
    </row>
    <row r="451" spans="1:26" x14ac:dyDescent="0.3">
      <c r="A451" s="4" t="s">
        <v>2937</v>
      </c>
      <c r="B451" s="9" t="s">
        <v>536</v>
      </c>
      <c r="C451" s="4" t="s">
        <v>2938</v>
      </c>
      <c r="D451" s="4" t="s">
        <v>2939</v>
      </c>
      <c r="E451" s="4" t="s">
        <v>2940</v>
      </c>
      <c r="F451" s="4" t="s">
        <v>2941</v>
      </c>
      <c r="G451" s="4" t="s">
        <v>180</v>
      </c>
      <c r="H451" s="4" t="s">
        <v>181</v>
      </c>
      <c r="I451" s="4" t="s">
        <v>31</v>
      </c>
      <c r="J451" s="4" t="s">
        <v>2942</v>
      </c>
      <c r="K451" s="4" t="s">
        <v>364</v>
      </c>
      <c r="L451" s="4">
        <v>5</v>
      </c>
      <c r="M451" s="5">
        <v>204.95</v>
      </c>
      <c r="N451" s="4" t="s">
        <v>34</v>
      </c>
      <c r="O451" s="5">
        <v>0</v>
      </c>
      <c r="P451" s="5">
        <v>0</v>
      </c>
      <c r="Q451" s="5">
        <v>18.45</v>
      </c>
      <c r="R451" s="5">
        <v>223.4</v>
      </c>
      <c r="S451" s="4" t="s">
        <v>332</v>
      </c>
      <c r="T451" s="4" t="s">
        <v>50</v>
      </c>
      <c r="U451" s="4" t="s">
        <v>66</v>
      </c>
      <c r="V451" s="4" t="s">
        <v>1469</v>
      </c>
      <c r="W451" s="5">
        <v>0</v>
      </c>
      <c r="X451" t="str">
        <f t="shared" ref="X451:X514" si="21">TEXT(B451,"MMMM")</f>
        <v>March</v>
      </c>
      <c r="Y451" t="str">
        <f t="shared" ref="Y451:Y514" si="22">IF(MONTH(B451)&lt;=3,"Q1",IF(MONTH(B451)&lt;=6,"Q2",IF(MONTH(B451)&lt;=9,"Q3","Q4")))</f>
        <v>Q1</v>
      </c>
      <c r="Z451" s="7">
        <f t="shared" ref="Z451:Z514" si="23">M451-O451</f>
        <v>204.95</v>
      </c>
    </row>
    <row r="452" spans="1:26" x14ac:dyDescent="0.3">
      <c r="A452" s="2" t="s">
        <v>2943</v>
      </c>
      <c r="B452" s="8" t="s">
        <v>671</v>
      </c>
      <c r="C452" s="2" t="s">
        <v>2944</v>
      </c>
      <c r="D452" s="2" t="s">
        <v>2945</v>
      </c>
      <c r="E452" s="2" t="s">
        <v>2946</v>
      </c>
      <c r="F452" s="2" t="s">
        <v>2947</v>
      </c>
      <c r="G452" s="2" t="s">
        <v>224</v>
      </c>
      <c r="H452" s="2" t="s">
        <v>225</v>
      </c>
      <c r="I452" s="2" t="s">
        <v>31</v>
      </c>
      <c r="J452" s="2" t="s">
        <v>2948</v>
      </c>
      <c r="K452" s="2" t="s">
        <v>110</v>
      </c>
      <c r="L452" s="2">
        <v>3</v>
      </c>
      <c r="M452" s="3">
        <v>72.97</v>
      </c>
      <c r="N452" s="2" t="s">
        <v>34</v>
      </c>
      <c r="O452" s="3">
        <v>0</v>
      </c>
      <c r="P452" s="3">
        <v>4.99</v>
      </c>
      <c r="Q452" s="3">
        <v>6.2</v>
      </c>
      <c r="R452" s="3">
        <v>84.16</v>
      </c>
      <c r="S452" s="2" t="s">
        <v>35</v>
      </c>
      <c r="T452" s="2" t="s">
        <v>183</v>
      </c>
      <c r="U452" s="2" t="s">
        <v>66</v>
      </c>
      <c r="V452" s="2" t="s">
        <v>736</v>
      </c>
      <c r="W452" s="3">
        <v>0</v>
      </c>
      <c r="X452" t="str">
        <f t="shared" si="21"/>
        <v>January</v>
      </c>
      <c r="Y452" t="str">
        <f t="shared" si="22"/>
        <v>Q1</v>
      </c>
      <c r="Z452" s="7">
        <f t="shared" si="23"/>
        <v>72.97</v>
      </c>
    </row>
    <row r="453" spans="1:26" x14ac:dyDescent="0.3">
      <c r="A453" s="4" t="s">
        <v>2949</v>
      </c>
      <c r="B453" s="9" t="s">
        <v>2950</v>
      </c>
      <c r="C453" s="4" t="s">
        <v>2951</v>
      </c>
      <c r="D453" s="4" t="s">
        <v>2952</v>
      </c>
      <c r="E453" s="4" t="s">
        <v>2953</v>
      </c>
      <c r="F453" s="4" t="s">
        <v>2954</v>
      </c>
      <c r="G453" s="4" t="s">
        <v>59</v>
      </c>
      <c r="H453" s="4" t="s">
        <v>60</v>
      </c>
      <c r="I453" s="4" t="s">
        <v>31</v>
      </c>
      <c r="J453" s="4" t="s">
        <v>2955</v>
      </c>
      <c r="K453" s="4" t="s">
        <v>143</v>
      </c>
      <c r="L453" s="4">
        <v>2</v>
      </c>
      <c r="M453" s="5">
        <v>104.98</v>
      </c>
      <c r="N453" s="4" t="s">
        <v>34</v>
      </c>
      <c r="O453" s="5">
        <v>0</v>
      </c>
      <c r="P453" s="5">
        <v>0</v>
      </c>
      <c r="Q453" s="5">
        <v>9.4499999999999993</v>
      </c>
      <c r="R453" s="5">
        <v>114.43</v>
      </c>
      <c r="S453" s="4" t="s">
        <v>332</v>
      </c>
      <c r="T453" s="4" t="s">
        <v>99</v>
      </c>
      <c r="U453" s="4" t="s">
        <v>66</v>
      </c>
      <c r="V453" s="4" t="s">
        <v>744</v>
      </c>
      <c r="W453" s="5">
        <v>0</v>
      </c>
      <c r="X453" t="str">
        <f t="shared" si="21"/>
        <v>February</v>
      </c>
      <c r="Y453" t="str">
        <f t="shared" si="22"/>
        <v>Q1</v>
      </c>
      <c r="Z453" s="7">
        <f t="shared" si="23"/>
        <v>104.98</v>
      </c>
    </row>
    <row r="454" spans="1:26" x14ac:dyDescent="0.3">
      <c r="A454" s="2" t="s">
        <v>2956</v>
      </c>
      <c r="B454" s="8" t="s">
        <v>2957</v>
      </c>
      <c r="C454" s="2" t="s">
        <v>2958</v>
      </c>
      <c r="D454" s="2" t="s">
        <v>2959</v>
      </c>
      <c r="E454" s="2" t="s">
        <v>2960</v>
      </c>
      <c r="F454" s="2" t="s">
        <v>2961</v>
      </c>
      <c r="G454" s="2" t="s">
        <v>802</v>
      </c>
      <c r="H454" s="2" t="s">
        <v>88</v>
      </c>
      <c r="I454" s="2" t="s">
        <v>31</v>
      </c>
      <c r="J454" s="2" t="s">
        <v>2962</v>
      </c>
      <c r="K454" s="2" t="s">
        <v>77</v>
      </c>
      <c r="L454" s="2">
        <v>2</v>
      </c>
      <c r="M454" s="3">
        <v>64.98</v>
      </c>
      <c r="N454" s="2" t="s">
        <v>152</v>
      </c>
      <c r="O454" s="3">
        <v>3.25</v>
      </c>
      <c r="P454" s="3">
        <v>4.99</v>
      </c>
      <c r="Q454" s="3">
        <v>5.56</v>
      </c>
      <c r="R454" s="3">
        <v>72.28</v>
      </c>
      <c r="S454" s="2" t="s">
        <v>332</v>
      </c>
      <c r="T454" s="2" t="s">
        <v>99</v>
      </c>
      <c r="U454" s="2" t="s">
        <v>66</v>
      </c>
      <c r="V454" s="2" t="s">
        <v>2963</v>
      </c>
      <c r="W454" s="3">
        <v>0</v>
      </c>
      <c r="X454" t="str">
        <f t="shared" si="21"/>
        <v>January</v>
      </c>
      <c r="Y454" t="str">
        <f t="shared" si="22"/>
        <v>Q1</v>
      </c>
      <c r="Z454" s="7">
        <f t="shared" si="23"/>
        <v>61.730000000000004</v>
      </c>
    </row>
    <row r="455" spans="1:26" x14ac:dyDescent="0.3">
      <c r="A455" s="4" t="s">
        <v>2964</v>
      </c>
      <c r="B455" s="9" t="s">
        <v>2965</v>
      </c>
      <c r="C455" s="4" t="s">
        <v>2966</v>
      </c>
      <c r="D455" s="4" t="s">
        <v>2967</v>
      </c>
      <c r="E455" s="4" t="s">
        <v>2968</v>
      </c>
      <c r="F455" s="4" t="s">
        <v>2969</v>
      </c>
      <c r="G455" s="4" t="s">
        <v>45</v>
      </c>
      <c r="H455" s="4" t="s">
        <v>46</v>
      </c>
      <c r="I455" s="4" t="s">
        <v>31</v>
      </c>
      <c r="J455" s="4" t="s">
        <v>1340</v>
      </c>
      <c r="K455" s="4" t="s">
        <v>209</v>
      </c>
      <c r="L455" s="4">
        <v>1</v>
      </c>
      <c r="M455" s="5">
        <v>119.99</v>
      </c>
      <c r="N455" s="4" t="s">
        <v>49</v>
      </c>
      <c r="O455" s="5">
        <v>18</v>
      </c>
      <c r="P455" s="5">
        <v>0</v>
      </c>
      <c r="Q455" s="5">
        <v>9.18</v>
      </c>
      <c r="R455" s="5">
        <v>111.17</v>
      </c>
      <c r="S455" s="4" t="s">
        <v>437</v>
      </c>
      <c r="T455" s="4" t="s">
        <v>144</v>
      </c>
      <c r="U455" s="4" t="s">
        <v>66</v>
      </c>
      <c r="V455" s="4" t="s">
        <v>527</v>
      </c>
      <c r="W455" s="5">
        <v>0</v>
      </c>
      <c r="X455" t="str">
        <f t="shared" si="21"/>
        <v>November</v>
      </c>
      <c r="Y455" t="str">
        <f t="shared" si="22"/>
        <v>Q4</v>
      </c>
      <c r="Z455" s="7">
        <f t="shared" si="23"/>
        <v>101.99</v>
      </c>
    </row>
    <row r="456" spans="1:26" x14ac:dyDescent="0.3">
      <c r="A456" s="2" t="s">
        <v>2970</v>
      </c>
      <c r="B456" s="8" t="s">
        <v>2412</v>
      </c>
      <c r="C456" s="2" t="s">
        <v>2971</v>
      </c>
      <c r="D456" s="2" t="s">
        <v>2972</v>
      </c>
      <c r="E456" s="2" t="s">
        <v>2973</v>
      </c>
      <c r="F456" s="2" t="s">
        <v>2974</v>
      </c>
      <c r="G456" s="2" t="s">
        <v>190</v>
      </c>
      <c r="H456" s="2" t="s">
        <v>161</v>
      </c>
      <c r="I456" s="2" t="s">
        <v>31</v>
      </c>
      <c r="J456" s="2" t="s">
        <v>2975</v>
      </c>
      <c r="K456" s="2" t="s">
        <v>143</v>
      </c>
      <c r="L456" s="2">
        <v>5</v>
      </c>
      <c r="M456" s="3">
        <v>379.94</v>
      </c>
      <c r="N456" s="2" t="s">
        <v>34</v>
      </c>
      <c r="O456" s="3">
        <v>0</v>
      </c>
      <c r="P456" s="3">
        <v>0</v>
      </c>
      <c r="Q456" s="3">
        <v>37.99</v>
      </c>
      <c r="R456" s="3">
        <v>417.93</v>
      </c>
      <c r="S456" s="2" t="s">
        <v>79</v>
      </c>
      <c r="T456" s="2" t="s">
        <v>183</v>
      </c>
      <c r="U456" s="2" t="s">
        <v>51</v>
      </c>
      <c r="V456" s="2" t="s">
        <v>498</v>
      </c>
      <c r="W456" s="3">
        <v>0</v>
      </c>
      <c r="X456" t="str">
        <f t="shared" si="21"/>
        <v>May</v>
      </c>
      <c r="Y456" t="str">
        <f t="shared" si="22"/>
        <v>Q2</v>
      </c>
      <c r="Z456" s="7">
        <f t="shared" si="23"/>
        <v>379.94</v>
      </c>
    </row>
    <row r="457" spans="1:26" x14ac:dyDescent="0.3">
      <c r="A457" s="4" t="s">
        <v>2976</v>
      </c>
      <c r="B457" s="9" t="s">
        <v>1000</v>
      </c>
      <c r="C457" s="4" t="s">
        <v>2977</v>
      </c>
      <c r="D457" s="4" t="s">
        <v>2978</v>
      </c>
      <c r="E457" s="4" t="s">
        <v>2979</v>
      </c>
      <c r="F457" s="4" t="s">
        <v>2980</v>
      </c>
      <c r="G457" s="4" t="s">
        <v>74</v>
      </c>
      <c r="H457" s="4" t="s">
        <v>75</v>
      </c>
      <c r="I457" s="4" t="s">
        <v>31</v>
      </c>
      <c r="J457" s="4" t="s">
        <v>1141</v>
      </c>
      <c r="K457" s="4" t="s">
        <v>122</v>
      </c>
      <c r="L457" s="4">
        <v>1</v>
      </c>
      <c r="M457" s="5">
        <v>74.989999999999995</v>
      </c>
      <c r="N457" s="4" t="s">
        <v>34</v>
      </c>
      <c r="O457" s="5">
        <v>0</v>
      </c>
      <c r="P457" s="5">
        <v>9.99</v>
      </c>
      <c r="Q457" s="5">
        <v>5.25</v>
      </c>
      <c r="R457" s="5">
        <v>90.23</v>
      </c>
      <c r="S457" s="4" t="s">
        <v>79</v>
      </c>
      <c r="T457" s="4" t="s">
        <v>36</v>
      </c>
      <c r="U457" s="4" t="s">
        <v>66</v>
      </c>
      <c r="V457" s="4" t="s">
        <v>764</v>
      </c>
      <c r="W457" s="5">
        <v>0</v>
      </c>
      <c r="X457" t="str">
        <f t="shared" si="21"/>
        <v>April</v>
      </c>
      <c r="Y457" t="str">
        <f t="shared" si="22"/>
        <v>Q2</v>
      </c>
      <c r="Z457" s="7">
        <f t="shared" si="23"/>
        <v>74.989999999999995</v>
      </c>
    </row>
    <row r="458" spans="1:26" x14ac:dyDescent="0.3">
      <c r="A458" s="2" t="s">
        <v>2981</v>
      </c>
      <c r="B458" s="8" t="s">
        <v>562</v>
      </c>
      <c r="C458" s="2" t="s">
        <v>2982</v>
      </c>
      <c r="D458" s="2" t="s">
        <v>2983</v>
      </c>
      <c r="E458" s="2" t="s">
        <v>2984</v>
      </c>
      <c r="F458" s="2" t="s">
        <v>2985</v>
      </c>
      <c r="G458" s="2" t="s">
        <v>242</v>
      </c>
      <c r="H458" s="2" t="s">
        <v>243</v>
      </c>
      <c r="I458" s="2" t="s">
        <v>31</v>
      </c>
      <c r="J458" s="2" t="s">
        <v>379</v>
      </c>
      <c r="K458" s="2" t="s">
        <v>209</v>
      </c>
      <c r="L458" s="2">
        <v>1</v>
      </c>
      <c r="M458" s="3">
        <v>89.99</v>
      </c>
      <c r="N458" s="2" t="s">
        <v>34</v>
      </c>
      <c r="O458" s="3">
        <v>0</v>
      </c>
      <c r="P458" s="3">
        <v>0</v>
      </c>
      <c r="Q458" s="3">
        <v>7.2</v>
      </c>
      <c r="R458" s="3">
        <v>97.19</v>
      </c>
      <c r="S458" s="2" t="s">
        <v>35</v>
      </c>
      <c r="T458" s="2" t="s">
        <v>99</v>
      </c>
      <c r="U458" s="2" t="s">
        <v>66</v>
      </c>
      <c r="V458" s="2" t="s">
        <v>1458</v>
      </c>
      <c r="W458" s="3">
        <v>0</v>
      </c>
      <c r="X458" t="str">
        <f t="shared" si="21"/>
        <v>June</v>
      </c>
      <c r="Y458" t="str">
        <f t="shared" si="22"/>
        <v>Q2</v>
      </c>
      <c r="Z458" s="7">
        <f t="shared" si="23"/>
        <v>89.99</v>
      </c>
    </row>
    <row r="459" spans="1:26" x14ac:dyDescent="0.3">
      <c r="A459" s="4" t="s">
        <v>2986</v>
      </c>
      <c r="B459" s="9" t="s">
        <v>635</v>
      </c>
      <c r="C459" s="4" t="s">
        <v>2987</v>
      </c>
      <c r="D459" s="4" t="s">
        <v>2988</v>
      </c>
      <c r="E459" s="4" t="s">
        <v>2989</v>
      </c>
      <c r="F459" s="4" t="s">
        <v>2990</v>
      </c>
      <c r="G459" s="4" t="s">
        <v>1183</v>
      </c>
      <c r="H459" s="4" t="s">
        <v>88</v>
      </c>
      <c r="I459" s="4" t="s">
        <v>31</v>
      </c>
      <c r="J459" s="4" t="s">
        <v>2991</v>
      </c>
      <c r="K459" s="4" t="s">
        <v>33</v>
      </c>
      <c r="L459" s="4">
        <v>4</v>
      </c>
      <c r="M459" s="5">
        <v>245.95</v>
      </c>
      <c r="N459" s="4" t="s">
        <v>34</v>
      </c>
      <c r="O459" s="5">
        <v>0</v>
      </c>
      <c r="P459" s="5">
        <v>0</v>
      </c>
      <c r="Q459" s="5">
        <v>14.76</v>
      </c>
      <c r="R459" s="5">
        <v>260.70999999999998</v>
      </c>
      <c r="S459" s="4" t="s">
        <v>111</v>
      </c>
      <c r="T459" s="4" t="s">
        <v>99</v>
      </c>
      <c r="U459" s="4" t="s">
        <v>66</v>
      </c>
      <c r="V459" s="4" t="s">
        <v>641</v>
      </c>
      <c r="W459" s="5">
        <v>0</v>
      </c>
      <c r="X459" t="str">
        <f t="shared" si="21"/>
        <v>March</v>
      </c>
      <c r="Y459" t="str">
        <f t="shared" si="22"/>
        <v>Q1</v>
      </c>
      <c r="Z459" s="7">
        <f t="shared" si="23"/>
        <v>245.95</v>
      </c>
    </row>
    <row r="460" spans="1:26" x14ac:dyDescent="0.3">
      <c r="A460" s="2" t="s">
        <v>2992</v>
      </c>
      <c r="B460" s="8" t="s">
        <v>2083</v>
      </c>
      <c r="C460" s="2" t="s">
        <v>2993</v>
      </c>
      <c r="D460" s="2" t="s">
        <v>1452</v>
      </c>
      <c r="E460" s="2" t="s">
        <v>2994</v>
      </c>
      <c r="F460" s="2" t="s">
        <v>2995</v>
      </c>
      <c r="G460" s="2" t="s">
        <v>242</v>
      </c>
      <c r="H460" s="2" t="s">
        <v>243</v>
      </c>
      <c r="I460" s="2" t="s">
        <v>31</v>
      </c>
      <c r="J460" s="2" t="s">
        <v>2996</v>
      </c>
      <c r="K460" s="2" t="s">
        <v>62</v>
      </c>
      <c r="L460" s="2">
        <v>5</v>
      </c>
      <c r="M460" s="3">
        <v>197.92</v>
      </c>
      <c r="N460" s="2" t="s">
        <v>78</v>
      </c>
      <c r="O460" s="3">
        <v>19.79</v>
      </c>
      <c r="P460" s="3">
        <v>0</v>
      </c>
      <c r="Q460" s="3">
        <v>14.25</v>
      </c>
      <c r="R460" s="3">
        <v>192.38</v>
      </c>
      <c r="S460" s="2" t="s">
        <v>64</v>
      </c>
      <c r="T460" s="2" t="s">
        <v>325</v>
      </c>
      <c r="U460" s="2" t="s">
        <v>66</v>
      </c>
      <c r="V460" s="2" t="s">
        <v>521</v>
      </c>
      <c r="W460" s="3">
        <v>0</v>
      </c>
      <c r="X460" t="str">
        <f t="shared" si="21"/>
        <v>November</v>
      </c>
      <c r="Y460" t="str">
        <f t="shared" si="22"/>
        <v>Q4</v>
      </c>
      <c r="Z460" s="7">
        <f t="shared" si="23"/>
        <v>178.13</v>
      </c>
    </row>
    <row r="461" spans="1:26" x14ac:dyDescent="0.3">
      <c r="A461" s="4" t="s">
        <v>2997</v>
      </c>
      <c r="B461" s="9" t="s">
        <v>572</v>
      </c>
      <c r="C461" s="4" t="s">
        <v>2998</v>
      </c>
      <c r="D461" s="4" t="s">
        <v>2212</v>
      </c>
      <c r="E461" s="4" t="s">
        <v>2999</v>
      </c>
      <c r="F461" s="4" t="s">
        <v>3000</v>
      </c>
      <c r="G461" s="4" t="s">
        <v>242</v>
      </c>
      <c r="H461" s="4" t="s">
        <v>243</v>
      </c>
      <c r="I461" s="4" t="s">
        <v>31</v>
      </c>
      <c r="J461" s="4" t="s">
        <v>3001</v>
      </c>
      <c r="K461" s="4" t="s">
        <v>122</v>
      </c>
      <c r="L461" s="4">
        <v>2</v>
      </c>
      <c r="M461" s="5">
        <v>164.98</v>
      </c>
      <c r="N461" s="4" t="s">
        <v>152</v>
      </c>
      <c r="O461" s="5">
        <v>8.25</v>
      </c>
      <c r="P461" s="5">
        <v>0</v>
      </c>
      <c r="Q461" s="5">
        <v>13.32</v>
      </c>
      <c r="R461" s="5">
        <v>170.05</v>
      </c>
      <c r="S461" s="4" t="s">
        <v>35</v>
      </c>
      <c r="T461" s="4" t="s">
        <v>99</v>
      </c>
      <c r="U461" s="4" t="s">
        <v>100</v>
      </c>
      <c r="V461" s="4"/>
      <c r="W461" s="5">
        <v>0</v>
      </c>
      <c r="X461" t="str">
        <f t="shared" si="21"/>
        <v>January</v>
      </c>
      <c r="Y461" t="str">
        <f t="shared" si="22"/>
        <v>Q1</v>
      </c>
      <c r="Z461" s="7">
        <f t="shared" si="23"/>
        <v>156.72999999999999</v>
      </c>
    </row>
    <row r="462" spans="1:26" x14ac:dyDescent="0.3">
      <c r="A462" s="2" t="s">
        <v>3002</v>
      </c>
      <c r="B462" s="8" t="s">
        <v>498</v>
      </c>
      <c r="C462" s="2" t="s">
        <v>3003</v>
      </c>
      <c r="D462" s="2" t="s">
        <v>3004</v>
      </c>
      <c r="E462" s="2" t="s">
        <v>3005</v>
      </c>
      <c r="F462" s="2" t="s">
        <v>3006</v>
      </c>
      <c r="G462" s="2" t="s">
        <v>171</v>
      </c>
      <c r="H462" s="2" t="s">
        <v>88</v>
      </c>
      <c r="I462" s="2" t="s">
        <v>31</v>
      </c>
      <c r="J462" s="2" t="s">
        <v>3007</v>
      </c>
      <c r="K462" s="2" t="s">
        <v>679</v>
      </c>
      <c r="L462" s="2">
        <v>2</v>
      </c>
      <c r="M462" s="3">
        <v>89.98</v>
      </c>
      <c r="N462" s="2" t="s">
        <v>163</v>
      </c>
      <c r="O462" s="3">
        <v>18</v>
      </c>
      <c r="P462" s="3">
        <v>0</v>
      </c>
      <c r="Q462" s="3">
        <v>7.2</v>
      </c>
      <c r="R462" s="3">
        <v>79.180000000000007</v>
      </c>
      <c r="S462" s="2" t="s">
        <v>437</v>
      </c>
      <c r="T462" s="2" t="s">
        <v>173</v>
      </c>
      <c r="U462" s="2" t="s">
        <v>317</v>
      </c>
      <c r="V462" s="2"/>
      <c r="W462" s="3">
        <v>0</v>
      </c>
      <c r="X462" t="str">
        <f t="shared" si="21"/>
        <v>May</v>
      </c>
      <c r="Y462" t="str">
        <f t="shared" si="22"/>
        <v>Q2</v>
      </c>
      <c r="Z462" s="7">
        <f t="shared" si="23"/>
        <v>71.98</v>
      </c>
    </row>
    <row r="463" spans="1:26" x14ac:dyDescent="0.3">
      <c r="A463" s="4" t="s">
        <v>3008</v>
      </c>
      <c r="B463" s="9" t="s">
        <v>3009</v>
      </c>
      <c r="C463" s="4" t="s">
        <v>3010</v>
      </c>
      <c r="D463" s="4" t="s">
        <v>3011</v>
      </c>
      <c r="E463" s="4" t="s">
        <v>3012</v>
      </c>
      <c r="F463" s="4" t="s">
        <v>3013</v>
      </c>
      <c r="G463" s="4" t="s">
        <v>291</v>
      </c>
      <c r="H463" s="4" t="s">
        <v>292</v>
      </c>
      <c r="I463" s="4" t="s">
        <v>31</v>
      </c>
      <c r="J463" s="4" t="s">
        <v>1232</v>
      </c>
      <c r="K463" s="4" t="s">
        <v>77</v>
      </c>
      <c r="L463" s="4">
        <v>1</v>
      </c>
      <c r="M463" s="5">
        <v>34.99</v>
      </c>
      <c r="N463" s="4" t="s">
        <v>49</v>
      </c>
      <c r="O463" s="5">
        <v>5.25</v>
      </c>
      <c r="P463" s="5">
        <v>5.99</v>
      </c>
      <c r="Q463" s="5">
        <v>2.38</v>
      </c>
      <c r="R463" s="5">
        <v>38.11</v>
      </c>
      <c r="S463" s="4" t="s">
        <v>35</v>
      </c>
      <c r="T463" s="4" t="s">
        <v>99</v>
      </c>
      <c r="U463" s="4" t="s">
        <v>66</v>
      </c>
      <c r="V463" s="4" t="s">
        <v>1580</v>
      </c>
      <c r="W463" s="5">
        <v>0</v>
      </c>
      <c r="X463" t="str">
        <f t="shared" si="21"/>
        <v>April</v>
      </c>
      <c r="Y463" t="str">
        <f t="shared" si="22"/>
        <v>Q2</v>
      </c>
      <c r="Z463" s="7">
        <f t="shared" si="23"/>
        <v>29.740000000000002</v>
      </c>
    </row>
    <row r="464" spans="1:26" x14ac:dyDescent="0.3">
      <c r="A464" s="2" t="s">
        <v>3014</v>
      </c>
      <c r="B464" s="8" t="s">
        <v>1703</v>
      </c>
      <c r="C464" s="2" t="s">
        <v>3015</v>
      </c>
      <c r="D464" s="2" t="s">
        <v>3016</v>
      </c>
      <c r="E464" s="2" t="s">
        <v>3017</v>
      </c>
      <c r="F464" s="2" t="s">
        <v>3018</v>
      </c>
      <c r="G464" s="2" t="s">
        <v>1730</v>
      </c>
      <c r="H464" s="2" t="s">
        <v>161</v>
      </c>
      <c r="I464" s="2" t="s">
        <v>31</v>
      </c>
      <c r="J464" s="2" t="s">
        <v>3019</v>
      </c>
      <c r="K464" s="2" t="s">
        <v>364</v>
      </c>
      <c r="L464" s="2">
        <v>2</v>
      </c>
      <c r="M464" s="3">
        <v>67.97</v>
      </c>
      <c r="N464" s="2" t="s">
        <v>49</v>
      </c>
      <c r="O464" s="3">
        <v>10.199999999999999</v>
      </c>
      <c r="P464" s="3">
        <v>4.99</v>
      </c>
      <c r="Q464" s="3">
        <v>4.04</v>
      </c>
      <c r="R464" s="3">
        <v>66.8</v>
      </c>
      <c r="S464" s="2" t="s">
        <v>123</v>
      </c>
      <c r="T464" s="2" t="s">
        <v>99</v>
      </c>
      <c r="U464" s="2" t="s">
        <v>66</v>
      </c>
      <c r="V464" s="2" t="s">
        <v>1671</v>
      </c>
      <c r="W464" s="3">
        <v>0</v>
      </c>
      <c r="X464" t="str">
        <f t="shared" si="21"/>
        <v>June</v>
      </c>
      <c r="Y464" t="str">
        <f t="shared" si="22"/>
        <v>Q2</v>
      </c>
      <c r="Z464" s="7">
        <f t="shared" si="23"/>
        <v>57.769999999999996</v>
      </c>
    </row>
    <row r="465" spans="1:26" x14ac:dyDescent="0.3">
      <c r="A465" s="4" t="s">
        <v>3020</v>
      </c>
      <c r="B465" s="9" t="s">
        <v>1341</v>
      </c>
      <c r="C465" s="4" t="s">
        <v>3021</v>
      </c>
      <c r="D465" s="4" t="s">
        <v>712</v>
      </c>
      <c r="E465" s="4" t="s">
        <v>3022</v>
      </c>
      <c r="F465" s="4" t="s">
        <v>3023</v>
      </c>
      <c r="G465" s="4" t="s">
        <v>107</v>
      </c>
      <c r="H465" s="4" t="s">
        <v>108</v>
      </c>
      <c r="I465" s="4" t="s">
        <v>31</v>
      </c>
      <c r="J465" s="4" t="s">
        <v>1269</v>
      </c>
      <c r="K465" s="4" t="s">
        <v>77</v>
      </c>
      <c r="L465" s="4">
        <v>1</v>
      </c>
      <c r="M465" s="5">
        <v>27.99</v>
      </c>
      <c r="N465" s="4" t="s">
        <v>34</v>
      </c>
      <c r="O465" s="5">
        <v>0</v>
      </c>
      <c r="P465" s="5">
        <v>7.99</v>
      </c>
      <c r="Q465" s="5">
        <v>1.96</v>
      </c>
      <c r="R465" s="5">
        <v>37.94</v>
      </c>
      <c r="S465" s="4" t="s">
        <v>64</v>
      </c>
      <c r="T465" s="4" t="s">
        <v>99</v>
      </c>
      <c r="U465" s="4" t="s">
        <v>66</v>
      </c>
      <c r="V465" s="4" t="s">
        <v>1488</v>
      </c>
      <c r="W465" s="5">
        <v>0</v>
      </c>
      <c r="X465" t="str">
        <f t="shared" si="21"/>
        <v>February</v>
      </c>
      <c r="Y465" t="str">
        <f t="shared" si="22"/>
        <v>Q1</v>
      </c>
      <c r="Z465" s="7">
        <f t="shared" si="23"/>
        <v>27.99</v>
      </c>
    </row>
    <row r="466" spans="1:26" x14ac:dyDescent="0.3">
      <c r="A466" s="2" t="s">
        <v>3024</v>
      </c>
      <c r="B466" s="8" t="s">
        <v>1377</v>
      </c>
      <c r="C466" s="2" t="s">
        <v>3025</v>
      </c>
      <c r="D466" s="2" t="s">
        <v>3026</v>
      </c>
      <c r="E466" s="2" t="s">
        <v>3027</v>
      </c>
      <c r="F466" s="2" t="s">
        <v>3028</v>
      </c>
      <c r="G466" s="2" t="s">
        <v>251</v>
      </c>
      <c r="H466" s="2" t="s">
        <v>252</v>
      </c>
      <c r="I466" s="2" t="s">
        <v>31</v>
      </c>
      <c r="J466" s="2" t="s">
        <v>3029</v>
      </c>
      <c r="K466" s="2" t="s">
        <v>364</v>
      </c>
      <c r="L466" s="2">
        <v>1</v>
      </c>
      <c r="M466" s="3">
        <v>134.97</v>
      </c>
      <c r="N466" s="2" t="s">
        <v>152</v>
      </c>
      <c r="O466" s="3">
        <v>6.75</v>
      </c>
      <c r="P466" s="3">
        <v>0</v>
      </c>
      <c r="Q466" s="3">
        <v>12.82</v>
      </c>
      <c r="R466" s="3">
        <v>141.04</v>
      </c>
      <c r="S466" s="2" t="s">
        <v>35</v>
      </c>
      <c r="T466" s="2" t="s">
        <v>36</v>
      </c>
      <c r="U466" s="2" t="s">
        <v>66</v>
      </c>
      <c r="V466" s="2" t="s">
        <v>2325</v>
      </c>
      <c r="W466" s="3">
        <v>0</v>
      </c>
      <c r="X466" t="str">
        <f t="shared" si="21"/>
        <v>November</v>
      </c>
      <c r="Y466" t="str">
        <f t="shared" si="22"/>
        <v>Q4</v>
      </c>
      <c r="Z466" s="7">
        <f t="shared" si="23"/>
        <v>128.22</v>
      </c>
    </row>
    <row r="467" spans="1:26" x14ac:dyDescent="0.3">
      <c r="A467" s="4" t="s">
        <v>3030</v>
      </c>
      <c r="B467" s="9" t="s">
        <v>114</v>
      </c>
      <c r="C467" s="4" t="s">
        <v>3031</v>
      </c>
      <c r="D467" s="4" t="s">
        <v>3032</v>
      </c>
      <c r="E467" s="4" t="s">
        <v>3033</v>
      </c>
      <c r="F467" s="4" t="s">
        <v>3034</v>
      </c>
      <c r="G467" s="4" t="s">
        <v>640</v>
      </c>
      <c r="H467" s="4" t="s">
        <v>161</v>
      </c>
      <c r="I467" s="4" t="s">
        <v>31</v>
      </c>
      <c r="J467" s="4" t="s">
        <v>3035</v>
      </c>
      <c r="K467" s="4" t="s">
        <v>77</v>
      </c>
      <c r="L467" s="4">
        <v>3</v>
      </c>
      <c r="M467" s="5">
        <v>127.96</v>
      </c>
      <c r="N467" s="4" t="s">
        <v>49</v>
      </c>
      <c r="O467" s="5">
        <v>19.190000000000001</v>
      </c>
      <c r="P467" s="5">
        <v>0</v>
      </c>
      <c r="Q467" s="5">
        <v>7.61</v>
      </c>
      <c r="R467" s="5">
        <v>116.38</v>
      </c>
      <c r="S467" s="4" t="s">
        <v>123</v>
      </c>
      <c r="T467" s="4" t="s">
        <v>65</v>
      </c>
      <c r="U467" s="4" t="s">
        <v>66</v>
      </c>
      <c r="V467" s="4" t="s">
        <v>2240</v>
      </c>
      <c r="W467" s="5">
        <v>0</v>
      </c>
      <c r="X467" t="str">
        <f t="shared" si="21"/>
        <v>October</v>
      </c>
      <c r="Y467" t="str">
        <f t="shared" si="22"/>
        <v>Q4</v>
      </c>
      <c r="Z467" s="7">
        <f t="shared" si="23"/>
        <v>108.77</v>
      </c>
    </row>
    <row r="468" spans="1:26" x14ac:dyDescent="0.3">
      <c r="A468" s="2" t="s">
        <v>3036</v>
      </c>
      <c r="B468" s="8" t="s">
        <v>1477</v>
      </c>
      <c r="C468" s="2" t="s">
        <v>3037</v>
      </c>
      <c r="D468" s="2" t="s">
        <v>3038</v>
      </c>
      <c r="E468" s="2" t="s">
        <v>3039</v>
      </c>
      <c r="F468" s="2" t="s">
        <v>3040</v>
      </c>
      <c r="G468" s="2" t="s">
        <v>323</v>
      </c>
      <c r="H468" s="2" t="s">
        <v>324</v>
      </c>
      <c r="I468" s="2" t="s">
        <v>31</v>
      </c>
      <c r="J468" s="2" t="s">
        <v>316</v>
      </c>
      <c r="K468" s="2" t="s">
        <v>48</v>
      </c>
      <c r="L468" s="2">
        <v>1</v>
      </c>
      <c r="M468" s="3">
        <v>34.99</v>
      </c>
      <c r="N468" s="2" t="s">
        <v>63</v>
      </c>
      <c r="O468" s="3">
        <v>8.75</v>
      </c>
      <c r="P468" s="3">
        <v>7.99</v>
      </c>
      <c r="Q468" s="3">
        <v>2.1</v>
      </c>
      <c r="R468" s="3">
        <v>36.33</v>
      </c>
      <c r="S468" s="2" t="s">
        <v>64</v>
      </c>
      <c r="T468" s="2" t="s">
        <v>36</v>
      </c>
      <c r="U468" s="2" t="s">
        <v>66</v>
      </c>
      <c r="V468" s="2" t="s">
        <v>534</v>
      </c>
      <c r="W468" s="3">
        <v>0</v>
      </c>
      <c r="X468" t="str">
        <f t="shared" si="21"/>
        <v>June</v>
      </c>
      <c r="Y468" t="str">
        <f t="shared" si="22"/>
        <v>Q2</v>
      </c>
      <c r="Z468" s="7">
        <f t="shared" si="23"/>
        <v>26.240000000000002</v>
      </c>
    </row>
    <row r="469" spans="1:26" x14ac:dyDescent="0.3">
      <c r="A469" s="4" t="s">
        <v>3041</v>
      </c>
      <c r="B469" s="9" t="s">
        <v>3042</v>
      </c>
      <c r="C469" s="4" t="s">
        <v>3043</v>
      </c>
      <c r="D469" s="4" t="s">
        <v>3044</v>
      </c>
      <c r="E469" s="4" t="s">
        <v>3045</v>
      </c>
      <c r="F469" s="4" t="s">
        <v>3046</v>
      </c>
      <c r="G469" s="4" t="s">
        <v>171</v>
      </c>
      <c r="H469" s="4" t="s">
        <v>88</v>
      </c>
      <c r="I469" s="4" t="s">
        <v>31</v>
      </c>
      <c r="J469" s="4" t="s">
        <v>678</v>
      </c>
      <c r="K469" s="4" t="s">
        <v>679</v>
      </c>
      <c r="L469" s="4">
        <v>1</v>
      </c>
      <c r="M469" s="5">
        <v>14.99</v>
      </c>
      <c r="N469" s="4" t="s">
        <v>78</v>
      </c>
      <c r="O469" s="5">
        <v>1.5</v>
      </c>
      <c r="P469" s="5">
        <v>4.99</v>
      </c>
      <c r="Q469" s="5">
        <v>0.94</v>
      </c>
      <c r="R469" s="5">
        <v>19.420000000000002</v>
      </c>
      <c r="S469" s="4" t="s">
        <v>35</v>
      </c>
      <c r="T469" s="4" t="s">
        <v>36</v>
      </c>
      <c r="U469" s="4" t="s">
        <v>66</v>
      </c>
      <c r="V469" s="4" t="s">
        <v>2176</v>
      </c>
      <c r="W469" s="5">
        <v>0</v>
      </c>
      <c r="X469" t="str">
        <f t="shared" si="21"/>
        <v>February</v>
      </c>
      <c r="Y469" t="str">
        <f t="shared" si="22"/>
        <v>Q1</v>
      </c>
      <c r="Z469" s="7">
        <f t="shared" si="23"/>
        <v>13.49</v>
      </c>
    </row>
    <row r="470" spans="1:26" x14ac:dyDescent="0.3">
      <c r="A470" s="2" t="s">
        <v>3047</v>
      </c>
      <c r="B470" s="8" t="s">
        <v>542</v>
      </c>
      <c r="C470" s="2" t="s">
        <v>3048</v>
      </c>
      <c r="D470" s="2" t="s">
        <v>3049</v>
      </c>
      <c r="E470" s="2" t="s">
        <v>3050</v>
      </c>
      <c r="F470" s="2" t="s">
        <v>3051</v>
      </c>
      <c r="G470" s="2" t="s">
        <v>207</v>
      </c>
      <c r="H470" s="2" t="s">
        <v>141</v>
      </c>
      <c r="I470" s="2" t="s">
        <v>31</v>
      </c>
      <c r="J470" s="2" t="s">
        <v>661</v>
      </c>
      <c r="K470" s="2" t="s">
        <v>143</v>
      </c>
      <c r="L470" s="2">
        <v>1</v>
      </c>
      <c r="M470" s="3">
        <v>79.989999999999995</v>
      </c>
      <c r="N470" s="2" t="s">
        <v>34</v>
      </c>
      <c r="O470" s="3">
        <v>0</v>
      </c>
      <c r="P470" s="3">
        <v>0</v>
      </c>
      <c r="Q470" s="3">
        <v>6.4</v>
      </c>
      <c r="R470" s="3">
        <v>86.39</v>
      </c>
      <c r="S470" s="2" t="s">
        <v>123</v>
      </c>
      <c r="T470" s="2" t="s">
        <v>99</v>
      </c>
      <c r="U470" s="2" t="s">
        <v>317</v>
      </c>
      <c r="V470" s="2"/>
      <c r="W470" s="3">
        <v>0</v>
      </c>
      <c r="X470" t="str">
        <f t="shared" si="21"/>
        <v>March</v>
      </c>
      <c r="Y470" t="str">
        <f t="shared" si="22"/>
        <v>Q1</v>
      </c>
      <c r="Z470" s="7">
        <f t="shared" si="23"/>
        <v>79.989999999999995</v>
      </c>
    </row>
    <row r="471" spans="1:26" x14ac:dyDescent="0.3">
      <c r="A471" s="4" t="s">
        <v>3052</v>
      </c>
      <c r="B471" s="9" t="s">
        <v>1057</v>
      </c>
      <c r="C471" s="4" t="s">
        <v>3053</v>
      </c>
      <c r="D471" s="4" t="s">
        <v>3054</v>
      </c>
      <c r="E471" s="4" t="s">
        <v>3055</v>
      </c>
      <c r="F471" s="4" t="s">
        <v>3056</v>
      </c>
      <c r="G471" s="4" t="s">
        <v>119</v>
      </c>
      <c r="H471" s="4" t="s">
        <v>120</v>
      </c>
      <c r="I471" s="4" t="s">
        <v>31</v>
      </c>
      <c r="J471" s="4" t="s">
        <v>3057</v>
      </c>
      <c r="K471" s="4" t="s">
        <v>209</v>
      </c>
      <c r="L471" s="4">
        <v>3</v>
      </c>
      <c r="M471" s="5">
        <v>299.95999999999998</v>
      </c>
      <c r="N471" s="4" t="s">
        <v>34</v>
      </c>
      <c r="O471" s="5">
        <v>0</v>
      </c>
      <c r="P471" s="5">
        <v>0</v>
      </c>
      <c r="Q471" s="5">
        <v>27</v>
      </c>
      <c r="R471" s="5">
        <v>326.95999999999998</v>
      </c>
      <c r="S471" s="4" t="s">
        <v>64</v>
      </c>
      <c r="T471" s="4" t="s">
        <v>99</v>
      </c>
      <c r="U471" s="4" t="s">
        <v>66</v>
      </c>
      <c r="V471" s="4" t="s">
        <v>603</v>
      </c>
      <c r="W471" s="5">
        <v>0</v>
      </c>
      <c r="X471" t="str">
        <f t="shared" si="21"/>
        <v>December</v>
      </c>
      <c r="Y471" t="str">
        <f t="shared" si="22"/>
        <v>Q4</v>
      </c>
      <c r="Z471" s="7">
        <f t="shared" si="23"/>
        <v>299.95999999999998</v>
      </c>
    </row>
    <row r="472" spans="1:26" x14ac:dyDescent="0.3">
      <c r="A472" s="2" t="s">
        <v>3058</v>
      </c>
      <c r="B472" s="8" t="s">
        <v>617</v>
      </c>
      <c r="C472" s="2" t="s">
        <v>3059</v>
      </c>
      <c r="D472" s="2" t="s">
        <v>3060</v>
      </c>
      <c r="E472" s="2" t="s">
        <v>3061</v>
      </c>
      <c r="F472" s="2" t="s">
        <v>3062</v>
      </c>
      <c r="G472" s="2" t="s">
        <v>251</v>
      </c>
      <c r="H472" s="2" t="s">
        <v>252</v>
      </c>
      <c r="I472" s="2" t="s">
        <v>31</v>
      </c>
      <c r="J472" s="2" t="s">
        <v>47</v>
      </c>
      <c r="K472" s="2" t="s">
        <v>48</v>
      </c>
      <c r="L472" s="2">
        <v>1</v>
      </c>
      <c r="M472" s="3">
        <v>42.99</v>
      </c>
      <c r="N472" s="2" t="s">
        <v>78</v>
      </c>
      <c r="O472" s="3">
        <v>4.3</v>
      </c>
      <c r="P472" s="3">
        <v>9.99</v>
      </c>
      <c r="Q472" s="3">
        <v>3.29</v>
      </c>
      <c r="R472" s="3">
        <v>51.97</v>
      </c>
      <c r="S472" s="2" t="s">
        <v>123</v>
      </c>
      <c r="T472" s="2" t="s">
        <v>99</v>
      </c>
      <c r="U472" s="2" t="s">
        <v>66</v>
      </c>
      <c r="V472" s="2" t="s">
        <v>2325</v>
      </c>
      <c r="W472" s="3">
        <v>0</v>
      </c>
      <c r="X472" t="str">
        <f t="shared" si="21"/>
        <v>November</v>
      </c>
      <c r="Y472" t="str">
        <f t="shared" si="22"/>
        <v>Q4</v>
      </c>
      <c r="Z472" s="7">
        <f t="shared" si="23"/>
        <v>38.690000000000005</v>
      </c>
    </row>
    <row r="473" spans="1:26" x14ac:dyDescent="0.3">
      <c r="A473" s="4" t="s">
        <v>3063</v>
      </c>
      <c r="B473" s="9" t="s">
        <v>1321</v>
      </c>
      <c r="C473" s="4" t="s">
        <v>3064</v>
      </c>
      <c r="D473" s="4" t="s">
        <v>3065</v>
      </c>
      <c r="E473" s="4" t="s">
        <v>3066</v>
      </c>
      <c r="F473" s="4" t="s">
        <v>3067</v>
      </c>
      <c r="G473" s="4" t="s">
        <v>59</v>
      </c>
      <c r="H473" s="4" t="s">
        <v>60</v>
      </c>
      <c r="I473" s="4" t="s">
        <v>31</v>
      </c>
      <c r="J473" s="4" t="s">
        <v>3068</v>
      </c>
      <c r="K473" s="4" t="s">
        <v>33</v>
      </c>
      <c r="L473" s="4">
        <v>4</v>
      </c>
      <c r="M473" s="5">
        <v>151.94999999999999</v>
      </c>
      <c r="N473" s="4" t="s">
        <v>34</v>
      </c>
      <c r="O473" s="5">
        <v>0</v>
      </c>
      <c r="P473" s="5">
        <v>0</v>
      </c>
      <c r="Q473" s="5">
        <v>10.64</v>
      </c>
      <c r="R473" s="5">
        <v>162.59</v>
      </c>
      <c r="S473" s="4" t="s">
        <v>111</v>
      </c>
      <c r="T473" s="4" t="s">
        <v>99</v>
      </c>
      <c r="U473" s="4" t="s">
        <v>37</v>
      </c>
      <c r="V473" s="4" t="s">
        <v>669</v>
      </c>
      <c r="W473" s="5">
        <v>162.59</v>
      </c>
      <c r="X473" t="str">
        <f t="shared" si="21"/>
        <v>March</v>
      </c>
      <c r="Y473" t="str">
        <f t="shared" si="22"/>
        <v>Q1</v>
      </c>
      <c r="Z473" s="7">
        <f t="shared" si="23"/>
        <v>151.94999999999999</v>
      </c>
    </row>
    <row r="474" spans="1:26" x14ac:dyDescent="0.3">
      <c r="A474" s="2" t="s">
        <v>3069</v>
      </c>
      <c r="B474" s="8" t="s">
        <v>2412</v>
      </c>
      <c r="C474" s="2" t="s">
        <v>3070</v>
      </c>
      <c r="D474" s="2" t="s">
        <v>3071</v>
      </c>
      <c r="E474" s="2" t="s">
        <v>3072</v>
      </c>
      <c r="F474" s="2" t="s">
        <v>3073</v>
      </c>
      <c r="G474" s="2" t="s">
        <v>347</v>
      </c>
      <c r="H474" s="2" t="s">
        <v>60</v>
      </c>
      <c r="I474" s="2" t="s">
        <v>31</v>
      </c>
      <c r="J474" s="2" t="s">
        <v>1238</v>
      </c>
      <c r="K474" s="2" t="s">
        <v>209</v>
      </c>
      <c r="L474" s="2">
        <v>1</v>
      </c>
      <c r="M474" s="3">
        <v>39.99</v>
      </c>
      <c r="N474" s="2" t="s">
        <v>78</v>
      </c>
      <c r="O474" s="3">
        <v>4</v>
      </c>
      <c r="P474" s="3">
        <v>9.99</v>
      </c>
      <c r="Q474" s="3">
        <v>3.06</v>
      </c>
      <c r="R474" s="3">
        <v>49.04</v>
      </c>
      <c r="S474" s="2" t="s">
        <v>35</v>
      </c>
      <c r="T474" s="2" t="s">
        <v>99</v>
      </c>
      <c r="U474" s="2" t="s">
        <v>66</v>
      </c>
      <c r="V474" s="2" t="s">
        <v>734</v>
      </c>
      <c r="W474" s="3">
        <v>0</v>
      </c>
      <c r="X474" t="str">
        <f t="shared" si="21"/>
        <v>May</v>
      </c>
      <c r="Y474" t="str">
        <f t="shared" si="22"/>
        <v>Q2</v>
      </c>
      <c r="Z474" s="7">
        <f t="shared" si="23"/>
        <v>35.99</v>
      </c>
    </row>
    <row r="475" spans="1:26" x14ac:dyDescent="0.3">
      <c r="A475" s="4" t="s">
        <v>3074</v>
      </c>
      <c r="B475" s="9" t="s">
        <v>3075</v>
      </c>
      <c r="C475" s="4" t="s">
        <v>3076</v>
      </c>
      <c r="D475" s="4" t="s">
        <v>3077</v>
      </c>
      <c r="E475" s="4" t="s">
        <v>3078</v>
      </c>
      <c r="F475" s="4" t="s">
        <v>3079</v>
      </c>
      <c r="G475" s="4" t="s">
        <v>29</v>
      </c>
      <c r="H475" s="4" t="s">
        <v>30</v>
      </c>
      <c r="I475" s="4" t="s">
        <v>31</v>
      </c>
      <c r="J475" s="4" t="s">
        <v>2658</v>
      </c>
      <c r="K475" s="4" t="s">
        <v>33</v>
      </c>
      <c r="L475" s="4">
        <v>1</v>
      </c>
      <c r="M475" s="5">
        <v>37.979999999999997</v>
      </c>
      <c r="N475" s="4" t="s">
        <v>78</v>
      </c>
      <c r="O475" s="5">
        <v>3.8</v>
      </c>
      <c r="P475" s="5">
        <v>9.99</v>
      </c>
      <c r="Q475" s="5">
        <v>2.91</v>
      </c>
      <c r="R475" s="5">
        <v>47.08</v>
      </c>
      <c r="S475" s="4" t="s">
        <v>123</v>
      </c>
      <c r="T475" s="4" t="s">
        <v>99</v>
      </c>
      <c r="U475" s="4" t="s">
        <v>66</v>
      </c>
      <c r="V475" s="4" t="s">
        <v>709</v>
      </c>
      <c r="W475" s="5">
        <v>0</v>
      </c>
      <c r="X475" t="str">
        <f t="shared" si="21"/>
        <v>January</v>
      </c>
      <c r="Y475" t="str">
        <f t="shared" si="22"/>
        <v>Q1</v>
      </c>
      <c r="Z475" s="7">
        <f t="shared" si="23"/>
        <v>34.18</v>
      </c>
    </row>
    <row r="476" spans="1:26" x14ac:dyDescent="0.3">
      <c r="A476" s="2" t="s">
        <v>3080</v>
      </c>
      <c r="B476" s="8" t="s">
        <v>750</v>
      </c>
      <c r="C476" s="2" t="s">
        <v>3081</v>
      </c>
      <c r="D476" s="2" t="s">
        <v>820</v>
      </c>
      <c r="E476" s="2" t="s">
        <v>3082</v>
      </c>
      <c r="F476" s="2" t="s">
        <v>3083</v>
      </c>
      <c r="G476" s="2" t="s">
        <v>224</v>
      </c>
      <c r="H476" s="2" t="s">
        <v>225</v>
      </c>
      <c r="I476" s="2" t="s">
        <v>31</v>
      </c>
      <c r="J476" s="2" t="s">
        <v>3084</v>
      </c>
      <c r="K476" s="2" t="s">
        <v>364</v>
      </c>
      <c r="L476" s="2">
        <v>2</v>
      </c>
      <c r="M476" s="3">
        <v>194.97</v>
      </c>
      <c r="N476" s="2" t="s">
        <v>78</v>
      </c>
      <c r="O476" s="3">
        <v>19.5</v>
      </c>
      <c r="P476" s="3">
        <v>0</v>
      </c>
      <c r="Q476" s="3">
        <v>12.28</v>
      </c>
      <c r="R476" s="3">
        <v>187.75</v>
      </c>
      <c r="S476" s="2" t="s">
        <v>123</v>
      </c>
      <c r="T476" s="2" t="s">
        <v>99</v>
      </c>
      <c r="U476" s="2" t="s">
        <v>66</v>
      </c>
      <c r="V476" s="2" t="s">
        <v>1548</v>
      </c>
      <c r="W476" s="3">
        <v>0</v>
      </c>
      <c r="X476" t="str">
        <f t="shared" si="21"/>
        <v>February</v>
      </c>
      <c r="Y476" t="str">
        <f t="shared" si="22"/>
        <v>Q1</v>
      </c>
      <c r="Z476" s="7">
        <f t="shared" si="23"/>
        <v>175.47</v>
      </c>
    </row>
    <row r="477" spans="1:26" x14ac:dyDescent="0.3">
      <c r="A477" s="4" t="s">
        <v>3085</v>
      </c>
      <c r="B477" s="9" t="s">
        <v>572</v>
      </c>
      <c r="C477" s="4" t="s">
        <v>3086</v>
      </c>
      <c r="D477" s="4" t="s">
        <v>3087</v>
      </c>
      <c r="E477" s="4" t="s">
        <v>3088</v>
      </c>
      <c r="F477" s="4" t="s">
        <v>3089</v>
      </c>
      <c r="G477" s="4" t="s">
        <v>171</v>
      </c>
      <c r="H477" s="4" t="s">
        <v>88</v>
      </c>
      <c r="I477" s="4" t="s">
        <v>31</v>
      </c>
      <c r="J477" s="4" t="s">
        <v>3090</v>
      </c>
      <c r="K477" s="4" t="s">
        <v>209</v>
      </c>
      <c r="L477" s="4">
        <v>2</v>
      </c>
      <c r="M477" s="5">
        <v>84.98</v>
      </c>
      <c r="N477" s="4" t="s">
        <v>34</v>
      </c>
      <c r="O477" s="5">
        <v>0</v>
      </c>
      <c r="P477" s="5">
        <v>0</v>
      </c>
      <c r="Q477" s="5">
        <v>6.8</v>
      </c>
      <c r="R477" s="5">
        <v>91.78</v>
      </c>
      <c r="S477" s="4" t="s">
        <v>79</v>
      </c>
      <c r="T477" s="4" t="s">
        <v>99</v>
      </c>
      <c r="U477" s="4" t="s">
        <v>66</v>
      </c>
      <c r="V477" s="4" t="s">
        <v>102</v>
      </c>
      <c r="W477" s="5">
        <v>0</v>
      </c>
      <c r="X477" t="str">
        <f t="shared" si="21"/>
        <v>January</v>
      </c>
      <c r="Y477" t="str">
        <f t="shared" si="22"/>
        <v>Q1</v>
      </c>
      <c r="Z477" s="7">
        <f t="shared" si="23"/>
        <v>84.98</v>
      </c>
    </row>
    <row r="478" spans="1:26" x14ac:dyDescent="0.3">
      <c r="A478" s="2" t="s">
        <v>3091</v>
      </c>
      <c r="B478" s="8" t="s">
        <v>3092</v>
      </c>
      <c r="C478" s="2" t="s">
        <v>3093</v>
      </c>
      <c r="D478" s="2" t="s">
        <v>3049</v>
      </c>
      <c r="E478" s="2" t="s">
        <v>3094</v>
      </c>
      <c r="F478" s="2" t="s">
        <v>3095</v>
      </c>
      <c r="G478" s="2" t="s">
        <v>160</v>
      </c>
      <c r="H478" s="2" t="s">
        <v>161</v>
      </c>
      <c r="I478" s="2" t="s">
        <v>31</v>
      </c>
      <c r="J478" s="2" t="s">
        <v>3096</v>
      </c>
      <c r="K478" s="2" t="s">
        <v>209</v>
      </c>
      <c r="L478" s="2">
        <v>2</v>
      </c>
      <c r="M478" s="3">
        <v>89.97</v>
      </c>
      <c r="N478" s="2" t="s">
        <v>78</v>
      </c>
      <c r="O478" s="3">
        <v>9</v>
      </c>
      <c r="P478" s="3">
        <v>0</v>
      </c>
      <c r="Q478" s="3">
        <v>7.29</v>
      </c>
      <c r="R478" s="3">
        <v>88.26</v>
      </c>
      <c r="S478" s="2" t="s">
        <v>64</v>
      </c>
      <c r="T478" s="2" t="s">
        <v>36</v>
      </c>
      <c r="U478" s="2" t="s">
        <v>37</v>
      </c>
      <c r="V478" s="2" t="s">
        <v>1321</v>
      </c>
      <c r="W478" s="3">
        <v>88.26</v>
      </c>
      <c r="X478" t="str">
        <f t="shared" si="21"/>
        <v>March</v>
      </c>
      <c r="Y478" t="str">
        <f t="shared" si="22"/>
        <v>Q1</v>
      </c>
      <c r="Z478" s="7">
        <f t="shared" si="23"/>
        <v>80.97</v>
      </c>
    </row>
    <row r="479" spans="1:26" x14ac:dyDescent="0.3">
      <c r="A479" s="4" t="s">
        <v>3097</v>
      </c>
      <c r="B479" s="9" t="s">
        <v>1100</v>
      </c>
      <c r="C479" s="4" t="s">
        <v>3098</v>
      </c>
      <c r="D479" s="4" t="s">
        <v>3099</v>
      </c>
      <c r="E479" s="4" t="s">
        <v>3100</v>
      </c>
      <c r="F479" s="4" t="s">
        <v>3101</v>
      </c>
      <c r="G479" s="4" t="s">
        <v>394</v>
      </c>
      <c r="H479" s="4" t="s">
        <v>395</v>
      </c>
      <c r="I479" s="4" t="s">
        <v>31</v>
      </c>
      <c r="J479" s="4" t="s">
        <v>3102</v>
      </c>
      <c r="K479" s="4" t="s">
        <v>209</v>
      </c>
      <c r="L479" s="4">
        <v>2</v>
      </c>
      <c r="M479" s="5">
        <v>134.97999999999999</v>
      </c>
      <c r="N479" s="4" t="s">
        <v>78</v>
      </c>
      <c r="O479" s="5">
        <v>13.5</v>
      </c>
      <c r="P479" s="5">
        <v>0</v>
      </c>
      <c r="Q479" s="5">
        <v>12.15</v>
      </c>
      <c r="R479" s="5">
        <v>133.63</v>
      </c>
      <c r="S479" s="4" t="s">
        <v>64</v>
      </c>
      <c r="T479" s="4" t="s">
        <v>99</v>
      </c>
      <c r="U479" s="4" t="s">
        <v>66</v>
      </c>
      <c r="V479" s="4" t="s">
        <v>994</v>
      </c>
      <c r="W479" s="5">
        <v>0</v>
      </c>
      <c r="X479" t="str">
        <f t="shared" si="21"/>
        <v>June</v>
      </c>
      <c r="Y479" t="str">
        <f t="shared" si="22"/>
        <v>Q2</v>
      </c>
      <c r="Z479" s="7">
        <f t="shared" si="23"/>
        <v>121.47999999999999</v>
      </c>
    </row>
    <row r="480" spans="1:26" x14ac:dyDescent="0.3">
      <c r="A480" s="2" t="s">
        <v>3103</v>
      </c>
      <c r="B480" s="8" t="s">
        <v>2171</v>
      </c>
      <c r="C480" s="2" t="s">
        <v>3104</v>
      </c>
      <c r="D480" s="2" t="s">
        <v>3105</v>
      </c>
      <c r="E480" s="2" t="s">
        <v>3106</v>
      </c>
      <c r="F480" s="2" t="s">
        <v>3107</v>
      </c>
      <c r="G480" s="2" t="s">
        <v>242</v>
      </c>
      <c r="H480" s="2" t="s">
        <v>243</v>
      </c>
      <c r="I480" s="2" t="s">
        <v>31</v>
      </c>
      <c r="J480" s="2" t="s">
        <v>3108</v>
      </c>
      <c r="K480" s="2" t="s">
        <v>110</v>
      </c>
      <c r="L480" s="2">
        <v>2</v>
      </c>
      <c r="M480" s="3">
        <v>89.96</v>
      </c>
      <c r="N480" s="2" t="s">
        <v>34</v>
      </c>
      <c r="O480" s="3">
        <v>0</v>
      </c>
      <c r="P480" s="3">
        <v>0</v>
      </c>
      <c r="Q480" s="3">
        <v>7.2</v>
      </c>
      <c r="R480" s="3">
        <v>97.16</v>
      </c>
      <c r="S480" s="2" t="s">
        <v>35</v>
      </c>
      <c r="T480" s="2" t="s">
        <v>144</v>
      </c>
      <c r="U480" s="2" t="s">
        <v>51</v>
      </c>
      <c r="V480" s="2" t="s">
        <v>1488</v>
      </c>
      <c r="W480" s="3">
        <v>0</v>
      </c>
      <c r="X480" t="str">
        <f t="shared" si="21"/>
        <v>February</v>
      </c>
      <c r="Y480" t="str">
        <f t="shared" si="22"/>
        <v>Q1</v>
      </c>
      <c r="Z480" s="7">
        <f t="shared" si="23"/>
        <v>89.96</v>
      </c>
    </row>
    <row r="481" spans="1:26" x14ac:dyDescent="0.3">
      <c r="A481" s="4" t="s">
        <v>3109</v>
      </c>
      <c r="B481" s="9" t="s">
        <v>2481</v>
      </c>
      <c r="C481" s="4" t="s">
        <v>3110</v>
      </c>
      <c r="D481" s="4" t="s">
        <v>3111</v>
      </c>
      <c r="E481" s="4" t="s">
        <v>3112</v>
      </c>
      <c r="F481" s="4" t="s">
        <v>3113</v>
      </c>
      <c r="G481" s="4" t="s">
        <v>45</v>
      </c>
      <c r="H481" s="4" t="s">
        <v>46</v>
      </c>
      <c r="I481" s="4" t="s">
        <v>31</v>
      </c>
      <c r="J481" s="4" t="s">
        <v>3114</v>
      </c>
      <c r="K481" s="4" t="s">
        <v>209</v>
      </c>
      <c r="L481" s="4">
        <v>2</v>
      </c>
      <c r="M481" s="5">
        <v>209.97</v>
      </c>
      <c r="N481" s="4" t="s">
        <v>34</v>
      </c>
      <c r="O481" s="5">
        <v>0</v>
      </c>
      <c r="P481" s="5">
        <v>0</v>
      </c>
      <c r="Q481" s="5">
        <v>16.8</v>
      </c>
      <c r="R481" s="5">
        <v>226.77</v>
      </c>
      <c r="S481" s="4" t="s">
        <v>35</v>
      </c>
      <c r="T481" s="4" t="s">
        <v>173</v>
      </c>
      <c r="U481" s="4" t="s">
        <v>66</v>
      </c>
      <c r="V481" s="4" t="s">
        <v>593</v>
      </c>
      <c r="W481" s="5">
        <v>0</v>
      </c>
      <c r="X481" t="str">
        <f t="shared" si="21"/>
        <v>July</v>
      </c>
      <c r="Y481" t="str">
        <f t="shared" si="22"/>
        <v>Q3</v>
      </c>
      <c r="Z481" s="7">
        <f t="shared" si="23"/>
        <v>209.97</v>
      </c>
    </row>
    <row r="482" spans="1:26" x14ac:dyDescent="0.3">
      <c r="A482" s="2" t="s">
        <v>3115</v>
      </c>
      <c r="B482" s="8" t="s">
        <v>1539</v>
      </c>
      <c r="C482" s="2" t="s">
        <v>3116</v>
      </c>
      <c r="D482" s="2" t="s">
        <v>3117</v>
      </c>
      <c r="E482" s="2" t="s">
        <v>3118</v>
      </c>
      <c r="F482" s="2" t="s">
        <v>3119</v>
      </c>
      <c r="G482" s="2" t="s">
        <v>190</v>
      </c>
      <c r="H482" s="2" t="s">
        <v>161</v>
      </c>
      <c r="I482" s="2" t="s">
        <v>31</v>
      </c>
      <c r="J482" s="2" t="s">
        <v>3120</v>
      </c>
      <c r="K482" s="2" t="s">
        <v>122</v>
      </c>
      <c r="L482" s="2">
        <v>2</v>
      </c>
      <c r="M482" s="3">
        <v>194.95</v>
      </c>
      <c r="N482" s="2" t="s">
        <v>163</v>
      </c>
      <c r="O482" s="3">
        <v>38.99</v>
      </c>
      <c r="P482" s="3">
        <v>0</v>
      </c>
      <c r="Q482" s="3">
        <v>15.6</v>
      </c>
      <c r="R482" s="3">
        <v>171.56</v>
      </c>
      <c r="S482" s="2" t="s">
        <v>111</v>
      </c>
      <c r="T482" s="2" t="s">
        <v>99</v>
      </c>
      <c r="U482" s="2" t="s">
        <v>51</v>
      </c>
      <c r="V482" s="2" t="s">
        <v>1187</v>
      </c>
      <c r="W482" s="3">
        <v>0</v>
      </c>
      <c r="X482" t="str">
        <f t="shared" si="21"/>
        <v>March</v>
      </c>
      <c r="Y482" t="str">
        <f t="shared" si="22"/>
        <v>Q1</v>
      </c>
      <c r="Z482" s="7">
        <f t="shared" si="23"/>
        <v>155.95999999999998</v>
      </c>
    </row>
    <row r="483" spans="1:26" x14ac:dyDescent="0.3">
      <c r="A483" s="4" t="s">
        <v>3121</v>
      </c>
      <c r="B483" s="9" t="s">
        <v>1580</v>
      </c>
      <c r="C483" s="4" t="s">
        <v>3122</v>
      </c>
      <c r="D483" s="4" t="s">
        <v>3123</v>
      </c>
      <c r="E483" s="4" t="s">
        <v>3124</v>
      </c>
      <c r="F483" s="4" t="s">
        <v>3125</v>
      </c>
      <c r="G483" s="4" t="s">
        <v>160</v>
      </c>
      <c r="H483" s="4" t="s">
        <v>161</v>
      </c>
      <c r="I483" s="4" t="s">
        <v>31</v>
      </c>
      <c r="J483" s="4" t="s">
        <v>1968</v>
      </c>
      <c r="K483" s="4" t="s">
        <v>209</v>
      </c>
      <c r="L483" s="4">
        <v>1</v>
      </c>
      <c r="M483" s="5">
        <v>99.98</v>
      </c>
      <c r="N483" s="4" t="s">
        <v>34</v>
      </c>
      <c r="O483" s="5">
        <v>0</v>
      </c>
      <c r="P483" s="5">
        <v>0</v>
      </c>
      <c r="Q483" s="5">
        <v>10</v>
      </c>
      <c r="R483" s="5">
        <v>109.98</v>
      </c>
      <c r="S483" s="4" t="s">
        <v>64</v>
      </c>
      <c r="T483" s="4" t="s">
        <v>99</v>
      </c>
      <c r="U483" s="4" t="s">
        <v>317</v>
      </c>
      <c r="V483" s="4"/>
      <c r="W483" s="5">
        <v>0</v>
      </c>
      <c r="X483" t="str">
        <f t="shared" si="21"/>
        <v>April</v>
      </c>
      <c r="Y483" t="str">
        <f t="shared" si="22"/>
        <v>Q2</v>
      </c>
      <c r="Z483" s="7">
        <f t="shared" si="23"/>
        <v>99.98</v>
      </c>
    </row>
    <row r="484" spans="1:26" x14ac:dyDescent="0.3">
      <c r="A484" s="2" t="s">
        <v>3126</v>
      </c>
      <c r="B484" s="8" t="s">
        <v>1521</v>
      </c>
      <c r="C484" s="2" t="s">
        <v>3127</v>
      </c>
      <c r="D484" s="2" t="s">
        <v>2917</v>
      </c>
      <c r="E484" s="2" t="s">
        <v>3128</v>
      </c>
      <c r="F484" s="2" t="s">
        <v>3129</v>
      </c>
      <c r="G484" s="2" t="s">
        <v>180</v>
      </c>
      <c r="H484" s="2" t="s">
        <v>181</v>
      </c>
      <c r="I484" s="2" t="s">
        <v>31</v>
      </c>
      <c r="J484" s="2" t="s">
        <v>3130</v>
      </c>
      <c r="K484" s="2" t="s">
        <v>209</v>
      </c>
      <c r="L484" s="2">
        <v>1</v>
      </c>
      <c r="M484" s="3">
        <v>359.97</v>
      </c>
      <c r="N484" s="2" t="s">
        <v>34</v>
      </c>
      <c r="O484" s="3">
        <v>0</v>
      </c>
      <c r="P484" s="3">
        <v>0</v>
      </c>
      <c r="Q484" s="3">
        <v>21.6</v>
      </c>
      <c r="R484" s="3">
        <v>381.57</v>
      </c>
      <c r="S484" s="2" t="s">
        <v>35</v>
      </c>
      <c r="T484" s="2" t="s">
        <v>173</v>
      </c>
      <c r="U484" s="2" t="s">
        <v>66</v>
      </c>
      <c r="V484" s="2" t="s">
        <v>2645</v>
      </c>
      <c r="W484" s="3">
        <v>0</v>
      </c>
      <c r="X484" t="str">
        <f t="shared" si="21"/>
        <v>March</v>
      </c>
      <c r="Y484" t="str">
        <f t="shared" si="22"/>
        <v>Q1</v>
      </c>
      <c r="Z484" s="7">
        <f t="shared" si="23"/>
        <v>359.97</v>
      </c>
    </row>
    <row r="485" spans="1:26" x14ac:dyDescent="0.3">
      <c r="A485" s="4" t="s">
        <v>3131</v>
      </c>
      <c r="B485" s="9" t="s">
        <v>534</v>
      </c>
      <c r="C485" s="4" t="s">
        <v>3132</v>
      </c>
      <c r="D485" s="4" t="s">
        <v>3133</v>
      </c>
      <c r="E485" s="4" t="s">
        <v>3134</v>
      </c>
      <c r="F485" s="4" t="s">
        <v>3135</v>
      </c>
      <c r="G485" s="4" t="s">
        <v>403</v>
      </c>
      <c r="H485" s="4" t="s">
        <v>404</v>
      </c>
      <c r="I485" s="4" t="s">
        <v>31</v>
      </c>
      <c r="J485" s="4" t="s">
        <v>503</v>
      </c>
      <c r="K485" s="4" t="s">
        <v>122</v>
      </c>
      <c r="L485" s="4">
        <v>1</v>
      </c>
      <c r="M485" s="5">
        <v>59.99</v>
      </c>
      <c r="N485" s="4" t="s">
        <v>152</v>
      </c>
      <c r="O485" s="5">
        <v>3</v>
      </c>
      <c r="P485" s="5">
        <v>9.99</v>
      </c>
      <c r="Q485" s="5">
        <v>5.7</v>
      </c>
      <c r="R485" s="5">
        <v>72.680000000000007</v>
      </c>
      <c r="S485" s="4" t="s">
        <v>35</v>
      </c>
      <c r="T485" s="4" t="s">
        <v>65</v>
      </c>
      <c r="U485" s="4" t="s">
        <v>100</v>
      </c>
      <c r="V485" s="4"/>
      <c r="W485" s="5">
        <v>0</v>
      </c>
      <c r="X485" t="str">
        <f t="shared" si="21"/>
        <v>June</v>
      </c>
      <c r="Y485" t="str">
        <f t="shared" si="22"/>
        <v>Q2</v>
      </c>
      <c r="Z485" s="7">
        <f t="shared" si="23"/>
        <v>56.99</v>
      </c>
    </row>
    <row r="486" spans="1:26" x14ac:dyDescent="0.3">
      <c r="A486" s="2" t="s">
        <v>3136</v>
      </c>
      <c r="B486" s="8" t="s">
        <v>349</v>
      </c>
      <c r="C486" s="2" t="s">
        <v>3137</v>
      </c>
      <c r="D486" s="2" t="s">
        <v>3138</v>
      </c>
      <c r="E486" s="2" t="s">
        <v>3139</v>
      </c>
      <c r="F486" s="2" t="s">
        <v>3140</v>
      </c>
      <c r="G486" s="2" t="s">
        <v>323</v>
      </c>
      <c r="H486" s="2" t="s">
        <v>324</v>
      </c>
      <c r="I486" s="2" t="s">
        <v>31</v>
      </c>
      <c r="J486" s="2" t="s">
        <v>3141</v>
      </c>
      <c r="K486" s="2" t="s">
        <v>48</v>
      </c>
      <c r="L486" s="2">
        <v>3</v>
      </c>
      <c r="M486" s="3">
        <v>354.94</v>
      </c>
      <c r="N486" s="2" t="s">
        <v>49</v>
      </c>
      <c r="O486" s="3">
        <v>53.24</v>
      </c>
      <c r="P486" s="3">
        <v>0</v>
      </c>
      <c r="Q486" s="3">
        <v>18.100000000000001</v>
      </c>
      <c r="R486" s="3">
        <v>319.8</v>
      </c>
      <c r="S486" s="2" t="s">
        <v>332</v>
      </c>
      <c r="T486" s="2" t="s">
        <v>50</v>
      </c>
      <c r="U486" s="2" t="s">
        <v>37</v>
      </c>
      <c r="V486" s="2" t="s">
        <v>2303</v>
      </c>
      <c r="W486" s="3">
        <v>319.8</v>
      </c>
      <c r="X486" t="str">
        <f t="shared" si="21"/>
        <v>August</v>
      </c>
      <c r="Y486" t="str">
        <f t="shared" si="22"/>
        <v>Q3</v>
      </c>
      <c r="Z486" s="7">
        <f t="shared" si="23"/>
        <v>301.7</v>
      </c>
    </row>
    <row r="487" spans="1:26" x14ac:dyDescent="0.3">
      <c r="A487" s="4" t="s">
        <v>3142</v>
      </c>
      <c r="B487" s="9" t="s">
        <v>498</v>
      </c>
      <c r="C487" s="4" t="s">
        <v>3143</v>
      </c>
      <c r="D487" s="4" t="s">
        <v>3144</v>
      </c>
      <c r="E487" s="4" t="s">
        <v>3145</v>
      </c>
      <c r="F487" s="4" t="s">
        <v>3146</v>
      </c>
      <c r="G487" s="4" t="s">
        <v>45</v>
      </c>
      <c r="H487" s="4" t="s">
        <v>46</v>
      </c>
      <c r="I487" s="4" t="s">
        <v>31</v>
      </c>
      <c r="J487" s="4" t="s">
        <v>3147</v>
      </c>
      <c r="K487" s="4" t="s">
        <v>143</v>
      </c>
      <c r="L487" s="4">
        <v>2</v>
      </c>
      <c r="M487" s="5">
        <v>189.97</v>
      </c>
      <c r="N487" s="4" t="s">
        <v>34</v>
      </c>
      <c r="O487" s="5">
        <v>0</v>
      </c>
      <c r="P487" s="5">
        <v>0</v>
      </c>
      <c r="Q487" s="5">
        <v>13.3</v>
      </c>
      <c r="R487" s="5">
        <v>203.27</v>
      </c>
      <c r="S487" s="4" t="s">
        <v>79</v>
      </c>
      <c r="T487" s="4" t="s">
        <v>99</v>
      </c>
      <c r="U487" s="4" t="s">
        <v>37</v>
      </c>
      <c r="V487" s="4" t="s">
        <v>478</v>
      </c>
      <c r="W487" s="5">
        <v>203.27</v>
      </c>
      <c r="X487" t="str">
        <f t="shared" si="21"/>
        <v>May</v>
      </c>
      <c r="Y487" t="str">
        <f t="shared" si="22"/>
        <v>Q2</v>
      </c>
      <c r="Z487" s="7">
        <f t="shared" si="23"/>
        <v>189.97</v>
      </c>
    </row>
    <row r="488" spans="1:26" x14ac:dyDescent="0.3">
      <c r="A488" s="2" t="s">
        <v>3148</v>
      </c>
      <c r="B488" s="8" t="s">
        <v>550</v>
      </c>
      <c r="C488" s="2" t="s">
        <v>3149</v>
      </c>
      <c r="D488" s="2" t="s">
        <v>3150</v>
      </c>
      <c r="E488" s="2" t="s">
        <v>3151</v>
      </c>
      <c r="F488" s="2" t="s">
        <v>3152</v>
      </c>
      <c r="G488" s="2" t="s">
        <v>171</v>
      </c>
      <c r="H488" s="2" t="s">
        <v>88</v>
      </c>
      <c r="I488" s="2" t="s">
        <v>31</v>
      </c>
      <c r="J488" s="2" t="s">
        <v>308</v>
      </c>
      <c r="K488" s="2" t="s">
        <v>62</v>
      </c>
      <c r="L488" s="2">
        <v>1</v>
      </c>
      <c r="M488" s="3">
        <v>29.99</v>
      </c>
      <c r="N488" s="2" t="s">
        <v>34</v>
      </c>
      <c r="O488" s="3">
        <v>0</v>
      </c>
      <c r="P488" s="3">
        <v>9.99</v>
      </c>
      <c r="Q488" s="3">
        <v>2.7</v>
      </c>
      <c r="R488" s="3">
        <v>42.68</v>
      </c>
      <c r="S488" s="2" t="s">
        <v>35</v>
      </c>
      <c r="T488" s="2" t="s">
        <v>144</v>
      </c>
      <c r="U488" s="2" t="s">
        <v>66</v>
      </c>
      <c r="V488" s="2" t="s">
        <v>1151</v>
      </c>
      <c r="W488" s="3">
        <v>0</v>
      </c>
      <c r="X488" t="str">
        <f t="shared" si="21"/>
        <v>August</v>
      </c>
      <c r="Y488" t="str">
        <f t="shared" si="22"/>
        <v>Q3</v>
      </c>
      <c r="Z488" s="7">
        <f t="shared" si="23"/>
        <v>29.99</v>
      </c>
    </row>
    <row r="489" spans="1:26" x14ac:dyDescent="0.3">
      <c r="A489" s="4" t="s">
        <v>3153</v>
      </c>
      <c r="B489" s="9" t="s">
        <v>1580</v>
      </c>
      <c r="C489" s="4" t="s">
        <v>3154</v>
      </c>
      <c r="D489" s="4" t="s">
        <v>3155</v>
      </c>
      <c r="E489" s="4" t="s">
        <v>3156</v>
      </c>
      <c r="F489" s="4" t="s">
        <v>3157</v>
      </c>
      <c r="G489" s="4" t="s">
        <v>107</v>
      </c>
      <c r="H489" s="4" t="s">
        <v>108</v>
      </c>
      <c r="I489" s="4" t="s">
        <v>31</v>
      </c>
      <c r="J489" s="4" t="s">
        <v>3158</v>
      </c>
      <c r="K489" s="4" t="s">
        <v>62</v>
      </c>
      <c r="L489" s="4">
        <v>2</v>
      </c>
      <c r="M489" s="5">
        <v>154.97</v>
      </c>
      <c r="N489" s="4" t="s">
        <v>34</v>
      </c>
      <c r="O489" s="5">
        <v>0</v>
      </c>
      <c r="P489" s="5">
        <v>0</v>
      </c>
      <c r="Q489" s="5">
        <v>15.5</v>
      </c>
      <c r="R489" s="5">
        <v>170.47</v>
      </c>
      <c r="S489" s="4" t="s">
        <v>64</v>
      </c>
      <c r="T489" s="4" t="s">
        <v>99</v>
      </c>
      <c r="U489" s="4" t="s">
        <v>100</v>
      </c>
      <c r="V489" s="4"/>
      <c r="W489" s="5">
        <v>0</v>
      </c>
      <c r="X489" t="str">
        <f t="shared" si="21"/>
        <v>April</v>
      </c>
      <c r="Y489" t="str">
        <f t="shared" si="22"/>
        <v>Q2</v>
      </c>
      <c r="Z489" s="7">
        <f t="shared" si="23"/>
        <v>154.97</v>
      </c>
    </row>
    <row r="490" spans="1:26" x14ac:dyDescent="0.3">
      <c r="A490" s="2" t="s">
        <v>3159</v>
      </c>
      <c r="B490" s="8" t="s">
        <v>2805</v>
      </c>
      <c r="C490" s="2" t="s">
        <v>3160</v>
      </c>
      <c r="D490" s="2" t="s">
        <v>954</v>
      </c>
      <c r="E490" s="2" t="s">
        <v>3161</v>
      </c>
      <c r="F490" s="2" t="s">
        <v>3162</v>
      </c>
      <c r="G490" s="2" t="s">
        <v>676</v>
      </c>
      <c r="H490" s="2" t="s">
        <v>677</v>
      </c>
      <c r="I490" s="2" t="s">
        <v>31</v>
      </c>
      <c r="J490" s="2" t="s">
        <v>2658</v>
      </c>
      <c r="K490" s="2" t="s">
        <v>33</v>
      </c>
      <c r="L490" s="2">
        <v>1</v>
      </c>
      <c r="M490" s="3">
        <v>37.979999999999997</v>
      </c>
      <c r="N490" s="2" t="s">
        <v>49</v>
      </c>
      <c r="O490" s="3">
        <v>5.7</v>
      </c>
      <c r="P490" s="3">
        <v>4.99</v>
      </c>
      <c r="Q490" s="3">
        <v>2.91</v>
      </c>
      <c r="R490" s="3">
        <v>40.18</v>
      </c>
      <c r="S490" s="2" t="s">
        <v>79</v>
      </c>
      <c r="T490" s="2" t="s">
        <v>65</v>
      </c>
      <c r="U490" s="2" t="s">
        <v>66</v>
      </c>
      <c r="V490" s="2" t="s">
        <v>1294</v>
      </c>
      <c r="W490" s="3">
        <v>0</v>
      </c>
      <c r="X490" t="str">
        <f t="shared" si="21"/>
        <v>October</v>
      </c>
      <c r="Y490" t="str">
        <f t="shared" si="22"/>
        <v>Q4</v>
      </c>
      <c r="Z490" s="7">
        <f t="shared" si="23"/>
        <v>32.279999999999994</v>
      </c>
    </row>
    <row r="491" spans="1:26" x14ac:dyDescent="0.3">
      <c r="A491" s="4" t="s">
        <v>3163</v>
      </c>
      <c r="B491" s="9" t="s">
        <v>625</v>
      </c>
      <c r="C491" s="4" t="s">
        <v>3164</v>
      </c>
      <c r="D491" s="4" t="s">
        <v>712</v>
      </c>
      <c r="E491" s="4" t="s">
        <v>3165</v>
      </c>
      <c r="F491" s="4" t="s">
        <v>3166</v>
      </c>
      <c r="G491" s="4" t="s">
        <v>282</v>
      </c>
      <c r="H491" s="4" t="s">
        <v>88</v>
      </c>
      <c r="I491" s="4" t="s">
        <v>31</v>
      </c>
      <c r="J491" s="4" t="s">
        <v>3167</v>
      </c>
      <c r="K491" s="4" t="s">
        <v>33</v>
      </c>
      <c r="L491" s="4">
        <v>3</v>
      </c>
      <c r="M491" s="5">
        <v>150.96</v>
      </c>
      <c r="N491" s="4" t="s">
        <v>34</v>
      </c>
      <c r="O491" s="5">
        <v>0</v>
      </c>
      <c r="P491" s="5">
        <v>0</v>
      </c>
      <c r="Q491" s="5">
        <v>12.08</v>
      </c>
      <c r="R491" s="5">
        <v>163.04</v>
      </c>
      <c r="S491" s="4" t="s">
        <v>332</v>
      </c>
      <c r="T491" s="4" t="s">
        <v>50</v>
      </c>
      <c r="U491" s="4" t="s">
        <v>317</v>
      </c>
      <c r="V491" s="4"/>
      <c r="W491" s="5">
        <v>0</v>
      </c>
      <c r="X491" t="str">
        <f t="shared" si="21"/>
        <v>October</v>
      </c>
      <c r="Y491" t="str">
        <f t="shared" si="22"/>
        <v>Q4</v>
      </c>
      <c r="Z491" s="7">
        <f t="shared" si="23"/>
        <v>150.96</v>
      </c>
    </row>
    <row r="492" spans="1:26" x14ac:dyDescent="0.3">
      <c r="A492" s="2" t="s">
        <v>3168</v>
      </c>
      <c r="B492" s="8" t="s">
        <v>2203</v>
      </c>
      <c r="C492" s="2" t="s">
        <v>3169</v>
      </c>
      <c r="D492" s="2" t="s">
        <v>3170</v>
      </c>
      <c r="E492" s="2" t="s">
        <v>3171</v>
      </c>
      <c r="F492" s="2" t="s">
        <v>3172</v>
      </c>
      <c r="G492" s="2" t="s">
        <v>251</v>
      </c>
      <c r="H492" s="2" t="s">
        <v>252</v>
      </c>
      <c r="I492" s="2" t="s">
        <v>31</v>
      </c>
      <c r="J492" s="2" t="s">
        <v>577</v>
      </c>
      <c r="K492" s="2" t="s">
        <v>364</v>
      </c>
      <c r="L492" s="2">
        <v>1</v>
      </c>
      <c r="M492" s="3">
        <v>19.989999999999998</v>
      </c>
      <c r="N492" s="2" t="s">
        <v>49</v>
      </c>
      <c r="O492" s="3">
        <v>3</v>
      </c>
      <c r="P492" s="3">
        <v>5.99</v>
      </c>
      <c r="Q492" s="3">
        <v>1.19</v>
      </c>
      <c r="R492" s="3">
        <v>24.17</v>
      </c>
      <c r="S492" s="2" t="s">
        <v>123</v>
      </c>
      <c r="T492" s="2" t="s">
        <v>144</v>
      </c>
      <c r="U492" s="2" t="s">
        <v>66</v>
      </c>
      <c r="V492" s="2" t="s">
        <v>389</v>
      </c>
      <c r="W492" s="3">
        <v>0</v>
      </c>
      <c r="X492" t="str">
        <f t="shared" si="21"/>
        <v>September</v>
      </c>
      <c r="Y492" t="str">
        <f t="shared" si="22"/>
        <v>Q3</v>
      </c>
      <c r="Z492" s="7">
        <f t="shared" si="23"/>
        <v>16.989999999999998</v>
      </c>
    </row>
    <row r="493" spans="1:26" x14ac:dyDescent="0.3">
      <c r="A493" s="4" t="s">
        <v>3173</v>
      </c>
      <c r="B493" s="9" t="s">
        <v>1446</v>
      </c>
      <c r="C493" s="4" t="s">
        <v>3174</v>
      </c>
      <c r="D493" s="4" t="s">
        <v>3175</v>
      </c>
      <c r="E493" s="4" t="s">
        <v>3176</v>
      </c>
      <c r="F493" s="4" t="s">
        <v>3177</v>
      </c>
      <c r="G493" s="4" t="s">
        <v>224</v>
      </c>
      <c r="H493" s="4" t="s">
        <v>225</v>
      </c>
      <c r="I493" s="4" t="s">
        <v>31</v>
      </c>
      <c r="J493" s="4" t="s">
        <v>3178</v>
      </c>
      <c r="K493" s="4" t="s">
        <v>48</v>
      </c>
      <c r="L493" s="4">
        <v>3</v>
      </c>
      <c r="M493" s="5">
        <v>182.96</v>
      </c>
      <c r="N493" s="4" t="s">
        <v>152</v>
      </c>
      <c r="O493" s="5">
        <v>9.15</v>
      </c>
      <c r="P493" s="5">
        <v>0</v>
      </c>
      <c r="Q493" s="5">
        <v>10.43</v>
      </c>
      <c r="R493" s="5">
        <v>184.24</v>
      </c>
      <c r="S493" s="4" t="s">
        <v>111</v>
      </c>
      <c r="T493" s="4" t="s">
        <v>99</v>
      </c>
      <c r="U493" s="4" t="s">
        <v>66</v>
      </c>
      <c r="V493" s="4" t="s">
        <v>1296</v>
      </c>
      <c r="W493" s="5">
        <v>0</v>
      </c>
      <c r="X493" t="str">
        <f t="shared" si="21"/>
        <v>January</v>
      </c>
      <c r="Y493" t="str">
        <f t="shared" si="22"/>
        <v>Q1</v>
      </c>
      <c r="Z493" s="7">
        <f t="shared" si="23"/>
        <v>173.81</v>
      </c>
    </row>
    <row r="494" spans="1:26" x14ac:dyDescent="0.3">
      <c r="A494" s="2" t="s">
        <v>3179</v>
      </c>
      <c r="B494" s="8" t="s">
        <v>175</v>
      </c>
      <c r="C494" s="2" t="s">
        <v>3180</v>
      </c>
      <c r="D494" s="2" t="s">
        <v>1073</v>
      </c>
      <c r="E494" s="2" t="s">
        <v>3181</v>
      </c>
      <c r="F494" s="2" t="s">
        <v>3182</v>
      </c>
      <c r="G494" s="2" t="s">
        <v>251</v>
      </c>
      <c r="H494" s="2" t="s">
        <v>252</v>
      </c>
      <c r="I494" s="2" t="s">
        <v>31</v>
      </c>
      <c r="J494" s="2" t="s">
        <v>3183</v>
      </c>
      <c r="K494" s="2" t="s">
        <v>209</v>
      </c>
      <c r="L494" s="2">
        <v>2</v>
      </c>
      <c r="M494" s="3">
        <v>219.97</v>
      </c>
      <c r="N494" s="2" t="s">
        <v>34</v>
      </c>
      <c r="O494" s="3">
        <v>0</v>
      </c>
      <c r="P494" s="3">
        <v>0</v>
      </c>
      <c r="Q494" s="3">
        <v>22</v>
      </c>
      <c r="R494" s="3">
        <v>241.97</v>
      </c>
      <c r="S494" s="2" t="s">
        <v>64</v>
      </c>
      <c r="T494" s="2" t="s">
        <v>325</v>
      </c>
      <c r="U494" s="2" t="s">
        <v>66</v>
      </c>
      <c r="V494" s="2" t="s">
        <v>374</v>
      </c>
      <c r="W494" s="3">
        <v>0</v>
      </c>
      <c r="X494" t="str">
        <f t="shared" si="21"/>
        <v>July</v>
      </c>
      <c r="Y494" t="str">
        <f t="shared" si="22"/>
        <v>Q3</v>
      </c>
      <c r="Z494" s="7">
        <f t="shared" si="23"/>
        <v>219.97</v>
      </c>
    </row>
    <row r="495" spans="1:26" x14ac:dyDescent="0.3">
      <c r="A495" s="4" t="s">
        <v>3184</v>
      </c>
      <c r="B495" s="9" t="s">
        <v>175</v>
      </c>
      <c r="C495" s="4" t="s">
        <v>3185</v>
      </c>
      <c r="D495" s="4" t="s">
        <v>3186</v>
      </c>
      <c r="E495" s="4" t="s">
        <v>3187</v>
      </c>
      <c r="F495" s="4" t="s">
        <v>3188</v>
      </c>
      <c r="G495" s="4" t="s">
        <v>640</v>
      </c>
      <c r="H495" s="4" t="s">
        <v>161</v>
      </c>
      <c r="I495" s="4" t="s">
        <v>31</v>
      </c>
      <c r="J495" s="4" t="s">
        <v>3189</v>
      </c>
      <c r="K495" s="4" t="s">
        <v>77</v>
      </c>
      <c r="L495" s="4">
        <v>2</v>
      </c>
      <c r="M495" s="5">
        <v>47.98</v>
      </c>
      <c r="N495" s="4" t="s">
        <v>78</v>
      </c>
      <c r="O495" s="5">
        <v>4.8</v>
      </c>
      <c r="P495" s="5">
        <v>7.99</v>
      </c>
      <c r="Q495" s="5">
        <v>3.02</v>
      </c>
      <c r="R495" s="5">
        <v>54.19</v>
      </c>
      <c r="S495" s="4" t="s">
        <v>79</v>
      </c>
      <c r="T495" s="4" t="s">
        <v>36</v>
      </c>
      <c r="U495" s="4" t="s">
        <v>317</v>
      </c>
      <c r="V495" s="4"/>
      <c r="W495" s="5">
        <v>0</v>
      </c>
      <c r="X495" t="str">
        <f t="shared" si="21"/>
        <v>July</v>
      </c>
      <c r="Y495" t="str">
        <f t="shared" si="22"/>
        <v>Q3</v>
      </c>
      <c r="Z495" s="7">
        <f t="shared" si="23"/>
        <v>43.18</v>
      </c>
    </row>
    <row r="496" spans="1:26" x14ac:dyDescent="0.3">
      <c r="A496" s="2" t="s">
        <v>3190</v>
      </c>
      <c r="B496" s="8" t="s">
        <v>1185</v>
      </c>
      <c r="C496" s="2" t="s">
        <v>3191</v>
      </c>
      <c r="D496" s="2" t="s">
        <v>1603</v>
      </c>
      <c r="E496" s="2" t="s">
        <v>3192</v>
      </c>
      <c r="F496" s="2" t="s">
        <v>3193</v>
      </c>
      <c r="G496" s="2" t="s">
        <v>251</v>
      </c>
      <c r="H496" s="2" t="s">
        <v>252</v>
      </c>
      <c r="I496" s="2" t="s">
        <v>31</v>
      </c>
      <c r="J496" s="2" t="s">
        <v>3194</v>
      </c>
      <c r="K496" s="2" t="s">
        <v>209</v>
      </c>
      <c r="L496" s="2">
        <v>4</v>
      </c>
      <c r="M496" s="3">
        <v>432.94</v>
      </c>
      <c r="N496" s="2" t="s">
        <v>78</v>
      </c>
      <c r="O496" s="3">
        <v>43.29</v>
      </c>
      <c r="P496" s="3">
        <v>0</v>
      </c>
      <c r="Q496" s="3">
        <v>33.119999999999997</v>
      </c>
      <c r="R496" s="3">
        <v>422.77</v>
      </c>
      <c r="S496" s="2" t="s">
        <v>64</v>
      </c>
      <c r="T496" s="2" t="s">
        <v>36</v>
      </c>
      <c r="U496" s="2" t="s">
        <v>100</v>
      </c>
      <c r="V496" s="2"/>
      <c r="W496" s="3">
        <v>0</v>
      </c>
      <c r="X496" t="str">
        <f t="shared" si="21"/>
        <v>November</v>
      </c>
      <c r="Y496" t="str">
        <f t="shared" si="22"/>
        <v>Q4</v>
      </c>
      <c r="Z496" s="7">
        <f t="shared" si="23"/>
        <v>389.65</v>
      </c>
    </row>
    <row r="497" spans="1:26" x14ac:dyDescent="0.3">
      <c r="A497" s="4" t="s">
        <v>3195</v>
      </c>
      <c r="B497" s="9" t="s">
        <v>1176</v>
      </c>
      <c r="C497" s="4" t="s">
        <v>3196</v>
      </c>
      <c r="D497" s="4" t="s">
        <v>3197</v>
      </c>
      <c r="E497" s="4" t="s">
        <v>3198</v>
      </c>
      <c r="F497" s="4" t="s">
        <v>3199</v>
      </c>
      <c r="G497" s="4" t="s">
        <v>251</v>
      </c>
      <c r="H497" s="4" t="s">
        <v>252</v>
      </c>
      <c r="I497" s="4" t="s">
        <v>31</v>
      </c>
      <c r="J497" s="4" t="s">
        <v>3200</v>
      </c>
      <c r="K497" s="4" t="s">
        <v>33</v>
      </c>
      <c r="L497" s="4">
        <v>5</v>
      </c>
      <c r="M497" s="5">
        <v>185.95</v>
      </c>
      <c r="N497" s="4" t="s">
        <v>163</v>
      </c>
      <c r="O497" s="5">
        <v>37.19</v>
      </c>
      <c r="P497" s="5">
        <v>0</v>
      </c>
      <c r="Q497" s="5">
        <v>14.88</v>
      </c>
      <c r="R497" s="5">
        <v>163.63999999999999</v>
      </c>
      <c r="S497" s="4" t="s">
        <v>111</v>
      </c>
      <c r="T497" s="4" t="s">
        <v>65</v>
      </c>
      <c r="U497" s="4" t="s">
        <v>317</v>
      </c>
      <c r="V497" s="4"/>
      <c r="W497" s="5">
        <v>0</v>
      </c>
      <c r="X497" t="str">
        <f t="shared" si="21"/>
        <v>January</v>
      </c>
      <c r="Y497" t="str">
        <f t="shared" si="22"/>
        <v>Q1</v>
      </c>
      <c r="Z497" s="7">
        <f t="shared" si="23"/>
        <v>148.76</v>
      </c>
    </row>
    <row r="498" spans="1:26" x14ac:dyDescent="0.3">
      <c r="A498" s="2" t="s">
        <v>3201</v>
      </c>
      <c r="B498" s="8" t="s">
        <v>1170</v>
      </c>
      <c r="C498" s="2" t="s">
        <v>3202</v>
      </c>
      <c r="D498" s="2" t="s">
        <v>3203</v>
      </c>
      <c r="E498" s="2" t="s">
        <v>3204</v>
      </c>
      <c r="F498" s="2" t="s">
        <v>3205</v>
      </c>
      <c r="G498" s="2" t="s">
        <v>291</v>
      </c>
      <c r="H498" s="2" t="s">
        <v>292</v>
      </c>
      <c r="I498" s="2" t="s">
        <v>31</v>
      </c>
      <c r="J498" s="2" t="s">
        <v>47</v>
      </c>
      <c r="K498" s="2" t="s">
        <v>48</v>
      </c>
      <c r="L498" s="2">
        <v>1</v>
      </c>
      <c r="M498" s="3">
        <v>42.99</v>
      </c>
      <c r="N498" s="2" t="s">
        <v>63</v>
      </c>
      <c r="O498" s="3">
        <v>10.75</v>
      </c>
      <c r="P498" s="3">
        <v>9.99</v>
      </c>
      <c r="Q498" s="3">
        <v>2.2599999999999998</v>
      </c>
      <c r="R498" s="3">
        <v>44.49</v>
      </c>
      <c r="S498" s="2" t="s">
        <v>111</v>
      </c>
      <c r="T498" s="2" t="s">
        <v>50</v>
      </c>
      <c r="U498" s="2" t="s">
        <v>100</v>
      </c>
      <c r="V498" s="2"/>
      <c r="W498" s="3">
        <v>0</v>
      </c>
      <c r="X498" t="str">
        <f t="shared" si="21"/>
        <v>January</v>
      </c>
      <c r="Y498" t="str">
        <f t="shared" si="22"/>
        <v>Q1</v>
      </c>
      <c r="Z498" s="7">
        <f t="shared" si="23"/>
        <v>32.24</v>
      </c>
    </row>
    <row r="499" spans="1:26" x14ac:dyDescent="0.3">
      <c r="A499" s="4" t="s">
        <v>3206</v>
      </c>
      <c r="B499" s="9" t="s">
        <v>1488</v>
      </c>
      <c r="C499" s="4" t="s">
        <v>3207</v>
      </c>
      <c r="D499" s="4" t="s">
        <v>3208</v>
      </c>
      <c r="E499" s="4" t="s">
        <v>3209</v>
      </c>
      <c r="F499" s="4" t="s">
        <v>3210</v>
      </c>
      <c r="G499" s="4" t="s">
        <v>403</v>
      </c>
      <c r="H499" s="4" t="s">
        <v>404</v>
      </c>
      <c r="I499" s="4" t="s">
        <v>31</v>
      </c>
      <c r="J499" s="4" t="s">
        <v>1148</v>
      </c>
      <c r="K499" s="4" t="s">
        <v>33</v>
      </c>
      <c r="L499" s="4">
        <v>1</v>
      </c>
      <c r="M499" s="5">
        <v>18.989999999999998</v>
      </c>
      <c r="N499" s="4" t="s">
        <v>78</v>
      </c>
      <c r="O499" s="5">
        <v>1.9</v>
      </c>
      <c r="P499" s="5">
        <v>9.99</v>
      </c>
      <c r="Q499" s="5">
        <v>1.37</v>
      </c>
      <c r="R499" s="5">
        <v>28.45</v>
      </c>
      <c r="S499" s="4" t="s">
        <v>35</v>
      </c>
      <c r="T499" s="4" t="s">
        <v>99</v>
      </c>
      <c r="U499" s="4" t="s">
        <v>100</v>
      </c>
      <c r="V499" s="4"/>
      <c r="W499" s="5">
        <v>0</v>
      </c>
      <c r="X499" t="str">
        <f t="shared" si="21"/>
        <v>February</v>
      </c>
      <c r="Y499" t="str">
        <f t="shared" si="22"/>
        <v>Q1</v>
      </c>
      <c r="Z499" s="7">
        <f t="shared" si="23"/>
        <v>17.09</v>
      </c>
    </row>
    <row r="500" spans="1:26" x14ac:dyDescent="0.3">
      <c r="A500" s="2" t="s">
        <v>3211</v>
      </c>
      <c r="B500" s="8" t="s">
        <v>1124</v>
      </c>
      <c r="C500" s="2" t="s">
        <v>3212</v>
      </c>
      <c r="D500" s="2" t="s">
        <v>1344</v>
      </c>
      <c r="E500" s="2" t="s">
        <v>3213</v>
      </c>
      <c r="F500" s="2" t="s">
        <v>3214</v>
      </c>
      <c r="G500" s="2" t="s">
        <v>180</v>
      </c>
      <c r="H500" s="2" t="s">
        <v>181</v>
      </c>
      <c r="I500" s="2" t="s">
        <v>31</v>
      </c>
      <c r="J500" s="2" t="s">
        <v>3215</v>
      </c>
      <c r="K500" s="2" t="s">
        <v>48</v>
      </c>
      <c r="L500" s="2">
        <v>4</v>
      </c>
      <c r="M500" s="3">
        <v>165.94</v>
      </c>
      <c r="N500" s="2" t="s">
        <v>49</v>
      </c>
      <c r="O500" s="3">
        <v>24.89</v>
      </c>
      <c r="P500" s="3">
        <v>0</v>
      </c>
      <c r="Q500" s="3">
        <v>14.11</v>
      </c>
      <c r="R500" s="3">
        <v>155.16</v>
      </c>
      <c r="S500" s="2" t="s">
        <v>64</v>
      </c>
      <c r="T500" s="2" t="s">
        <v>36</v>
      </c>
      <c r="U500" s="2" t="s">
        <v>317</v>
      </c>
      <c r="V500" s="2"/>
      <c r="W500" s="3">
        <v>0</v>
      </c>
      <c r="X500" t="str">
        <f t="shared" si="21"/>
        <v>March</v>
      </c>
      <c r="Y500" t="str">
        <f t="shared" si="22"/>
        <v>Q1</v>
      </c>
      <c r="Z500" s="7">
        <f t="shared" si="23"/>
        <v>141.05000000000001</v>
      </c>
    </row>
    <row r="501" spans="1:26" x14ac:dyDescent="0.3">
      <c r="A501" s="4" t="s">
        <v>3216</v>
      </c>
      <c r="B501" s="9" t="s">
        <v>619</v>
      </c>
      <c r="C501" s="4" t="s">
        <v>3217</v>
      </c>
      <c r="D501" s="4" t="s">
        <v>116</v>
      </c>
      <c r="E501" s="4" t="s">
        <v>3218</v>
      </c>
      <c r="F501" s="4" t="s">
        <v>3219</v>
      </c>
      <c r="G501" s="4" t="s">
        <v>180</v>
      </c>
      <c r="H501" s="4" t="s">
        <v>181</v>
      </c>
      <c r="I501" s="4" t="s">
        <v>31</v>
      </c>
      <c r="J501" s="4" t="s">
        <v>3220</v>
      </c>
      <c r="K501" s="4" t="s">
        <v>122</v>
      </c>
      <c r="L501" s="4">
        <v>2</v>
      </c>
      <c r="M501" s="5">
        <v>245.96</v>
      </c>
      <c r="N501" s="4" t="s">
        <v>34</v>
      </c>
      <c r="O501" s="5">
        <v>0</v>
      </c>
      <c r="P501" s="5">
        <v>0</v>
      </c>
      <c r="Q501" s="5">
        <v>19.68</v>
      </c>
      <c r="R501" s="5">
        <v>265.64</v>
      </c>
      <c r="S501" s="4" t="s">
        <v>437</v>
      </c>
      <c r="T501" s="4" t="s">
        <v>36</v>
      </c>
      <c r="U501" s="4" t="s">
        <v>66</v>
      </c>
      <c r="V501" s="4" t="s">
        <v>924</v>
      </c>
      <c r="W501" s="5">
        <v>0</v>
      </c>
      <c r="X501" t="str">
        <f t="shared" si="21"/>
        <v>October</v>
      </c>
      <c r="Y501" t="str">
        <f t="shared" si="22"/>
        <v>Q4</v>
      </c>
      <c r="Z501" s="7">
        <f t="shared" si="23"/>
        <v>245.96</v>
      </c>
    </row>
    <row r="502" spans="1:26" x14ac:dyDescent="0.3">
      <c r="A502" s="2" t="s">
        <v>3221</v>
      </c>
      <c r="B502" s="8" t="s">
        <v>470</v>
      </c>
      <c r="C502" s="2" t="s">
        <v>3222</v>
      </c>
      <c r="D502" s="2" t="s">
        <v>3223</v>
      </c>
      <c r="E502" s="2" t="s">
        <v>3224</v>
      </c>
      <c r="F502" s="2" t="s">
        <v>3225</v>
      </c>
      <c r="G502" s="2" t="s">
        <v>119</v>
      </c>
      <c r="H502" s="2" t="s">
        <v>120</v>
      </c>
      <c r="I502" s="2" t="s">
        <v>31</v>
      </c>
      <c r="J502" s="2" t="s">
        <v>3226</v>
      </c>
      <c r="K502" s="2" t="s">
        <v>143</v>
      </c>
      <c r="L502" s="2">
        <v>3</v>
      </c>
      <c r="M502" s="3">
        <v>152.97</v>
      </c>
      <c r="N502" s="2" t="s">
        <v>163</v>
      </c>
      <c r="O502" s="3">
        <v>30.59</v>
      </c>
      <c r="P502" s="3">
        <v>0</v>
      </c>
      <c r="Q502" s="3">
        <v>9.7899999999999991</v>
      </c>
      <c r="R502" s="3">
        <v>132.16999999999999</v>
      </c>
      <c r="S502" s="2" t="s">
        <v>35</v>
      </c>
      <c r="T502" s="2" t="s">
        <v>50</v>
      </c>
      <c r="U502" s="2" t="s">
        <v>66</v>
      </c>
      <c r="V502" s="2" t="s">
        <v>824</v>
      </c>
      <c r="W502" s="3">
        <v>0</v>
      </c>
      <c r="X502" t="str">
        <f t="shared" si="21"/>
        <v>December</v>
      </c>
      <c r="Y502" t="str">
        <f t="shared" si="22"/>
        <v>Q4</v>
      </c>
      <c r="Z502" s="7">
        <f t="shared" si="23"/>
        <v>122.38</v>
      </c>
    </row>
    <row r="503" spans="1:26" x14ac:dyDescent="0.3">
      <c r="A503" s="4" t="s">
        <v>3227</v>
      </c>
      <c r="B503" s="9" t="s">
        <v>3228</v>
      </c>
      <c r="C503" s="4" t="s">
        <v>3229</v>
      </c>
      <c r="D503" s="4" t="s">
        <v>3230</v>
      </c>
      <c r="E503" s="4" t="s">
        <v>3231</v>
      </c>
      <c r="F503" s="4" t="s">
        <v>3232</v>
      </c>
      <c r="G503" s="4" t="s">
        <v>140</v>
      </c>
      <c r="H503" s="4" t="s">
        <v>141</v>
      </c>
      <c r="I503" s="4" t="s">
        <v>31</v>
      </c>
      <c r="J503" s="4" t="s">
        <v>191</v>
      </c>
      <c r="K503" s="4" t="s">
        <v>77</v>
      </c>
      <c r="L503" s="4">
        <v>1</v>
      </c>
      <c r="M503" s="5">
        <v>24.99</v>
      </c>
      <c r="N503" s="4" t="s">
        <v>34</v>
      </c>
      <c r="O503" s="5">
        <v>0</v>
      </c>
      <c r="P503" s="5">
        <v>7.99</v>
      </c>
      <c r="Q503" s="5">
        <v>2.5</v>
      </c>
      <c r="R503" s="5">
        <v>35.479999999999997</v>
      </c>
      <c r="S503" s="4" t="s">
        <v>64</v>
      </c>
      <c r="T503" s="4" t="s">
        <v>36</v>
      </c>
      <c r="U503" s="4" t="s">
        <v>66</v>
      </c>
      <c r="V503" s="4" t="s">
        <v>3233</v>
      </c>
      <c r="W503" s="5">
        <v>0</v>
      </c>
      <c r="X503" t="str">
        <f t="shared" si="21"/>
        <v>September</v>
      </c>
      <c r="Y503" t="str">
        <f t="shared" si="22"/>
        <v>Q3</v>
      </c>
      <c r="Z503" s="7">
        <f t="shared" si="23"/>
        <v>24.99</v>
      </c>
    </row>
    <row r="504" spans="1:26" x14ac:dyDescent="0.3">
      <c r="A504" s="2" t="s">
        <v>3234</v>
      </c>
      <c r="B504" s="8" t="s">
        <v>1713</v>
      </c>
      <c r="C504" s="2" t="s">
        <v>3235</v>
      </c>
      <c r="D504" s="2" t="s">
        <v>2759</v>
      </c>
      <c r="E504" s="2" t="s">
        <v>3236</v>
      </c>
      <c r="F504" s="2" t="s">
        <v>3237</v>
      </c>
      <c r="G504" s="2" t="s">
        <v>140</v>
      </c>
      <c r="H504" s="2" t="s">
        <v>141</v>
      </c>
      <c r="I504" s="2" t="s">
        <v>31</v>
      </c>
      <c r="J504" s="2" t="s">
        <v>3238</v>
      </c>
      <c r="K504" s="2" t="s">
        <v>122</v>
      </c>
      <c r="L504" s="2">
        <v>4</v>
      </c>
      <c r="M504" s="3">
        <v>389.91</v>
      </c>
      <c r="N504" s="2" t="s">
        <v>78</v>
      </c>
      <c r="O504" s="3">
        <v>38.99</v>
      </c>
      <c r="P504" s="3">
        <v>0</v>
      </c>
      <c r="Q504" s="3">
        <v>35.090000000000003</v>
      </c>
      <c r="R504" s="3">
        <v>386.01</v>
      </c>
      <c r="S504" s="2" t="s">
        <v>79</v>
      </c>
      <c r="T504" s="2" t="s">
        <v>99</v>
      </c>
      <c r="U504" s="2" t="s">
        <v>66</v>
      </c>
      <c r="V504" s="2" t="s">
        <v>1142</v>
      </c>
      <c r="W504" s="3">
        <v>0</v>
      </c>
      <c r="X504" t="str">
        <f t="shared" si="21"/>
        <v>October</v>
      </c>
      <c r="Y504" t="str">
        <f t="shared" si="22"/>
        <v>Q4</v>
      </c>
      <c r="Z504" s="7">
        <f t="shared" si="23"/>
        <v>350.92</v>
      </c>
    </row>
    <row r="505" spans="1:26" x14ac:dyDescent="0.3">
      <c r="A505" s="4" t="s">
        <v>3239</v>
      </c>
      <c r="B505" s="9" t="s">
        <v>413</v>
      </c>
      <c r="C505" s="4" t="s">
        <v>3240</v>
      </c>
      <c r="D505" s="4" t="s">
        <v>1727</v>
      </c>
      <c r="E505" s="4" t="s">
        <v>3241</v>
      </c>
      <c r="F505" s="4" t="s">
        <v>3242</v>
      </c>
      <c r="G505" s="4" t="s">
        <v>347</v>
      </c>
      <c r="H505" s="4" t="s">
        <v>60</v>
      </c>
      <c r="I505" s="4" t="s">
        <v>31</v>
      </c>
      <c r="J505" s="4" t="s">
        <v>3243</v>
      </c>
      <c r="K505" s="4" t="s">
        <v>77</v>
      </c>
      <c r="L505" s="4">
        <v>2</v>
      </c>
      <c r="M505" s="5">
        <v>142.94999999999999</v>
      </c>
      <c r="N505" s="4" t="s">
        <v>63</v>
      </c>
      <c r="O505" s="5">
        <v>35.74</v>
      </c>
      <c r="P505" s="5">
        <v>0</v>
      </c>
      <c r="Q505" s="5">
        <v>9.11</v>
      </c>
      <c r="R505" s="5">
        <v>116.32</v>
      </c>
      <c r="S505" s="4" t="s">
        <v>35</v>
      </c>
      <c r="T505" s="4" t="s">
        <v>99</v>
      </c>
      <c r="U505" s="4" t="s">
        <v>66</v>
      </c>
      <c r="V505" s="4" t="s">
        <v>489</v>
      </c>
      <c r="W505" s="5">
        <v>0</v>
      </c>
      <c r="X505" t="str">
        <f t="shared" si="21"/>
        <v>July</v>
      </c>
      <c r="Y505" t="str">
        <f t="shared" si="22"/>
        <v>Q3</v>
      </c>
      <c r="Z505" s="7">
        <f t="shared" si="23"/>
        <v>107.20999999999998</v>
      </c>
    </row>
    <row r="506" spans="1:26" x14ac:dyDescent="0.3">
      <c r="A506" s="2" t="s">
        <v>3244</v>
      </c>
      <c r="B506" s="8" t="s">
        <v>1596</v>
      </c>
      <c r="C506" s="2" t="s">
        <v>3245</v>
      </c>
      <c r="D506" s="2" t="s">
        <v>2473</v>
      </c>
      <c r="E506" s="2" t="s">
        <v>3246</v>
      </c>
      <c r="F506" s="2" t="s">
        <v>3247</v>
      </c>
      <c r="G506" s="2" t="s">
        <v>45</v>
      </c>
      <c r="H506" s="2" t="s">
        <v>46</v>
      </c>
      <c r="I506" s="2" t="s">
        <v>31</v>
      </c>
      <c r="J506" s="2" t="s">
        <v>741</v>
      </c>
      <c r="K506" s="2" t="s">
        <v>122</v>
      </c>
      <c r="L506" s="2">
        <v>1</v>
      </c>
      <c r="M506" s="3">
        <v>139.97999999999999</v>
      </c>
      <c r="N506" s="2" t="s">
        <v>34</v>
      </c>
      <c r="O506" s="3">
        <v>0</v>
      </c>
      <c r="P506" s="3">
        <v>0</v>
      </c>
      <c r="Q506" s="3">
        <v>14</v>
      </c>
      <c r="R506" s="3">
        <v>153.97999999999999</v>
      </c>
      <c r="S506" s="2" t="s">
        <v>64</v>
      </c>
      <c r="T506" s="2" t="s">
        <v>99</v>
      </c>
      <c r="U506" s="2" t="s">
        <v>66</v>
      </c>
      <c r="V506" s="2" t="s">
        <v>1057</v>
      </c>
      <c r="W506" s="3">
        <v>0</v>
      </c>
      <c r="X506" t="str">
        <f t="shared" si="21"/>
        <v>December</v>
      </c>
      <c r="Y506" t="str">
        <f t="shared" si="22"/>
        <v>Q4</v>
      </c>
      <c r="Z506" s="7">
        <f t="shared" si="23"/>
        <v>139.97999999999999</v>
      </c>
    </row>
    <row r="507" spans="1:26" x14ac:dyDescent="0.3">
      <c r="A507" s="4" t="s">
        <v>3248</v>
      </c>
      <c r="B507" s="9" t="s">
        <v>572</v>
      </c>
      <c r="C507" s="4" t="s">
        <v>3249</v>
      </c>
      <c r="D507" s="4" t="s">
        <v>3250</v>
      </c>
      <c r="E507" s="4" t="s">
        <v>3251</v>
      </c>
      <c r="F507" s="4" t="s">
        <v>3252</v>
      </c>
      <c r="G507" s="4" t="s">
        <v>394</v>
      </c>
      <c r="H507" s="4" t="s">
        <v>395</v>
      </c>
      <c r="I507" s="4" t="s">
        <v>31</v>
      </c>
      <c r="J507" s="4" t="s">
        <v>661</v>
      </c>
      <c r="K507" s="4" t="s">
        <v>143</v>
      </c>
      <c r="L507" s="4">
        <v>1</v>
      </c>
      <c r="M507" s="5">
        <v>79.989999999999995</v>
      </c>
      <c r="N507" s="4" t="s">
        <v>152</v>
      </c>
      <c r="O507" s="5">
        <v>4</v>
      </c>
      <c r="P507" s="5">
        <v>0</v>
      </c>
      <c r="Q507" s="5">
        <v>6.46</v>
      </c>
      <c r="R507" s="5">
        <v>82.45</v>
      </c>
      <c r="S507" s="4" t="s">
        <v>437</v>
      </c>
      <c r="T507" s="4" t="s">
        <v>36</v>
      </c>
      <c r="U507" s="4" t="s">
        <v>317</v>
      </c>
      <c r="V507" s="4"/>
      <c r="W507" s="5">
        <v>0</v>
      </c>
      <c r="X507" t="str">
        <f t="shared" si="21"/>
        <v>January</v>
      </c>
      <c r="Y507" t="str">
        <f t="shared" si="22"/>
        <v>Q1</v>
      </c>
      <c r="Z507" s="7">
        <f t="shared" si="23"/>
        <v>75.989999999999995</v>
      </c>
    </row>
    <row r="508" spans="1:26" x14ac:dyDescent="0.3">
      <c r="A508" s="2" t="s">
        <v>3253</v>
      </c>
      <c r="B508" s="8" t="s">
        <v>335</v>
      </c>
      <c r="C508" s="2" t="s">
        <v>3254</v>
      </c>
      <c r="D508" s="2" t="s">
        <v>3255</v>
      </c>
      <c r="E508" s="2" t="s">
        <v>3256</v>
      </c>
      <c r="F508" s="2" t="s">
        <v>3257</v>
      </c>
      <c r="G508" s="2" t="s">
        <v>323</v>
      </c>
      <c r="H508" s="2" t="s">
        <v>324</v>
      </c>
      <c r="I508" s="2" t="s">
        <v>31</v>
      </c>
      <c r="J508" s="2" t="s">
        <v>3258</v>
      </c>
      <c r="K508" s="2" t="s">
        <v>48</v>
      </c>
      <c r="L508" s="2">
        <v>3</v>
      </c>
      <c r="M508" s="3">
        <v>96.97</v>
      </c>
      <c r="N508" s="2" t="s">
        <v>49</v>
      </c>
      <c r="O508" s="3">
        <v>14.55</v>
      </c>
      <c r="P508" s="3">
        <v>0</v>
      </c>
      <c r="Q508" s="3">
        <v>6.59</v>
      </c>
      <c r="R508" s="3">
        <v>89.01</v>
      </c>
      <c r="S508" s="2" t="s">
        <v>64</v>
      </c>
      <c r="T508" s="2" t="s">
        <v>173</v>
      </c>
      <c r="U508" s="2" t="s">
        <v>66</v>
      </c>
      <c r="V508" s="2" t="s">
        <v>1683</v>
      </c>
      <c r="W508" s="3">
        <v>0</v>
      </c>
      <c r="X508" t="str">
        <f t="shared" si="21"/>
        <v>September</v>
      </c>
      <c r="Y508" t="str">
        <f t="shared" si="22"/>
        <v>Q3</v>
      </c>
      <c r="Z508" s="7">
        <f t="shared" si="23"/>
        <v>82.42</v>
      </c>
    </row>
    <row r="509" spans="1:26" x14ac:dyDescent="0.3">
      <c r="A509" s="4" t="s">
        <v>3259</v>
      </c>
      <c r="B509" s="9" t="s">
        <v>579</v>
      </c>
      <c r="C509" s="4" t="s">
        <v>3260</v>
      </c>
      <c r="D509" s="4" t="s">
        <v>2543</v>
      </c>
      <c r="E509" s="4" t="s">
        <v>3261</v>
      </c>
      <c r="F509" s="4" t="s">
        <v>3262</v>
      </c>
      <c r="G509" s="4" t="s">
        <v>160</v>
      </c>
      <c r="H509" s="4" t="s">
        <v>161</v>
      </c>
      <c r="I509" s="4" t="s">
        <v>31</v>
      </c>
      <c r="J509" s="4" t="s">
        <v>387</v>
      </c>
      <c r="K509" s="4" t="s">
        <v>33</v>
      </c>
      <c r="L509" s="4">
        <v>1</v>
      </c>
      <c r="M509" s="5">
        <v>35.99</v>
      </c>
      <c r="N509" s="4" t="s">
        <v>152</v>
      </c>
      <c r="O509" s="5">
        <v>1.8</v>
      </c>
      <c r="P509" s="5">
        <v>5.99</v>
      </c>
      <c r="Q509" s="5">
        <v>2.91</v>
      </c>
      <c r="R509" s="5">
        <v>43.09</v>
      </c>
      <c r="S509" s="4" t="s">
        <v>123</v>
      </c>
      <c r="T509" s="4" t="s">
        <v>36</v>
      </c>
      <c r="U509" s="4" t="s">
        <v>317</v>
      </c>
      <c r="V509" s="4"/>
      <c r="W509" s="5">
        <v>0</v>
      </c>
      <c r="X509" t="str">
        <f t="shared" si="21"/>
        <v>July</v>
      </c>
      <c r="Y509" t="str">
        <f t="shared" si="22"/>
        <v>Q3</v>
      </c>
      <c r="Z509" s="7">
        <f t="shared" si="23"/>
        <v>34.190000000000005</v>
      </c>
    </row>
    <row r="510" spans="1:26" x14ac:dyDescent="0.3">
      <c r="A510" s="2" t="s">
        <v>3263</v>
      </c>
      <c r="B510" s="8" t="s">
        <v>1347</v>
      </c>
      <c r="C510" s="2" t="s">
        <v>3264</v>
      </c>
      <c r="D510" s="2" t="s">
        <v>3265</v>
      </c>
      <c r="E510" s="2" t="s">
        <v>3266</v>
      </c>
      <c r="F510" s="2" t="s">
        <v>3267</v>
      </c>
      <c r="G510" s="2" t="s">
        <v>180</v>
      </c>
      <c r="H510" s="2" t="s">
        <v>181</v>
      </c>
      <c r="I510" s="2" t="s">
        <v>31</v>
      </c>
      <c r="J510" s="2" t="s">
        <v>1148</v>
      </c>
      <c r="K510" s="2" t="s">
        <v>33</v>
      </c>
      <c r="L510" s="2">
        <v>1</v>
      </c>
      <c r="M510" s="3">
        <v>18.989999999999998</v>
      </c>
      <c r="N510" s="2" t="s">
        <v>63</v>
      </c>
      <c r="O510" s="3">
        <v>4.75</v>
      </c>
      <c r="P510" s="3">
        <v>9.99</v>
      </c>
      <c r="Q510" s="3">
        <v>0.85</v>
      </c>
      <c r="R510" s="3">
        <v>25.08</v>
      </c>
      <c r="S510" s="2" t="s">
        <v>123</v>
      </c>
      <c r="T510" s="2" t="s">
        <v>36</v>
      </c>
      <c r="U510" s="2" t="s">
        <v>66</v>
      </c>
      <c r="V510" s="2" t="s">
        <v>1516</v>
      </c>
      <c r="W510" s="3">
        <v>0</v>
      </c>
      <c r="X510" t="str">
        <f t="shared" si="21"/>
        <v>March</v>
      </c>
      <c r="Y510" t="str">
        <f t="shared" si="22"/>
        <v>Q1</v>
      </c>
      <c r="Z510" s="7">
        <f t="shared" si="23"/>
        <v>14.239999999999998</v>
      </c>
    </row>
    <row r="511" spans="1:26" x14ac:dyDescent="0.3">
      <c r="A511" s="4" t="s">
        <v>3268</v>
      </c>
      <c r="B511" s="9" t="s">
        <v>447</v>
      </c>
      <c r="C511" s="4" t="s">
        <v>3269</v>
      </c>
      <c r="D511" s="4" t="s">
        <v>3270</v>
      </c>
      <c r="E511" s="4" t="s">
        <v>3271</v>
      </c>
      <c r="F511" s="4" t="s">
        <v>3272</v>
      </c>
      <c r="G511" s="4" t="s">
        <v>251</v>
      </c>
      <c r="H511" s="4" t="s">
        <v>252</v>
      </c>
      <c r="I511" s="4" t="s">
        <v>31</v>
      </c>
      <c r="J511" s="4" t="s">
        <v>1340</v>
      </c>
      <c r="K511" s="4" t="s">
        <v>209</v>
      </c>
      <c r="L511" s="4">
        <v>1</v>
      </c>
      <c r="M511" s="5">
        <v>119.99</v>
      </c>
      <c r="N511" s="4" t="s">
        <v>34</v>
      </c>
      <c r="O511" s="5">
        <v>0</v>
      </c>
      <c r="P511" s="5">
        <v>0</v>
      </c>
      <c r="Q511" s="5">
        <v>7.2</v>
      </c>
      <c r="R511" s="5">
        <v>127.19</v>
      </c>
      <c r="S511" s="4" t="s">
        <v>64</v>
      </c>
      <c r="T511" s="4" t="s">
        <v>65</v>
      </c>
      <c r="U511" s="4" t="s">
        <v>66</v>
      </c>
      <c r="V511" s="4" t="s">
        <v>601</v>
      </c>
      <c r="W511" s="5">
        <v>0</v>
      </c>
      <c r="X511" t="str">
        <f t="shared" si="21"/>
        <v>May</v>
      </c>
      <c r="Y511" t="str">
        <f t="shared" si="22"/>
        <v>Q2</v>
      </c>
      <c r="Z511" s="7">
        <f t="shared" si="23"/>
        <v>119.99</v>
      </c>
    </row>
    <row r="512" spans="1:26" x14ac:dyDescent="0.3">
      <c r="A512" s="2" t="s">
        <v>3273</v>
      </c>
      <c r="B512" s="8" t="s">
        <v>3274</v>
      </c>
      <c r="C512" s="2" t="s">
        <v>3275</v>
      </c>
      <c r="D512" s="2" t="s">
        <v>3276</v>
      </c>
      <c r="E512" s="2" t="s">
        <v>3277</v>
      </c>
      <c r="F512" s="2" t="s">
        <v>3278</v>
      </c>
      <c r="G512" s="2" t="s">
        <v>403</v>
      </c>
      <c r="H512" s="2" t="s">
        <v>404</v>
      </c>
      <c r="I512" s="2" t="s">
        <v>31</v>
      </c>
      <c r="J512" s="2" t="s">
        <v>142</v>
      </c>
      <c r="K512" s="2" t="s">
        <v>143</v>
      </c>
      <c r="L512" s="2">
        <v>1</v>
      </c>
      <c r="M512" s="3">
        <v>159.97999999999999</v>
      </c>
      <c r="N512" s="2" t="s">
        <v>78</v>
      </c>
      <c r="O512" s="3">
        <v>16</v>
      </c>
      <c r="P512" s="3">
        <v>0</v>
      </c>
      <c r="Q512" s="3">
        <v>14.4</v>
      </c>
      <c r="R512" s="3">
        <v>158.38</v>
      </c>
      <c r="S512" s="2" t="s">
        <v>123</v>
      </c>
      <c r="T512" s="2" t="s">
        <v>99</v>
      </c>
      <c r="U512" s="2" t="s">
        <v>100</v>
      </c>
      <c r="V512" s="2"/>
      <c r="W512" s="3">
        <v>0</v>
      </c>
      <c r="X512" t="str">
        <f t="shared" si="21"/>
        <v>April</v>
      </c>
      <c r="Y512" t="str">
        <f t="shared" si="22"/>
        <v>Q2</v>
      </c>
      <c r="Z512" s="7">
        <f t="shared" si="23"/>
        <v>143.97999999999999</v>
      </c>
    </row>
    <row r="513" spans="1:26" x14ac:dyDescent="0.3">
      <c r="A513" s="4" t="s">
        <v>3279</v>
      </c>
      <c r="B513" s="9" t="s">
        <v>1341</v>
      </c>
      <c r="C513" s="4" t="s">
        <v>3280</v>
      </c>
      <c r="D513" s="4" t="s">
        <v>3281</v>
      </c>
      <c r="E513" s="4" t="s">
        <v>3282</v>
      </c>
      <c r="F513" s="4" t="s">
        <v>3283</v>
      </c>
      <c r="G513" s="4" t="s">
        <v>428</v>
      </c>
      <c r="H513" s="4" t="s">
        <v>429</v>
      </c>
      <c r="I513" s="4" t="s">
        <v>31</v>
      </c>
      <c r="J513" s="4" t="s">
        <v>3284</v>
      </c>
      <c r="K513" s="4" t="s">
        <v>209</v>
      </c>
      <c r="L513" s="4">
        <v>2</v>
      </c>
      <c r="M513" s="5">
        <v>109.98</v>
      </c>
      <c r="N513" s="4" t="s">
        <v>34</v>
      </c>
      <c r="O513" s="5">
        <v>0</v>
      </c>
      <c r="P513" s="5">
        <v>0</v>
      </c>
      <c r="Q513" s="5">
        <v>7.7</v>
      </c>
      <c r="R513" s="5">
        <v>117.68</v>
      </c>
      <c r="S513" s="4" t="s">
        <v>64</v>
      </c>
      <c r="T513" s="4" t="s">
        <v>99</v>
      </c>
      <c r="U513" s="4" t="s">
        <v>51</v>
      </c>
      <c r="V513" s="4" t="s">
        <v>838</v>
      </c>
      <c r="W513" s="5">
        <v>0</v>
      </c>
      <c r="X513" t="str">
        <f t="shared" si="21"/>
        <v>February</v>
      </c>
      <c r="Y513" t="str">
        <f t="shared" si="22"/>
        <v>Q1</v>
      </c>
      <c r="Z513" s="7">
        <f t="shared" si="23"/>
        <v>109.98</v>
      </c>
    </row>
    <row r="514" spans="1:26" x14ac:dyDescent="0.3">
      <c r="A514" s="2" t="s">
        <v>3285</v>
      </c>
      <c r="B514" s="8" t="s">
        <v>1057</v>
      </c>
      <c r="C514" s="2" t="s">
        <v>3286</v>
      </c>
      <c r="D514" s="2" t="s">
        <v>3287</v>
      </c>
      <c r="E514" s="2" t="s">
        <v>3288</v>
      </c>
      <c r="F514" s="2" t="s">
        <v>3289</v>
      </c>
      <c r="G514" s="2" t="s">
        <v>87</v>
      </c>
      <c r="H514" s="2" t="s">
        <v>88</v>
      </c>
      <c r="I514" s="2" t="s">
        <v>31</v>
      </c>
      <c r="J514" s="2" t="s">
        <v>678</v>
      </c>
      <c r="K514" s="2" t="s">
        <v>679</v>
      </c>
      <c r="L514" s="2">
        <v>1</v>
      </c>
      <c r="M514" s="3">
        <v>14.99</v>
      </c>
      <c r="N514" s="2" t="s">
        <v>78</v>
      </c>
      <c r="O514" s="3">
        <v>1.5</v>
      </c>
      <c r="P514" s="3">
        <v>9.99</v>
      </c>
      <c r="Q514" s="3">
        <v>1.35</v>
      </c>
      <c r="R514" s="3">
        <v>24.83</v>
      </c>
      <c r="S514" s="2" t="s">
        <v>35</v>
      </c>
      <c r="T514" s="2" t="s">
        <v>99</v>
      </c>
      <c r="U514" s="2" t="s">
        <v>66</v>
      </c>
      <c r="V514" s="2" t="s">
        <v>804</v>
      </c>
      <c r="W514" s="3">
        <v>0</v>
      </c>
      <c r="X514" t="str">
        <f t="shared" si="21"/>
        <v>December</v>
      </c>
      <c r="Y514" t="str">
        <f t="shared" si="22"/>
        <v>Q4</v>
      </c>
      <c r="Z514" s="7">
        <f t="shared" si="23"/>
        <v>13.49</v>
      </c>
    </row>
    <row r="515" spans="1:26" x14ac:dyDescent="0.3">
      <c r="A515" s="4" t="s">
        <v>3290</v>
      </c>
      <c r="B515" s="9" t="s">
        <v>1787</v>
      </c>
      <c r="C515" s="4" t="s">
        <v>3291</v>
      </c>
      <c r="D515" s="4" t="s">
        <v>3292</v>
      </c>
      <c r="E515" s="4" t="s">
        <v>3293</v>
      </c>
      <c r="F515" s="4" t="s">
        <v>3294</v>
      </c>
      <c r="G515" s="4" t="s">
        <v>119</v>
      </c>
      <c r="H515" s="4" t="s">
        <v>120</v>
      </c>
      <c r="I515" s="4" t="s">
        <v>31</v>
      </c>
      <c r="J515" s="4" t="s">
        <v>340</v>
      </c>
      <c r="K515" s="4" t="s">
        <v>209</v>
      </c>
      <c r="L515" s="4">
        <v>1</v>
      </c>
      <c r="M515" s="5">
        <v>269.97000000000003</v>
      </c>
      <c r="N515" s="4" t="s">
        <v>34</v>
      </c>
      <c r="O515" s="5">
        <v>0</v>
      </c>
      <c r="P515" s="5">
        <v>0</v>
      </c>
      <c r="Q515" s="5">
        <v>16.2</v>
      </c>
      <c r="R515" s="5">
        <v>286.17</v>
      </c>
      <c r="S515" s="4" t="s">
        <v>35</v>
      </c>
      <c r="T515" s="4" t="s">
        <v>173</v>
      </c>
      <c r="U515" s="4" t="s">
        <v>37</v>
      </c>
      <c r="V515" s="4" t="s">
        <v>2965</v>
      </c>
      <c r="W515" s="5">
        <v>286.17</v>
      </c>
      <c r="X515" t="str">
        <f t="shared" ref="X515:X578" si="24">TEXT(B515,"MMMM")</f>
        <v>November</v>
      </c>
      <c r="Y515" t="str">
        <f t="shared" ref="Y515:Y578" si="25">IF(MONTH(B515)&lt;=3,"Q1",IF(MONTH(B515)&lt;=6,"Q2",IF(MONTH(B515)&lt;=9,"Q3","Q4")))</f>
        <v>Q4</v>
      </c>
      <c r="Z515" s="7">
        <f t="shared" ref="Z515:Z578" si="26">M515-O515</f>
        <v>269.97000000000003</v>
      </c>
    </row>
    <row r="516" spans="1:26" x14ac:dyDescent="0.3">
      <c r="A516" s="2" t="s">
        <v>3295</v>
      </c>
      <c r="B516" s="8" t="s">
        <v>2965</v>
      </c>
      <c r="C516" s="2" t="s">
        <v>3296</v>
      </c>
      <c r="D516" s="2" t="s">
        <v>3297</v>
      </c>
      <c r="E516" s="2" t="s">
        <v>3298</v>
      </c>
      <c r="F516" s="2" t="s">
        <v>3299</v>
      </c>
      <c r="G516" s="2" t="s">
        <v>347</v>
      </c>
      <c r="H516" s="2" t="s">
        <v>60</v>
      </c>
      <c r="I516" s="2" t="s">
        <v>31</v>
      </c>
      <c r="J516" s="2" t="s">
        <v>379</v>
      </c>
      <c r="K516" s="2" t="s">
        <v>209</v>
      </c>
      <c r="L516" s="2">
        <v>1</v>
      </c>
      <c r="M516" s="3">
        <v>89.99</v>
      </c>
      <c r="N516" s="2" t="s">
        <v>34</v>
      </c>
      <c r="O516" s="3">
        <v>0</v>
      </c>
      <c r="P516" s="3">
        <v>0</v>
      </c>
      <c r="Q516" s="3">
        <v>7.65</v>
      </c>
      <c r="R516" s="3">
        <v>97.64</v>
      </c>
      <c r="S516" s="2" t="s">
        <v>437</v>
      </c>
      <c r="T516" s="2" t="s">
        <v>183</v>
      </c>
      <c r="U516" s="2" t="s">
        <v>66</v>
      </c>
      <c r="V516" s="2" t="s">
        <v>521</v>
      </c>
      <c r="W516" s="3">
        <v>0</v>
      </c>
      <c r="X516" t="str">
        <f t="shared" si="24"/>
        <v>November</v>
      </c>
      <c r="Y516" t="str">
        <f t="shared" si="25"/>
        <v>Q4</v>
      </c>
      <c r="Z516" s="7">
        <f t="shared" si="26"/>
        <v>89.99</v>
      </c>
    </row>
    <row r="517" spans="1:26" x14ac:dyDescent="0.3">
      <c r="A517" s="4" t="s">
        <v>3300</v>
      </c>
      <c r="B517" s="9" t="s">
        <v>2584</v>
      </c>
      <c r="C517" s="4" t="s">
        <v>3301</v>
      </c>
      <c r="D517" s="4" t="s">
        <v>637</v>
      </c>
      <c r="E517" s="4" t="s">
        <v>3302</v>
      </c>
      <c r="F517" s="4" t="s">
        <v>3303</v>
      </c>
      <c r="G517" s="4" t="s">
        <v>802</v>
      </c>
      <c r="H517" s="4" t="s">
        <v>88</v>
      </c>
      <c r="I517" s="4" t="s">
        <v>31</v>
      </c>
      <c r="J517" s="4" t="s">
        <v>3304</v>
      </c>
      <c r="K517" s="4" t="s">
        <v>143</v>
      </c>
      <c r="L517" s="4">
        <v>3</v>
      </c>
      <c r="M517" s="5">
        <v>187.97</v>
      </c>
      <c r="N517" s="4" t="s">
        <v>49</v>
      </c>
      <c r="O517" s="5">
        <v>28.2</v>
      </c>
      <c r="P517" s="5">
        <v>0</v>
      </c>
      <c r="Q517" s="5">
        <v>11.18</v>
      </c>
      <c r="R517" s="5">
        <v>170.95</v>
      </c>
      <c r="S517" s="4" t="s">
        <v>35</v>
      </c>
      <c r="T517" s="4" t="s">
        <v>144</v>
      </c>
      <c r="U517" s="4" t="s">
        <v>37</v>
      </c>
      <c r="V517" s="4" t="s">
        <v>439</v>
      </c>
      <c r="W517" s="5">
        <v>170.95</v>
      </c>
      <c r="X517" t="str">
        <f t="shared" si="24"/>
        <v>August</v>
      </c>
      <c r="Y517" t="str">
        <f t="shared" si="25"/>
        <v>Q3</v>
      </c>
      <c r="Z517" s="7">
        <f t="shared" si="26"/>
        <v>159.77000000000001</v>
      </c>
    </row>
    <row r="518" spans="1:26" x14ac:dyDescent="0.3">
      <c r="A518" s="2" t="s">
        <v>3305</v>
      </c>
      <c r="B518" s="8" t="s">
        <v>2247</v>
      </c>
      <c r="C518" s="2" t="s">
        <v>3306</v>
      </c>
      <c r="D518" s="2" t="s">
        <v>3307</v>
      </c>
      <c r="E518" s="2" t="s">
        <v>3308</v>
      </c>
      <c r="F518" s="2" t="s">
        <v>3309</v>
      </c>
      <c r="G518" s="2" t="s">
        <v>140</v>
      </c>
      <c r="H518" s="2" t="s">
        <v>141</v>
      </c>
      <c r="I518" s="2" t="s">
        <v>31</v>
      </c>
      <c r="J518" s="2" t="s">
        <v>3310</v>
      </c>
      <c r="K518" s="2" t="s">
        <v>33</v>
      </c>
      <c r="L518" s="2">
        <v>2</v>
      </c>
      <c r="M518" s="3">
        <v>169.98</v>
      </c>
      <c r="N518" s="2" t="s">
        <v>78</v>
      </c>
      <c r="O518" s="3">
        <v>17</v>
      </c>
      <c r="P518" s="3">
        <v>0</v>
      </c>
      <c r="Q518" s="3">
        <v>9.18</v>
      </c>
      <c r="R518" s="3">
        <v>162.16</v>
      </c>
      <c r="S518" s="2" t="s">
        <v>79</v>
      </c>
      <c r="T518" s="2" t="s">
        <v>36</v>
      </c>
      <c r="U518" s="2" t="s">
        <v>51</v>
      </c>
      <c r="V518" s="2" t="s">
        <v>3311</v>
      </c>
      <c r="W518" s="3">
        <v>0</v>
      </c>
      <c r="X518" t="str">
        <f t="shared" si="24"/>
        <v>July</v>
      </c>
      <c r="Y518" t="str">
        <f t="shared" si="25"/>
        <v>Q3</v>
      </c>
      <c r="Z518" s="7">
        <f t="shared" si="26"/>
        <v>152.97999999999999</v>
      </c>
    </row>
    <row r="519" spans="1:26" x14ac:dyDescent="0.3">
      <c r="A519" s="4" t="s">
        <v>3312</v>
      </c>
      <c r="B519" s="9" t="s">
        <v>1471</v>
      </c>
      <c r="C519" s="4" t="s">
        <v>3313</v>
      </c>
      <c r="D519" s="4" t="s">
        <v>3314</v>
      </c>
      <c r="E519" s="4" t="s">
        <v>3315</v>
      </c>
      <c r="F519" s="4" t="s">
        <v>3316</v>
      </c>
      <c r="G519" s="4" t="s">
        <v>45</v>
      </c>
      <c r="H519" s="4" t="s">
        <v>46</v>
      </c>
      <c r="I519" s="4" t="s">
        <v>31</v>
      </c>
      <c r="J519" s="4" t="s">
        <v>3317</v>
      </c>
      <c r="K519" s="4" t="s">
        <v>143</v>
      </c>
      <c r="L519" s="4">
        <v>4</v>
      </c>
      <c r="M519" s="5">
        <v>313.92</v>
      </c>
      <c r="N519" s="4" t="s">
        <v>49</v>
      </c>
      <c r="O519" s="5">
        <v>47.09</v>
      </c>
      <c r="P519" s="5">
        <v>0</v>
      </c>
      <c r="Q519" s="5">
        <v>21.35</v>
      </c>
      <c r="R519" s="5">
        <v>288.18</v>
      </c>
      <c r="S519" s="4" t="s">
        <v>111</v>
      </c>
      <c r="T519" s="4" t="s">
        <v>36</v>
      </c>
      <c r="U519" s="4" t="s">
        <v>66</v>
      </c>
      <c r="V519" s="4" t="s">
        <v>2915</v>
      </c>
      <c r="W519" s="5">
        <v>0</v>
      </c>
      <c r="X519" t="str">
        <f t="shared" si="24"/>
        <v>April</v>
      </c>
      <c r="Y519" t="str">
        <f t="shared" si="25"/>
        <v>Q2</v>
      </c>
      <c r="Z519" s="7">
        <f t="shared" si="26"/>
        <v>266.83000000000004</v>
      </c>
    </row>
    <row r="520" spans="1:26" x14ac:dyDescent="0.3">
      <c r="A520" s="2" t="s">
        <v>3318</v>
      </c>
      <c r="B520" s="8" t="s">
        <v>534</v>
      </c>
      <c r="C520" s="2" t="s">
        <v>3319</v>
      </c>
      <c r="D520" s="2" t="s">
        <v>3320</v>
      </c>
      <c r="E520" s="2" t="s">
        <v>3321</v>
      </c>
      <c r="F520" s="2" t="s">
        <v>3322</v>
      </c>
      <c r="G520" s="2" t="s">
        <v>428</v>
      </c>
      <c r="H520" s="2" t="s">
        <v>429</v>
      </c>
      <c r="I520" s="2" t="s">
        <v>31</v>
      </c>
      <c r="J520" s="2" t="s">
        <v>3323</v>
      </c>
      <c r="K520" s="2" t="s">
        <v>62</v>
      </c>
      <c r="L520" s="2">
        <v>2</v>
      </c>
      <c r="M520" s="3">
        <v>60.98</v>
      </c>
      <c r="N520" s="2" t="s">
        <v>63</v>
      </c>
      <c r="O520" s="3">
        <v>15.25</v>
      </c>
      <c r="P520" s="3">
        <v>4.99</v>
      </c>
      <c r="Q520" s="3">
        <v>3.89</v>
      </c>
      <c r="R520" s="3">
        <v>54.61</v>
      </c>
      <c r="S520" s="2" t="s">
        <v>35</v>
      </c>
      <c r="T520" s="2" t="s">
        <v>99</v>
      </c>
      <c r="U520" s="2" t="s">
        <v>66</v>
      </c>
      <c r="V520" s="2" t="s">
        <v>256</v>
      </c>
      <c r="W520" s="3">
        <v>0</v>
      </c>
      <c r="X520" t="str">
        <f t="shared" si="24"/>
        <v>June</v>
      </c>
      <c r="Y520" t="str">
        <f t="shared" si="25"/>
        <v>Q2</v>
      </c>
      <c r="Z520" s="7">
        <f t="shared" si="26"/>
        <v>45.73</v>
      </c>
    </row>
    <row r="521" spans="1:26" x14ac:dyDescent="0.3">
      <c r="A521" s="4" t="s">
        <v>3324</v>
      </c>
      <c r="B521" s="9" t="s">
        <v>2435</v>
      </c>
      <c r="C521" s="4" t="s">
        <v>3325</v>
      </c>
      <c r="D521" s="4" t="s">
        <v>3326</v>
      </c>
      <c r="E521" s="4" t="s">
        <v>3327</v>
      </c>
      <c r="F521" s="4" t="s">
        <v>3328</v>
      </c>
      <c r="G521" s="4" t="s">
        <v>282</v>
      </c>
      <c r="H521" s="4" t="s">
        <v>88</v>
      </c>
      <c r="I521" s="4" t="s">
        <v>31</v>
      </c>
      <c r="J521" s="4" t="s">
        <v>3329</v>
      </c>
      <c r="K521" s="4" t="s">
        <v>33</v>
      </c>
      <c r="L521" s="4">
        <v>5</v>
      </c>
      <c r="M521" s="5">
        <v>269.94</v>
      </c>
      <c r="N521" s="4" t="s">
        <v>34</v>
      </c>
      <c r="O521" s="5">
        <v>0</v>
      </c>
      <c r="P521" s="5">
        <v>0</v>
      </c>
      <c r="Q521" s="5">
        <v>22.94</v>
      </c>
      <c r="R521" s="5">
        <v>292.88</v>
      </c>
      <c r="S521" s="4" t="s">
        <v>123</v>
      </c>
      <c r="T521" s="4" t="s">
        <v>99</v>
      </c>
      <c r="U521" s="4" t="s">
        <v>66</v>
      </c>
      <c r="V521" s="4" t="s">
        <v>2839</v>
      </c>
      <c r="W521" s="5">
        <v>0</v>
      </c>
      <c r="X521" t="str">
        <f t="shared" si="24"/>
        <v>June</v>
      </c>
      <c r="Y521" t="str">
        <f t="shared" si="25"/>
        <v>Q2</v>
      </c>
      <c r="Z521" s="7">
        <f t="shared" si="26"/>
        <v>269.94</v>
      </c>
    </row>
    <row r="522" spans="1:26" x14ac:dyDescent="0.3">
      <c r="A522" s="2" t="s">
        <v>3330</v>
      </c>
      <c r="B522" s="8" t="s">
        <v>366</v>
      </c>
      <c r="C522" s="2" t="s">
        <v>3331</v>
      </c>
      <c r="D522" s="2" t="s">
        <v>116</v>
      </c>
      <c r="E522" s="2" t="s">
        <v>3332</v>
      </c>
      <c r="F522" s="2" t="s">
        <v>3333</v>
      </c>
      <c r="G522" s="2" t="s">
        <v>190</v>
      </c>
      <c r="H522" s="2" t="s">
        <v>161</v>
      </c>
      <c r="I522" s="2" t="s">
        <v>31</v>
      </c>
      <c r="J522" s="2" t="s">
        <v>526</v>
      </c>
      <c r="K522" s="2" t="s">
        <v>110</v>
      </c>
      <c r="L522" s="2">
        <v>1</v>
      </c>
      <c r="M522" s="3">
        <v>32.99</v>
      </c>
      <c r="N522" s="2" t="s">
        <v>34</v>
      </c>
      <c r="O522" s="3">
        <v>0</v>
      </c>
      <c r="P522" s="3">
        <v>7.99</v>
      </c>
      <c r="Q522" s="3">
        <v>3.3</v>
      </c>
      <c r="R522" s="3">
        <v>44.28</v>
      </c>
      <c r="S522" s="2" t="s">
        <v>123</v>
      </c>
      <c r="T522" s="2" t="s">
        <v>65</v>
      </c>
      <c r="U522" s="2" t="s">
        <v>100</v>
      </c>
      <c r="V522" s="2"/>
      <c r="W522" s="3">
        <v>0</v>
      </c>
      <c r="X522" t="str">
        <f t="shared" si="24"/>
        <v>March</v>
      </c>
      <c r="Y522" t="str">
        <f t="shared" si="25"/>
        <v>Q1</v>
      </c>
      <c r="Z522" s="7">
        <f t="shared" si="26"/>
        <v>32.99</v>
      </c>
    </row>
    <row r="523" spans="1:26" x14ac:dyDescent="0.3">
      <c r="A523" s="4" t="s">
        <v>3334</v>
      </c>
      <c r="B523" s="9" t="s">
        <v>2698</v>
      </c>
      <c r="C523" s="4" t="s">
        <v>3335</v>
      </c>
      <c r="D523" s="4" t="s">
        <v>337</v>
      </c>
      <c r="E523" s="4" t="s">
        <v>3336</v>
      </c>
      <c r="F523" s="4" t="s">
        <v>3337</v>
      </c>
      <c r="G523" s="4" t="s">
        <v>251</v>
      </c>
      <c r="H523" s="4" t="s">
        <v>252</v>
      </c>
      <c r="I523" s="4" t="s">
        <v>31</v>
      </c>
      <c r="J523" s="4" t="s">
        <v>379</v>
      </c>
      <c r="K523" s="4" t="s">
        <v>209</v>
      </c>
      <c r="L523" s="4">
        <v>1</v>
      </c>
      <c r="M523" s="5">
        <v>89.99</v>
      </c>
      <c r="N523" s="4" t="s">
        <v>34</v>
      </c>
      <c r="O523" s="5">
        <v>0</v>
      </c>
      <c r="P523" s="5">
        <v>0</v>
      </c>
      <c r="Q523" s="5">
        <v>7.65</v>
      </c>
      <c r="R523" s="5">
        <v>97.64</v>
      </c>
      <c r="S523" s="4" t="s">
        <v>123</v>
      </c>
      <c r="T523" s="4" t="s">
        <v>99</v>
      </c>
      <c r="U523" s="4" t="s">
        <v>100</v>
      </c>
      <c r="V523" s="4"/>
      <c r="W523" s="5">
        <v>0</v>
      </c>
      <c r="X523" t="str">
        <f t="shared" si="24"/>
        <v>April</v>
      </c>
      <c r="Y523" t="str">
        <f t="shared" si="25"/>
        <v>Q2</v>
      </c>
      <c r="Z523" s="7">
        <f t="shared" si="26"/>
        <v>89.99</v>
      </c>
    </row>
    <row r="524" spans="1:26" x14ac:dyDescent="0.3">
      <c r="A524" s="2" t="s">
        <v>3338</v>
      </c>
      <c r="B524" s="8" t="s">
        <v>1055</v>
      </c>
      <c r="C524" s="2" t="s">
        <v>3339</v>
      </c>
      <c r="D524" s="2" t="s">
        <v>3340</v>
      </c>
      <c r="E524" s="2" t="s">
        <v>3341</v>
      </c>
      <c r="F524" s="2" t="s">
        <v>3342</v>
      </c>
      <c r="G524" s="2" t="s">
        <v>119</v>
      </c>
      <c r="H524" s="2" t="s">
        <v>120</v>
      </c>
      <c r="I524" s="2" t="s">
        <v>31</v>
      </c>
      <c r="J524" s="2" t="s">
        <v>3343</v>
      </c>
      <c r="K524" s="2" t="s">
        <v>122</v>
      </c>
      <c r="L524" s="2">
        <v>2</v>
      </c>
      <c r="M524" s="3">
        <v>189.98</v>
      </c>
      <c r="N524" s="2" t="s">
        <v>49</v>
      </c>
      <c r="O524" s="3">
        <v>28.5</v>
      </c>
      <c r="P524" s="3">
        <v>0</v>
      </c>
      <c r="Q524" s="3">
        <v>11.3</v>
      </c>
      <c r="R524" s="3">
        <v>172.78</v>
      </c>
      <c r="S524" s="2" t="s">
        <v>123</v>
      </c>
      <c r="T524" s="2" t="s">
        <v>99</v>
      </c>
      <c r="U524" s="2" t="s">
        <v>100</v>
      </c>
      <c r="V524" s="2"/>
      <c r="W524" s="3">
        <v>0</v>
      </c>
      <c r="X524" t="str">
        <f t="shared" si="24"/>
        <v>October</v>
      </c>
      <c r="Y524" t="str">
        <f t="shared" si="25"/>
        <v>Q4</v>
      </c>
      <c r="Z524" s="7">
        <f t="shared" si="26"/>
        <v>161.47999999999999</v>
      </c>
    </row>
    <row r="525" spans="1:26" x14ac:dyDescent="0.3">
      <c r="A525" s="4" t="s">
        <v>3344</v>
      </c>
      <c r="B525" s="9" t="s">
        <v>1658</v>
      </c>
      <c r="C525" s="4" t="s">
        <v>3345</v>
      </c>
      <c r="D525" s="4" t="s">
        <v>3346</v>
      </c>
      <c r="E525" s="4" t="s">
        <v>3347</v>
      </c>
      <c r="F525" s="4" t="s">
        <v>3348</v>
      </c>
      <c r="G525" s="4" t="s">
        <v>394</v>
      </c>
      <c r="H525" s="4" t="s">
        <v>395</v>
      </c>
      <c r="I525" s="4" t="s">
        <v>31</v>
      </c>
      <c r="J525" s="4" t="s">
        <v>3349</v>
      </c>
      <c r="K525" s="4" t="s">
        <v>33</v>
      </c>
      <c r="L525" s="4">
        <v>4</v>
      </c>
      <c r="M525" s="5">
        <v>238.94</v>
      </c>
      <c r="N525" s="4" t="s">
        <v>34</v>
      </c>
      <c r="O525" s="5">
        <v>0</v>
      </c>
      <c r="P525" s="5">
        <v>0</v>
      </c>
      <c r="Q525" s="5">
        <v>23.89</v>
      </c>
      <c r="R525" s="5">
        <v>262.83</v>
      </c>
      <c r="S525" s="4" t="s">
        <v>35</v>
      </c>
      <c r="T525" s="4" t="s">
        <v>173</v>
      </c>
      <c r="U525" s="4" t="s">
        <v>66</v>
      </c>
      <c r="V525" s="4" t="s">
        <v>952</v>
      </c>
      <c r="W525" s="5">
        <v>0</v>
      </c>
      <c r="X525" t="str">
        <f t="shared" si="24"/>
        <v>May</v>
      </c>
      <c r="Y525" t="str">
        <f t="shared" si="25"/>
        <v>Q2</v>
      </c>
      <c r="Z525" s="7">
        <f t="shared" si="26"/>
        <v>238.94</v>
      </c>
    </row>
    <row r="526" spans="1:26" x14ac:dyDescent="0.3">
      <c r="A526" s="2" t="s">
        <v>3350</v>
      </c>
      <c r="B526" s="8" t="s">
        <v>1640</v>
      </c>
      <c r="C526" s="2" t="s">
        <v>3351</v>
      </c>
      <c r="D526" s="2" t="s">
        <v>2673</v>
      </c>
      <c r="E526" s="2" t="s">
        <v>3352</v>
      </c>
      <c r="F526" s="2" t="s">
        <v>3353</v>
      </c>
      <c r="G526" s="2" t="s">
        <v>347</v>
      </c>
      <c r="H526" s="2" t="s">
        <v>60</v>
      </c>
      <c r="I526" s="2" t="s">
        <v>31</v>
      </c>
      <c r="J526" s="2" t="s">
        <v>3354</v>
      </c>
      <c r="K526" s="2" t="s">
        <v>48</v>
      </c>
      <c r="L526" s="2">
        <v>4</v>
      </c>
      <c r="M526" s="3">
        <v>444.93</v>
      </c>
      <c r="N526" s="2" t="s">
        <v>34</v>
      </c>
      <c r="O526" s="3">
        <v>0</v>
      </c>
      <c r="P526" s="3">
        <v>0</v>
      </c>
      <c r="Q526" s="3">
        <v>44.49</v>
      </c>
      <c r="R526" s="3">
        <v>489.42</v>
      </c>
      <c r="S526" s="2" t="s">
        <v>35</v>
      </c>
      <c r="T526" s="2" t="s">
        <v>144</v>
      </c>
      <c r="U526" s="2" t="s">
        <v>51</v>
      </c>
      <c r="V526" s="2" t="s">
        <v>2278</v>
      </c>
      <c r="W526" s="3">
        <v>0</v>
      </c>
      <c r="X526" t="str">
        <f t="shared" si="24"/>
        <v>October</v>
      </c>
      <c r="Y526" t="str">
        <f t="shared" si="25"/>
        <v>Q4</v>
      </c>
      <c r="Z526" s="7">
        <f t="shared" si="26"/>
        <v>444.93</v>
      </c>
    </row>
    <row r="527" spans="1:26" x14ac:dyDescent="0.3">
      <c r="A527" s="4" t="s">
        <v>3355</v>
      </c>
      <c r="B527" s="9" t="s">
        <v>3356</v>
      </c>
      <c r="C527" s="4" t="s">
        <v>3357</v>
      </c>
      <c r="D527" s="4" t="s">
        <v>3358</v>
      </c>
      <c r="E527" s="4" t="s">
        <v>3359</v>
      </c>
      <c r="F527" s="4" t="s">
        <v>3360</v>
      </c>
      <c r="G527" s="4" t="s">
        <v>190</v>
      </c>
      <c r="H527" s="4" t="s">
        <v>161</v>
      </c>
      <c r="I527" s="4" t="s">
        <v>31</v>
      </c>
      <c r="J527" s="4" t="s">
        <v>217</v>
      </c>
      <c r="K527" s="4" t="s">
        <v>110</v>
      </c>
      <c r="L527" s="4">
        <v>1</v>
      </c>
      <c r="M527" s="5">
        <v>22.99</v>
      </c>
      <c r="N527" s="4" t="s">
        <v>63</v>
      </c>
      <c r="O527" s="5">
        <v>5.75</v>
      </c>
      <c r="P527" s="5">
        <v>5.99</v>
      </c>
      <c r="Q527" s="5">
        <v>1.21</v>
      </c>
      <c r="R527" s="5">
        <v>24.44</v>
      </c>
      <c r="S527" s="4" t="s">
        <v>35</v>
      </c>
      <c r="T527" s="4" t="s">
        <v>99</v>
      </c>
      <c r="U527" s="4" t="s">
        <v>66</v>
      </c>
      <c r="V527" s="4" t="s">
        <v>1417</v>
      </c>
      <c r="W527" s="5">
        <v>0</v>
      </c>
      <c r="X527" t="str">
        <f t="shared" si="24"/>
        <v>October</v>
      </c>
      <c r="Y527" t="str">
        <f t="shared" si="25"/>
        <v>Q4</v>
      </c>
      <c r="Z527" s="7">
        <f t="shared" si="26"/>
        <v>17.239999999999998</v>
      </c>
    </row>
    <row r="528" spans="1:26" x14ac:dyDescent="0.3">
      <c r="A528" s="2" t="s">
        <v>3361</v>
      </c>
      <c r="B528" s="8" t="s">
        <v>2096</v>
      </c>
      <c r="C528" s="2" t="s">
        <v>3362</v>
      </c>
      <c r="D528" s="2" t="s">
        <v>3363</v>
      </c>
      <c r="E528" s="2" t="s">
        <v>3364</v>
      </c>
      <c r="F528" s="2" t="s">
        <v>3365</v>
      </c>
      <c r="G528" s="2" t="s">
        <v>692</v>
      </c>
      <c r="H528" s="2" t="s">
        <v>693</v>
      </c>
      <c r="I528" s="2" t="s">
        <v>31</v>
      </c>
      <c r="J528" s="2" t="s">
        <v>267</v>
      </c>
      <c r="K528" s="2" t="s">
        <v>62</v>
      </c>
      <c r="L528" s="2">
        <v>1</v>
      </c>
      <c r="M528" s="3">
        <v>54.99</v>
      </c>
      <c r="N528" s="2" t="s">
        <v>34</v>
      </c>
      <c r="O528" s="3">
        <v>0</v>
      </c>
      <c r="P528" s="3">
        <v>5.99</v>
      </c>
      <c r="Q528" s="3">
        <v>3.3</v>
      </c>
      <c r="R528" s="3">
        <v>64.28</v>
      </c>
      <c r="S528" s="2" t="s">
        <v>35</v>
      </c>
      <c r="T528" s="2" t="s">
        <v>99</v>
      </c>
      <c r="U528" s="2" t="s">
        <v>66</v>
      </c>
      <c r="V528" s="2" t="s">
        <v>669</v>
      </c>
      <c r="W528" s="3">
        <v>0</v>
      </c>
      <c r="X528" t="str">
        <f t="shared" si="24"/>
        <v>March</v>
      </c>
      <c r="Y528" t="str">
        <f t="shared" si="25"/>
        <v>Q1</v>
      </c>
      <c r="Z528" s="7">
        <f t="shared" si="26"/>
        <v>54.99</v>
      </c>
    </row>
    <row r="529" spans="1:26" x14ac:dyDescent="0.3">
      <c r="A529" s="4" t="s">
        <v>3366</v>
      </c>
      <c r="B529" s="9" t="s">
        <v>1469</v>
      </c>
      <c r="C529" s="4" t="s">
        <v>3367</v>
      </c>
      <c r="D529" s="4" t="s">
        <v>3368</v>
      </c>
      <c r="E529" s="4" t="s">
        <v>3369</v>
      </c>
      <c r="F529" s="4" t="s">
        <v>3370</v>
      </c>
      <c r="G529" s="4" t="s">
        <v>171</v>
      </c>
      <c r="H529" s="4" t="s">
        <v>88</v>
      </c>
      <c r="I529" s="4" t="s">
        <v>31</v>
      </c>
      <c r="J529" s="4" t="s">
        <v>577</v>
      </c>
      <c r="K529" s="4" t="s">
        <v>364</v>
      </c>
      <c r="L529" s="4">
        <v>1</v>
      </c>
      <c r="M529" s="5">
        <v>19.989999999999998</v>
      </c>
      <c r="N529" s="4" t="s">
        <v>63</v>
      </c>
      <c r="O529" s="5">
        <v>5</v>
      </c>
      <c r="P529" s="5">
        <v>9.99</v>
      </c>
      <c r="Q529" s="5">
        <v>1.5</v>
      </c>
      <c r="R529" s="5">
        <v>26.48</v>
      </c>
      <c r="S529" s="4" t="s">
        <v>35</v>
      </c>
      <c r="T529" s="4" t="s">
        <v>99</v>
      </c>
      <c r="U529" s="4" t="s">
        <v>51</v>
      </c>
      <c r="V529" s="4" t="s">
        <v>915</v>
      </c>
      <c r="W529" s="5">
        <v>0</v>
      </c>
      <c r="X529" t="str">
        <f t="shared" si="24"/>
        <v>March</v>
      </c>
      <c r="Y529" t="str">
        <f t="shared" si="25"/>
        <v>Q1</v>
      </c>
      <c r="Z529" s="7">
        <f t="shared" si="26"/>
        <v>14.989999999999998</v>
      </c>
    </row>
    <row r="530" spans="1:26" x14ac:dyDescent="0.3">
      <c r="A530" s="2" t="s">
        <v>3371</v>
      </c>
      <c r="B530" s="8" t="s">
        <v>3372</v>
      </c>
      <c r="C530" s="2" t="s">
        <v>3373</v>
      </c>
      <c r="D530" s="2" t="s">
        <v>3374</v>
      </c>
      <c r="E530" s="2" t="s">
        <v>3375</v>
      </c>
      <c r="F530" s="2" t="s">
        <v>3376</v>
      </c>
      <c r="G530" s="2" t="s">
        <v>291</v>
      </c>
      <c r="H530" s="2" t="s">
        <v>292</v>
      </c>
      <c r="I530" s="2" t="s">
        <v>31</v>
      </c>
      <c r="J530" s="2" t="s">
        <v>387</v>
      </c>
      <c r="K530" s="2" t="s">
        <v>33</v>
      </c>
      <c r="L530" s="2">
        <v>1</v>
      </c>
      <c r="M530" s="3">
        <v>35.99</v>
      </c>
      <c r="N530" s="2" t="s">
        <v>78</v>
      </c>
      <c r="O530" s="3">
        <v>3.6</v>
      </c>
      <c r="P530" s="3">
        <v>9.99</v>
      </c>
      <c r="Q530" s="3">
        <v>2.59</v>
      </c>
      <c r="R530" s="3">
        <v>44.97</v>
      </c>
      <c r="S530" s="2" t="s">
        <v>79</v>
      </c>
      <c r="T530" s="2" t="s">
        <v>99</v>
      </c>
      <c r="U530" s="2" t="s">
        <v>66</v>
      </c>
      <c r="V530" s="2" t="s">
        <v>1163</v>
      </c>
      <c r="W530" s="3">
        <v>0</v>
      </c>
      <c r="X530" t="str">
        <f t="shared" si="24"/>
        <v>January</v>
      </c>
      <c r="Y530" t="str">
        <f t="shared" si="25"/>
        <v>Q1</v>
      </c>
      <c r="Z530" s="7">
        <f t="shared" si="26"/>
        <v>32.39</v>
      </c>
    </row>
    <row r="531" spans="1:26" x14ac:dyDescent="0.3">
      <c r="A531" s="4" t="s">
        <v>3377</v>
      </c>
      <c r="B531" s="9" t="s">
        <v>496</v>
      </c>
      <c r="C531" s="4" t="s">
        <v>3378</v>
      </c>
      <c r="D531" s="4" t="s">
        <v>2573</v>
      </c>
      <c r="E531" s="4" t="s">
        <v>3379</v>
      </c>
      <c r="F531" s="4" t="s">
        <v>3380</v>
      </c>
      <c r="G531" s="4" t="s">
        <v>802</v>
      </c>
      <c r="H531" s="4" t="s">
        <v>88</v>
      </c>
      <c r="I531" s="4" t="s">
        <v>31</v>
      </c>
      <c r="J531" s="4" t="s">
        <v>3381</v>
      </c>
      <c r="K531" s="4" t="s">
        <v>209</v>
      </c>
      <c r="L531" s="4">
        <v>3</v>
      </c>
      <c r="M531" s="5">
        <v>320.95</v>
      </c>
      <c r="N531" s="4" t="s">
        <v>63</v>
      </c>
      <c r="O531" s="5">
        <v>80.239999999999995</v>
      </c>
      <c r="P531" s="5">
        <v>0</v>
      </c>
      <c r="Q531" s="5">
        <v>21.66</v>
      </c>
      <c r="R531" s="5">
        <v>262.37</v>
      </c>
      <c r="S531" s="4" t="s">
        <v>123</v>
      </c>
      <c r="T531" s="4" t="s">
        <v>36</v>
      </c>
      <c r="U531" s="4" t="s">
        <v>66</v>
      </c>
      <c r="V531" s="4" t="s">
        <v>2865</v>
      </c>
      <c r="W531" s="5">
        <v>0</v>
      </c>
      <c r="X531" t="str">
        <f t="shared" si="24"/>
        <v>August</v>
      </c>
      <c r="Y531" t="str">
        <f t="shared" si="25"/>
        <v>Q3</v>
      </c>
      <c r="Z531" s="7">
        <f t="shared" si="26"/>
        <v>240.70999999999998</v>
      </c>
    </row>
    <row r="532" spans="1:26" x14ac:dyDescent="0.3">
      <c r="A532" s="2" t="s">
        <v>3382</v>
      </c>
      <c r="B532" s="8" t="s">
        <v>1683</v>
      </c>
      <c r="C532" s="2" t="s">
        <v>3383</v>
      </c>
      <c r="D532" s="2" t="s">
        <v>3384</v>
      </c>
      <c r="E532" s="2" t="s">
        <v>3385</v>
      </c>
      <c r="F532" s="2" t="s">
        <v>3386</v>
      </c>
      <c r="G532" s="2" t="s">
        <v>802</v>
      </c>
      <c r="H532" s="2" t="s">
        <v>88</v>
      </c>
      <c r="I532" s="2" t="s">
        <v>31</v>
      </c>
      <c r="J532" s="2" t="s">
        <v>3387</v>
      </c>
      <c r="K532" s="2" t="s">
        <v>122</v>
      </c>
      <c r="L532" s="2">
        <v>3</v>
      </c>
      <c r="M532" s="3">
        <v>243.95</v>
      </c>
      <c r="N532" s="2" t="s">
        <v>78</v>
      </c>
      <c r="O532" s="3">
        <v>24.39</v>
      </c>
      <c r="P532" s="3">
        <v>0</v>
      </c>
      <c r="Q532" s="3">
        <v>17.559999999999999</v>
      </c>
      <c r="R532" s="3">
        <v>237.12</v>
      </c>
      <c r="S532" s="2" t="s">
        <v>64</v>
      </c>
      <c r="T532" s="2" t="s">
        <v>325</v>
      </c>
      <c r="U532" s="2" t="s">
        <v>66</v>
      </c>
      <c r="V532" s="2" t="s">
        <v>1805</v>
      </c>
      <c r="W532" s="3">
        <v>0</v>
      </c>
      <c r="X532" t="str">
        <f t="shared" si="24"/>
        <v>September</v>
      </c>
      <c r="Y532" t="str">
        <f t="shared" si="25"/>
        <v>Q3</v>
      </c>
      <c r="Z532" s="7">
        <f t="shared" si="26"/>
        <v>219.56</v>
      </c>
    </row>
    <row r="533" spans="1:26" x14ac:dyDescent="0.3">
      <c r="A533" s="4" t="s">
        <v>3388</v>
      </c>
      <c r="B533" s="9" t="s">
        <v>930</v>
      </c>
      <c r="C533" s="4" t="s">
        <v>3389</v>
      </c>
      <c r="D533" s="4" t="s">
        <v>3390</v>
      </c>
      <c r="E533" s="4" t="s">
        <v>3391</v>
      </c>
      <c r="F533" s="4" t="s">
        <v>3392</v>
      </c>
      <c r="G533" s="4" t="s">
        <v>119</v>
      </c>
      <c r="H533" s="4" t="s">
        <v>120</v>
      </c>
      <c r="I533" s="4" t="s">
        <v>31</v>
      </c>
      <c r="J533" s="4" t="s">
        <v>3393</v>
      </c>
      <c r="K533" s="4" t="s">
        <v>62</v>
      </c>
      <c r="L533" s="4">
        <v>3</v>
      </c>
      <c r="M533" s="5">
        <v>160.94999999999999</v>
      </c>
      <c r="N533" s="4" t="s">
        <v>49</v>
      </c>
      <c r="O533" s="5">
        <v>24.14</v>
      </c>
      <c r="P533" s="5">
        <v>0</v>
      </c>
      <c r="Q533" s="5">
        <v>8.2100000000000009</v>
      </c>
      <c r="R533" s="5">
        <v>145.02000000000001</v>
      </c>
      <c r="S533" s="4" t="s">
        <v>123</v>
      </c>
      <c r="T533" s="4" t="s">
        <v>173</v>
      </c>
      <c r="U533" s="4" t="s">
        <v>37</v>
      </c>
      <c r="V533" s="4" t="s">
        <v>3356</v>
      </c>
      <c r="W533" s="5">
        <v>145.02000000000001</v>
      </c>
      <c r="X533" t="str">
        <f t="shared" si="24"/>
        <v>October</v>
      </c>
      <c r="Y533" t="str">
        <f t="shared" si="25"/>
        <v>Q4</v>
      </c>
      <c r="Z533" s="7">
        <f t="shared" si="26"/>
        <v>136.81</v>
      </c>
    </row>
    <row r="534" spans="1:26" x14ac:dyDescent="0.3">
      <c r="A534" s="2" t="s">
        <v>3394</v>
      </c>
      <c r="B534" s="8" t="s">
        <v>1102</v>
      </c>
      <c r="C534" s="2" t="s">
        <v>3395</v>
      </c>
      <c r="D534" s="2" t="s">
        <v>3396</v>
      </c>
      <c r="E534" s="2" t="s">
        <v>3397</v>
      </c>
      <c r="F534" s="2" t="s">
        <v>3398</v>
      </c>
      <c r="G534" s="2" t="s">
        <v>1730</v>
      </c>
      <c r="H534" s="2" t="s">
        <v>161</v>
      </c>
      <c r="I534" s="2" t="s">
        <v>31</v>
      </c>
      <c r="J534" s="2" t="s">
        <v>444</v>
      </c>
      <c r="K534" s="2" t="s">
        <v>48</v>
      </c>
      <c r="L534" s="2">
        <v>1</v>
      </c>
      <c r="M534" s="3">
        <v>64.989999999999995</v>
      </c>
      <c r="N534" s="2" t="s">
        <v>63</v>
      </c>
      <c r="O534" s="3">
        <v>16.25</v>
      </c>
      <c r="P534" s="3">
        <v>4.99</v>
      </c>
      <c r="Q534" s="3">
        <v>3.41</v>
      </c>
      <c r="R534" s="3">
        <v>57.14</v>
      </c>
      <c r="S534" s="2" t="s">
        <v>123</v>
      </c>
      <c r="T534" s="2" t="s">
        <v>173</v>
      </c>
      <c r="U534" s="2" t="s">
        <v>37</v>
      </c>
      <c r="V534" s="2" t="s">
        <v>3228</v>
      </c>
      <c r="W534" s="3">
        <v>57.14</v>
      </c>
      <c r="X534" t="str">
        <f t="shared" si="24"/>
        <v>September</v>
      </c>
      <c r="Y534" t="str">
        <f t="shared" si="25"/>
        <v>Q3</v>
      </c>
      <c r="Z534" s="7">
        <f t="shared" si="26"/>
        <v>48.739999999999995</v>
      </c>
    </row>
    <row r="535" spans="1:26" x14ac:dyDescent="0.3">
      <c r="A535" s="4" t="s">
        <v>3399</v>
      </c>
      <c r="B535" s="9" t="s">
        <v>1163</v>
      </c>
      <c r="C535" s="4" t="s">
        <v>3400</v>
      </c>
      <c r="D535" s="4" t="s">
        <v>3401</v>
      </c>
      <c r="E535" s="4" t="s">
        <v>3402</v>
      </c>
      <c r="F535" s="4" t="s">
        <v>3403</v>
      </c>
      <c r="G535" s="4" t="s">
        <v>251</v>
      </c>
      <c r="H535" s="4" t="s">
        <v>252</v>
      </c>
      <c r="I535" s="4" t="s">
        <v>31</v>
      </c>
      <c r="J535" s="4" t="s">
        <v>3404</v>
      </c>
      <c r="K535" s="4" t="s">
        <v>48</v>
      </c>
      <c r="L535" s="4">
        <v>3</v>
      </c>
      <c r="M535" s="5">
        <v>217.96</v>
      </c>
      <c r="N535" s="4" t="s">
        <v>34</v>
      </c>
      <c r="O535" s="5">
        <v>0</v>
      </c>
      <c r="P535" s="5">
        <v>0</v>
      </c>
      <c r="Q535" s="5">
        <v>17.440000000000001</v>
      </c>
      <c r="R535" s="5">
        <v>235.4</v>
      </c>
      <c r="S535" s="4" t="s">
        <v>64</v>
      </c>
      <c r="T535" s="4" t="s">
        <v>36</v>
      </c>
      <c r="U535" s="4" t="s">
        <v>66</v>
      </c>
      <c r="V535" s="4" t="s">
        <v>932</v>
      </c>
      <c r="W535" s="5">
        <v>0</v>
      </c>
      <c r="X535" t="str">
        <f t="shared" si="24"/>
        <v>January</v>
      </c>
      <c r="Y535" t="str">
        <f t="shared" si="25"/>
        <v>Q1</v>
      </c>
      <c r="Z535" s="7">
        <f t="shared" si="26"/>
        <v>217.96</v>
      </c>
    </row>
    <row r="536" spans="1:26" x14ac:dyDescent="0.3">
      <c r="A536" s="2" t="s">
        <v>3405</v>
      </c>
      <c r="B536" s="8" t="s">
        <v>155</v>
      </c>
      <c r="C536" s="2" t="s">
        <v>3406</v>
      </c>
      <c r="D536" s="2" t="s">
        <v>906</v>
      </c>
      <c r="E536" s="2" t="s">
        <v>3407</v>
      </c>
      <c r="F536" s="2" t="s">
        <v>3408</v>
      </c>
      <c r="G536" s="2" t="s">
        <v>107</v>
      </c>
      <c r="H536" s="2" t="s">
        <v>108</v>
      </c>
      <c r="I536" s="2" t="s">
        <v>31</v>
      </c>
      <c r="J536" s="2" t="s">
        <v>47</v>
      </c>
      <c r="K536" s="2" t="s">
        <v>48</v>
      </c>
      <c r="L536" s="2">
        <v>1</v>
      </c>
      <c r="M536" s="3">
        <v>42.99</v>
      </c>
      <c r="N536" s="2" t="s">
        <v>34</v>
      </c>
      <c r="O536" s="3">
        <v>0</v>
      </c>
      <c r="P536" s="3">
        <v>5.99</v>
      </c>
      <c r="Q536" s="3">
        <v>3.87</v>
      </c>
      <c r="R536" s="3">
        <v>52.85</v>
      </c>
      <c r="S536" s="2" t="s">
        <v>35</v>
      </c>
      <c r="T536" s="2" t="s">
        <v>36</v>
      </c>
      <c r="U536" s="2" t="s">
        <v>51</v>
      </c>
      <c r="V536" s="2" t="s">
        <v>24</v>
      </c>
      <c r="W536" s="3">
        <v>0</v>
      </c>
      <c r="X536" t="str">
        <f t="shared" si="24"/>
        <v>February</v>
      </c>
      <c r="Y536" t="str">
        <f t="shared" si="25"/>
        <v>Q1</v>
      </c>
      <c r="Z536" s="7">
        <f t="shared" si="26"/>
        <v>42.99</v>
      </c>
    </row>
    <row r="537" spans="1:26" x14ac:dyDescent="0.3">
      <c r="A537" s="4" t="s">
        <v>3409</v>
      </c>
      <c r="B537" s="9" t="s">
        <v>1446</v>
      </c>
      <c r="C537" s="4" t="s">
        <v>3410</v>
      </c>
      <c r="D537" s="4" t="s">
        <v>3411</v>
      </c>
      <c r="E537" s="4" t="s">
        <v>3412</v>
      </c>
      <c r="F537" s="4" t="s">
        <v>3413</v>
      </c>
      <c r="G537" s="4" t="s">
        <v>119</v>
      </c>
      <c r="H537" s="4" t="s">
        <v>120</v>
      </c>
      <c r="I537" s="4" t="s">
        <v>31</v>
      </c>
      <c r="J537" s="4" t="s">
        <v>3414</v>
      </c>
      <c r="K537" s="4" t="s">
        <v>209</v>
      </c>
      <c r="L537" s="4">
        <v>2</v>
      </c>
      <c r="M537" s="5">
        <v>219.97</v>
      </c>
      <c r="N537" s="4" t="s">
        <v>78</v>
      </c>
      <c r="O537" s="5">
        <v>22</v>
      </c>
      <c r="P537" s="5">
        <v>0</v>
      </c>
      <c r="Q537" s="5">
        <v>13.86</v>
      </c>
      <c r="R537" s="5">
        <v>211.83</v>
      </c>
      <c r="S537" s="4" t="s">
        <v>35</v>
      </c>
      <c r="T537" s="4" t="s">
        <v>99</v>
      </c>
      <c r="U537" s="4" t="s">
        <v>66</v>
      </c>
      <c r="V537" s="4" t="s">
        <v>3415</v>
      </c>
      <c r="W537" s="5">
        <v>0</v>
      </c>
      <c r="X537" t="str">
        <f t="shared" si="24"/>
        <v>January</v>
      </c>
      <c r="Y537" t="str">
        <f t="shared" si="25"/>
        <v>Q1</v>
      </c>
      <c r="Z537" s="7">
        <f t="shared" si="26"/>
        <v>197.97</v>
      </c>
    </row>
    <row r="538" spans="1:26" x14ac:dyDescent="0.3">
      <c r="A538" s="2" t="s">
        <v>3416</v>
      </c>
      <c r="B538" s="8" t="s">
        <v>1323</v>
      </c>
      <c r="C538" s="2" t="s">
        <v>3417</v>
      </c>
      <c r="D538" s="2" t="s">
        <v>719</v>
      </c>
      <c r="E538" s="2" t="s">
        <v>3418</v>
      </c>
      <c r="F538" s="2" t="s">
        <v>3419</v>
      </c>
      <c r="G538" s="2" t="s">
        <v>131</v>
      </c>
      <c r="H538" s="2" t="s">
        <v>88</v>
      </c>
      <c r="I538" s="2" t="s">
        <v>31</v>
      </c>
      <c r="J538" s="2" t="s">
        <v>3420</v>
      </c>
      <c r="K538" s="2" t="s">
        <v>48</v>
      </c>
      <c r="L538" s="2">
        <v>3</v>
      </c>
      <c r="M538" s="3">
        <v>244.96</v>
      </c>
      <c r="N538" s="2" t="s">
        <v>34</v>
      </c>
      <c r="O538" s="3">
        <v>0</v>
      </c>
      <c r="P538" s="3">
        <v>0</v>
      </c>
      <c r="Q538" s="3">
        <v>20.82</v>
      </c>
      <c r="R538" s="3">
        <v>265.77999999999997</v>
      </c>
      <c r="S538" s="2" t="s">
        <v>35</v>
      </c>
      <c r="T538" s="2" t="s">
        <v>99</v>
      </c>
      <c r="U538" s="2" t="s">
        <v>66</v>
      </c>
      <c r="V538" s="2" t="s">
        <v>3421</v>
      </c>
      <c r="W538" s="3">
        <v>0</v>
      </c>
      <c r="X538" t="str">
        <f t="shared" si="24"/>
        <v>September</v>
      </c>
      <c r="Y538" t="str">
        <f t="shared" si="25"/>
        <v>Q3</v>
      </c>
      <c r="Z538" s="7">
        <f t="shared" si="26"/>
        <v>244.96</v>
      </c>
    </row>
    <row r="539" spans="1:26" x14ac:dyDescent="0.3">
      <c r="A539" s="4" t="s">
        <v>3422</v>
      </c>
      <c r="B539" s="9" t="s">
        <v>1321</v>
      </c>
      <c r="C539" s="4" t="s">
        <v>3423</v>
      </c>
      <c r="D539" s="4" t="s">
        <v>3424</v>
      </c>
      <c r="E539" s="4" t="s">
        <v>3425</v>
      </c>
      <c r="F539" s="4" t="s">
        <v>3426</v>
      </c>
      <c r="G539" s="4" t="s">
        <v>251</v>
      </c>
      <c r="H539" s="4" t="s">
        <v>252</v>
      </c>
      <c r="I539" s="4" t="s">
        <v>31</v>
      </c>
      <c r="J539" s="4" t="s">
        <v>3427</v>
      </c>
      <c r="K539" s="4" t="s">
        <v>33</v>
      </c>
      <c r="L539" s="4">
        <v>3</v>
      </c>
      <c r="M539" s="5">
        <v>142.97</v>
      </c>
      <c r="N539" s="4" t="s">
        <v>49</v>
      </c>
      <c r="O539" s="5">
        <v>21.45</v>
      </c>
      <c r="P539" s="5">
        <v>0</v>
      </c>
      <c r="Q539" s="5">
        <v>7.29</v>
      </c>
      <c r="R539" s="5">
        <v>128.81</v>
      </c>
      <c r="S539" s="4" t="s">
        <v>64</v>
      </c>
      <c r="T539" s="4" t="s">
        <v>99</v>
      </c>
      <c r="U539" s="4" t="s">
        <v>66</v>
      </c>
      <c r="V539" s="4" t="s">
        <v>1521</v>
      </c>
      <c r="W539" s="5">
        <v>0</v>
      </c>
      <c r="X539" t="str">
        <f t="shared" si="24"/>
        <v>March</v>
      </c>
      <c r="Y539" t="str">
        <f t="shared" si="25"/>
        <v>Q1</v>
      </c>
      <c r="Z539" s="7">
        <f t="shared" si="26"/>
        <v>121.52</v>
      </c>
    </row>
    <row r="540" spans="1:26" x14ac:dyDescent="0.3">
      <c r="A540" s="2" t="s">
        <v>3428</v>
      </c>
      <c r="B540" s="8" t="s">
        <v>1334</v>
      </c>
      <c r="C540" s="2" t="s">
        <v>3429</v>
      </c>
      <c r="D540" s="2" t="s">
        <v>2868</v>
      </c>
      <c r="E540" s="2" t="s">
        <v>3430</v>
      </c>
      <c r="F540" s="2" t="s">
        <v>3431</v>
      </c>
      <c r="G540" s="2" t="s">
        <v>224</v>
      </c>
      <c r="H540" s="2" t="s">
        <v>225</v>
      </c>
      <c r="I540" s="2" t="s">
        <v>31</v>
      </c>
      <c r="J540" s="2" t="s">
        <v>316</v>
      </c>
      <c r="K540" s="2" t="s">
        <v>48</v>
      </c>
      <c r="L540" s="2">
        <v>1</v>
      </c>
      <c r="M540" s="3">
        <v>34.99</v>
      </c>
      <c r="N540" s="2" t="s">
        <v>34</v>
      </c>
      <c r="O540" s="3">
        <v>0</v>
      </c>
      <c r="P540" s="3">
        <v>4.99</v>
      </c>
      <c r="Q540" s="3">
        <v>2.1</v>
      </c>
      <c r="R540" s="3">
        <v>42.08</v>
      </c>
      <c r="S540" s="2" t="s">
        <v>437</v>
      </c>
      <c r="T540" s="2" t="s">
        <v>99</v>
      </c>
      <c r="U540" s="2" t="s">
        <v>51</v>
      </c>
      <c r="V540" s="2" t="s">
        <v>1176</v>
      </c>
      <c r="W540" s="3">
        <v>0</v>
      </c>
      <c r="X540" t="str">
        <f t="shared" si="24"/>
        <v>January</v>
      </c>
      <c r="Y540" t="str">
        <f t="shared" si="25"/>
        <v>Q1</v>
      </c>
      <c r="Z540" s="7">
        <f t="shared" si="26"/>
        <v>34.99</v>
      </c>
    </row>
    <row r="541" spans="1:26" x14ac:dyDescent="0.3">
      <c r="A541" s="4" t="s">
        <v>3432</v>
      </c>
      <c r="B541" s="9" t="s">
        <v>1222</v>
      </c>
      <c r="C541" s="4" t="s">
        <v>3433</v>
      </c>
      <c r="D541" s="4" t="s">
        <v>3434</v>
      </c>
      <c r="E541" s="4" t="s">
        <v>3435</v>
      </c>
      <c r="F541" s="4" t="s">
        <v>3436</v>
      </c>
      <c r="G541" s="4" t="s">
        <v>224</v>
      </c>
      <c r="H541" s="4" t="s">
        <v>225</v>
      </c>
      <c r="I541" s="4" t="s">
        <v>31</v>
      </c>
      <c r="J541" s="4" t="s">
        <v>283</v>
      </c>
      <c r="K541" s="4" t="s">
        <v>209</v>
      </c>
      <c r="L541" s="4">
        <v>1</v>
      </c>
      <c r="M541" s="5">
        <v>49.99</v>
      </c>
      <c r="N541" s="4" t="s">
        <v>78</v>
      </c>
      <c r="O541" s="5">
        <v>5</v>
      </c>
      <c r="P541" s="5">
        <v>4.99</v>
      </c>
      <c r="Q541" s="5">
        <v>2.7</v>
      </c>
      <c r="R541" s="5">
        <v>52.68</v>
      </c>
      <c r="S541" s="4" t="s">
        <v>332</v>
      </c>
      <c r="T541" s="4" t="s">
        <v>99</v>
      </c>
      <c r="U541" s="4" t="s">
        <v>66</v>
      </c>
      <c r="V541" s="4" t="s">
        <v>579</v>
      </c>
      <c r="W541" s="5">
        <v>0</v>
      </c>
      <c r="X541" t="str">
        <f t="shared" si="24"/>
        <v>July</v>
      </c>
      <c r="Y541" t="str">
        <f t="shared" si="25"/>
        <v>Q3</v>
      </c>
      <c r="Z541" s="7">
        <f t="shared" si="26"/>
        <v>44.99</v>
      </c>
    </row>
    <row r="542" spans="1:26" x14ac:dyDescent="0.3">
      <c r="A542" s="2" t="s">
        <v>3437</v>
      </c>
      <c r="B542" s="8" t="s">
        <v>3438</v>
      </c>
      <c r="C542" s="2" t="s">
        <v>3439</v>
      </c>
      <c r="D542" s="2" t="s">
        <v>288</v>
      </c>
      <c r="E542" s="2" t="s">
        <v>3440</v>
      </c>
      <c r="F542" s="2" t="s">
        <v>3441</v>
      </c>
      <c r="G542" s="2" t="s">
        <v>207</v>
      </c>
      <c r="H542" s="2" t="s">
        <v>141</v>
      </c>
      <c r="I542" s="2" t="s">
        <v>31</v>
      </c>
      <c r="J542" s="2" t="s">
        <v>1269</v>
      </c>
      <c r="K542" s="2" t="s">
        <v>77</v>
      </c>
      <c r="L542" s="2">
        <v>1</v>
      </c>
      <c r="M542" s="3">
        <v>27.99</v>
      </c>
      <c r="N542" s="2" t="s">
        <v>34</v>
      </c>
      <c r="O542" s="3">
        <v>0</v>
      </c>
      <c r="P542" s="3">
        <v>9.99</v>
      </c>
      <c r="Q542" s="3">
        <v>2.8</v>
      </c>
      <c r="R542" s="3">
        <v>40.78</v>
      </c>
      <c r="S542" s="2" t="s">
        <v>111</v>
      </c>
      <c r="T542" s="2" t="s">
        <v>183</v>
      </c>
      <c r="U542" s="2" t="s">
        <v>66</v>
      </c>
      <c r="V542" s="2" t="s">
        <v>1149</v>
      </c>
      <c r="W542" s="3">
        <v>0</v>
      </c>
      <c r="X542" t="str">
        <f t="shared" si="24"/>
        <v>June</v>
      </c>
      <c r="Y542" t="str">
        <f t="shared" si="25"/>
        <v>Q2</v>
      </c>
      <c r="Z542" s="7">
        <f t="shared" si="26"/>
        <v>27.99</v>
      </c>
    </row>
    <row r="543" spans="1:26" x14ac:dyDescent="0.3">
      <c r="A543" s="4" t="s">
        <v>3442</v>
      </c>
      <c r="B543" s="9" t="s">
        <v>609</v>
      </c>
      <c r="C543" s="4" t="s">
        <v>3443</v>
      </c>
      <c r="D543" s="4" t="s">
        <v>1132</v>
      </c>
      <c r="E543" s="4" t="s">
        <v>3444</v>
      </c>
      <c r="F543" s="4" t="s">
        <v>3445</v>
      </c>
      <c r="G543" s="4" t="s">
        <v>394</v>
      </c>
      <c r="H543" s="4" t="s">
        <v>395</v>
      </c>
      <c r="I543" s="4" t="s">
        <v>31</v>
      </c>
      <c r="J543" s="4" t="s">
        <v>3446</v>
      </c>
      <c r="K543" s="4" t="s">
        <v>209</v>
      </c>
      <c r="L543" s="4">
        <v>4</v>
      </c>
      <c r="M543" s="5">
        <v>132.96</v>
      </c>
      <c r="N543" s="4" t="s">
        <v>49</v>
      </c>
      <c r="O543" s="5">
        <v>19.940000000000001</v>
      </c>
      <c r="P543" s="5">
        <v>0</v>
      </c>
      <c r="Q543" s="5">
        <v>7.91</v>
      </c>
      <c r="R543" s="5">
        <v>120.93</v>
      </c>
      <c r="S543" s="4" t="s">
        <v>111</v>
      </c>
      <c r="T543" s="4" t="s">
        <v>144</v>
      </c>
      <c r="U543" s="4" t="s">
        <v>66</v>
      </c>
      <c r="V543" s="4" t="s">
        <v>133</v>
      </c>
      <c r="W543" s="5">
        <v>0</v>
      </c>
      <c r="X543" t="str">
        <f t="shared" si="24"/>
        <v>December</v>
      </c>
      <c r="Y543" t="str">
        <f t="shared" si="25"/>
        <v>Q4</v>
      </c>
      <c r="Z543" s="7">
        <f t="shared" si="26"/>
        <v>113.02000000000001</v>
      </c>
    </row>
    <row r="544" spans="1:26" x14ac:dyDescent="0.3">
      <c r="A544" s="2" t="s">
        <v>3447</v>
      </c>
      <c r="B544" s="8" t="s">
        <v>166</v>
      </c>
      <c r="C544" s="2" t="s">
        <v>3448</v>
      </c>
      <c r="D544" s="2" t="s">
        <v>3449</v>
      </c>
      <c r="E544" s="2" t="s">
        <v>3450</v>
      </c>
      <c r="F544" s="2" t="s">
        <v>3451</v>
      </c>
      <c r="G544" s="2" t="s">
        <v>242</v>
      </c>
      <c r="H544" s="2" t="s">
        <v>243</v>
      </c>
      <c r="I544" s="2" t="s">
        <v>31</v>
      </c>
      <c r="J544" s="2" t="s">
        <v>3452</v>
      </c>
      <c r="K544" s="2" t="s">
        <v>209</v>
      </c>
      <c r="L544" s="2">
        <v>4</v>
      </c>
      <c r="M544" s="3">
        <v>295.93</v>
      </c>
      <c r="N544" s="2" t="s">
        <v>34</v>
      </c>
      <c r="O544" s="3">
        <v>0</v>
      </c>
      <c r="P544" s="3">
        <v>0</v>
      </c>
      <c r="Q544" s="3">
        <v>17.760000000000002</v>
      </c>
      <c r="R544" s="3">
        <v>313.69</v>
      </c>
      <c r="S544" s="2" t="s">
        <v>64</v>
      </c>
      <c r="T544" s="2" t="s">
        <v>50</v>
      </c>
      <c r="U544" s="2" t="s">
        <v>66</v>
      </c>
      <c r="V544" s="2" t="s">
        <v>1194</v>
      </c>
      <c r="W544" s="3">
        <v>0</v>
      </c>
      <c r="X544" t="str">
        <f t="shared" si="24"/>
        <v>November</v>
      </c>
      <c r="Y544" t="str">
        <f t="shared" si="25"/>
        <v>Q4</v>
      </c>
      <c r="Z544" s="7">
        <f t="shared" si="26"/>
        <v>295.93</v>
      </c>
    </row>
    <row r="545" spans="1:26" x14ac:dyDescent="0.3">
      <c r="A545" s="4" t="s">
        <v>3453</v>
      </c>
      <c r="B545" s="9" t="s">
        <v>579</v>
      </c>
      <c r="C545" s="4" t="s">
        <v>3454</v>
      </c>
      <c r="D545" s="4" t="s">
        <v>3455</v>
      </c>
      <c r="E545" s="4" t="s">
        <v>3456</v>
      </c>
      <c r="F545" s="4" t="s">
        <v>3457</v>
      </c>
      <c r="G545" s="4" t="s">
        <v>394</v>
      </c>
      <c r="H545" s="4" t="s">
        <v>395</v>
      </c>
      <c r="I545" s="4" t="s">
        <v>31</v>
      </c>
      <c r="J545" s="4" t="s">
        <v>3458</v>
      </c>
      <c r="K545" s="4" t="s">
        <v>364</v>
      </c>
      <c r="L545" s="4">
        <v>2</v>
      </c>
      <c r="M545" s="5">
        <v>62.97</v>
      </c>
      <c r="N545" s="4" t="s">
        <v>34</v>
      </c>
      <c r="O545" s="5">
        <v>0</v>
      </c>
      <c r="P545" s="5">
        <v>9.99</v>
      </c>
      <c r="Q545" s="5">
        <v>5.35</v>
      </c>
      <c r="R545" s="5">
        <v>78.31</v>
      </c>
      <c r="S545" s="4" t="s">
        <v>123</v>
      </c>
      <c r="T545" s="4" t="s">
        <v>173</v>
      </c>
      <c r="U545" s="4" t="s">
        <v>100</v>
      </c>
      <c r="V545" s="4"/>
      <c r="W545" s="5">
        <v>0</v>
      </c>
      <c r="X545" t="str">
        <f t="shared" si="24"/>
        <v>July</v>
      </c>
      <c r="Y545" t="str">
        <f t="shared" si="25"/>
        <v>Q3</v>
      </c>
      <c r="Z545" s="7">
        <f t="shared" si="26"/>
        <v>62.97</v>
      </c>
    </row>
    <row r="546" spans="1:26" x14ac:dyDescent="0.3">
      <c r="A546" s="2" t="s">
        <v>3459</v>
      </c>
      <c r="B546" s="8" t="s">
        <v>1774</v>
      </c>
      <c r="C546" s="2" t="s">
        <v>3460</v>
      </c>
      <c r="D546" s="2" t="s">
        <v>3461</v>
      </c>
      <c r="E546" s="2" t="s">
        <v>3462</v>
      </c>
      <c r="F546" s="2" t="s">
        <v>3463</v>
      </c>
      <c r="G546" s="2" t="s">
        <v>676</v>
      </c>
      <c r="H546" s="2" t="s">
        <v>677</v>
      </c>
      <c r="I546" s="2" t="s">
        <v>31</v>
      </c>
      <c r="J546" s="2" t="s">
        <v>3464</v>
      </c>
      <c r="K546" s="2" t="s">
        <v>48</v>
      </c>
      <c r="L546" s="2">
        <v>3</v>
      </c>
      <c r="M546" s="3">
        <v>181.96</v>
      </c>
      <c r="N546" s="2" t="s">
        <v>34</v>
      </c>
      <c r="O546" s="3">
        <v>0</v>
      </c>
      <c r="P546" s="3">
        <v>0</v>
      </c>
      <c r="Q546" s="3">
        <v>14.56</v>
      </c>
      <c r="R546" s="3">
        <v>196.52</v>
      </c>
      <c r="S546" s="2" t="s">
        <v>64</v>
      </c>
      <c r="T546" s="2" t="s">
        <v>50</v>
      </c>
      <c r="U546" s="2" t="s">
        <v>66</v>
      </c>
      <c r="V546" s="2" t="s">
        <v>3465</v>
      </c>
      <c r="W546" s="3">
        <v>0</v>
      </c>
      <c r="X546" t="str">
        <f t="shared" si="24"/>
        <v>August</v>
      </c>
      <c r="Y546" t="str">
        <f t="shared" si="25"/>
        <v>Q3</v>
      </c>
      <c r="Z546" s="7">
        <f t="shared" si="26"/>
        <v>181.96</v>
      </c>
    </row>
    <row r="547" spans="1:26" x14ac:dyDescent="0.3">
      <c r="A547" s="4" t="s">
        <v>3466</v>
      </c>
      <c r="B547" s="9" t="s">
        <v>1580</v>
      </c>
      <c r="C547" s="4" t="s">
        <v>3467</v>
      </c>
      <c r="D547" s="4" t="s">
        <v>3468</v>
      </c>
      <c r="E547" s="4" t="s">
        <v>3469</v>
      </c>
      <c r="F547" s="4" t="s">
        <v>3470</v>
      </c>
      <c r="G547" s="4" t="s">
        <v>140</v>
      </c>
      <c r="H547" s="4" t="s">
        <v>141</v>
      </c>
      <c r="I547" s="4" t="s">
        <v>31</v>
      </c>
      <c r="J547" s="4" t="s">
        <v>503</v>
      </c>
      <c r="K547" s="4" t="s">
        <v>122</v>
      </c>
      <c r="L547" s="4">
        <v>1</v>
      </c>
      <c r="M547" s="5">
        <v>59.99</v>
      </c>
      <c r="N547" s="4" t="s">
        <v>34</v>
      </c>
      <c r="O547" s="5">
        <v>0</v>
      </c>
      <c r="P547" s="5">
        <v>4.99</v>
      </c>
      <c r="Q547" s="5">
        <v>6</v>
      </c>
      <c r="R547" s="5">
        <v>70.98</v>
      </c>
      <c r="S547" s="4" t="s">
        <v>64</v>
      </c>
      <c r="T547" s="4" t="s">
        <v>99</v>
      </c>
      <c r="U547" s="4" t="s">
        <v>66</v>
      </c>
      <c r="V547" s="4" t="s">
        <v>505</v>
      </c>
      <c r="W547" s="5">
        <v>0</v>
      </c>
      <c r="X547" t="str">
        <f t="shared" si="24"/>
        <v>April</v>
      </c>
      <c r="Y547" t="str">
        <f t="shared" si="25"/>
        <v>Q2</v>
      </c>
      <c r="Z547" s="7">
        <f t="shared" si="26"/>
        <v>59.99</v>
      </c>
    </row>
    <row r="548" spans="1:26" x14ac:dyDescent="0.3">
      <c r="A548" s="2" t="s">
        <v>3471</v>
      </c>
      <c r="B548" s="8" t="s">
        <v>2406</v>
      </c>
      <c r="C548" s="2" t="s">
        <v>3472</v>
      </c>
      <c r="D548" s="2" t="s">
        <v>1261</v>
      </c>
      <c r="E548" s="2" t="s">
        <v>3473</v>
      </c>
      <c r="F548" s="2" t="s">
        <v>3474</v>
      </c>
      <c r="G548" s="2" t="s">
        <v>323</v>
      </c>
      <c r="H548" s="2" t="s">
        <v>324</v>
      </c>
      <c r="I548" s="2" t="s">
        <v>31</v>
      </c>
      <c r="J548" s="2" t="s">
        <v>503</v>
      </c>
      <c r="K548" s="2" t="s">
        <v>122</v>
      </c>
      <c r="L548" s="2">
        <v>1</v>
      </c>
      <c r="M548" s="3">
        <v>59.99</v>
      </c>
      <c r="N548" s="2" t="s">
        <v>152</v>
      </c>
      <c r="O548" s="3">
        <v>3</v>
      </c>
      <c r="P548" s="3">
        <v>9.99</v>
      </c>
      <c r="Q548" s="3">
        <v>3.99</v>
      </c>
      <c r="R548" s="3">
        <v>70.97</v>
      </c>
      <c r="S548" s="2" t="s">
        <v>332</v>
      </c>
      <c r="T548" s="2" t="s">
        <v>173</v>
      </c>
      <c r="U548" s="2" t="s">
        <v>66</v>
      </c>
      <c r="V548" s="2" t="s">
        <v>3475</v>
      </c>
      <c r="W548" s="3">
        <v>0</v>
      </c>
      <c r="X548" t="str">
        <f t="shared" si="24"/>
        <v>May</v>
      </c>
      <c r="Y548" t="str">
        <f t="shared" si="25"/>
        <v>Q2</v>
      </c>
      <c r="Z548" s="7">
        <f t="shared" si="26"/>
        <v>56.99</v>
      </c>
    </row>
    <row r="549" spans="1:26" x14ac:dyDescent="0.3">
      <c r="A549" s="4" t="s">
        <v>3476</v>
      </c>
      <c r="B549" s="9" t="s">
        <v>212</v>
      </c>
      <c r="C549" s="4" t="s">
        <v>3477</v>
      </c>
      <c r="D549" s="4" t="s">
        <v>1492</v>
      </c>
      <c r="E549" s="4" t="s">
        <v>3478</v>
      </c>
      <c r="F549" s="4" t="s">
        <v>3479</v>
      </c>
      <c r="G549" s="4" t="s">
        <v>45</v>
      </c>
      <c r="H549" s="4" t="s">
        <v>46</v>
      </c>
      <c r="I549" s="4" t="s">
        <v>31</v>
      </c>
      <c r="J549" s="4" t="s">
        <v>526</v>
      </c>
      <c r="K549" s="4" t="s">
        <v>110</v>
      </c>
      <c r="L549" s="4">
        <v>1</v>
      </c>
      <c r="M549" s="5">
        <v>32.99</v>
      </c>
      <c r="N549" s="4" t="s">
        <v>34</v>
      </c>
      <c r="O549" s="5">
        <v>0</v>
      </c>
      <c r="P549" s="5">
        <v>5.99</v>
      </c>
      <c r="Q549" s="5">
        <v>1.98</v>
      </c>
      <c r="R549" s="5">
        <v>40.96</v>
      </c>
      <c r="S549" s="4" t="s">
        <v>123</v>
      </c>
      <c r="T549" s="4" t="s">
        <v>173</v>
      </c>
      <c r="U549" s="4" t="s">
        <v>100</v>
      </c>
      <c r="V549" s="4"/>
      <c r="W549" s="5">
        <v>0</v>
      </c>
      <c r="X549" t="str">
        <f t="shared" si="24"/>
        <v>March</v>
      </c>
      <c r="Y549" t="str">
        <f t="shared" si="25"/>
        <v>Q1</v>
      </c>
      <c r="Z549" s="7">
        <f t="shared" si="26"/>
        <v>32.99</v>
      </c>
    </row>
    <row r="550" spans="1:26" x14ac:dyDescent="0.3">
      <c r="A550" s="2" t="s">
        <v>3480</v>
      </c>
      <c r="B550" s="8" t="s">
        <v>133</v>
      </c>
      <c r="C550" s="2" t="s">
        <v>3481</v>
      </c>
      <c r="D550" s="2" t="s">
        <v>3482</v>
      </c>
      <c r="E550" s="2" t="s">
        <v>3483</v>
      </c>
      <c r="F550" s="2" t="s">
        <v>3484</v>
      </c>
      <c r="G550" s="2" t="s">
        <v>190</v>
      </c>
      <c r="H550" s="2" t="s">
        <v>161</v>
      </c>
      <c r="I550" s="2" t="s">
        <v>31</v>
      </c>
      <c r="J550" s="2" t="s">
        <v>495</v>
      </c>
      <c r="K550" s="2" t="s">
        <v>209</v>
      </c>
      <c r="L550" s="2">
        <v>1</v>
      </c>
      <c r="M550" s="3">
        <v>29.99</v>
      </c>
      <c r="N550" s="2" t="s">
        <v>34</v>
      </c>
      <c r="O550" s="3">
        <v>0</v>
      </c>
      <c r="P550" s="3">
        <v>5.99</v>
      </c>
      <c r="Q550" s="3">
        <v>2.5499999999999998</v>
      </c>
      <c r="R550" s="3">
        <v>38.53</v>
      </c>
      <c r="S550" s="2" t="s">
        <v>64</v>
      </c>
      <c r="T550" s="2" t="s">
        <v>99</v>
      </c>
      <c r="U550" s="2" t="s">
        <v>66</v>
      </c>
      <c r="V550" s="2" t="s">
        <v>824</v>
      </c>
      <c r="W550" s="3">
        <v>0</v>
      </c>
      <c r="X550" t="str">
        <f t="shared" si="24"/>
        <v>December</v>
      </c>
      <c r="Y550" t="str">
        <f t="shared" si="25"/>
        <v>Q4</v>
      </c>
      <c r="Z550" s="7">
        <f t="shared" si="26"/>
        <v>29.99</v>
      </c>
    </row>
    <row r="551" spans="1:26" x14ac:dyDescent="0.3">
      <c r="A551" s="4" t="s">
        <v>3485</v>
      </c>
      <c r="B551" s="9" t="s">
        <v>3486</v>
      </c>
      <c r="C551" s="4" t="s">
        <v>3487</v>
      </c>
      <c r="D551" s="4" t="s">
        <v>3488</v>
      </c>
      <c r="E551" s="4" t="s">
        <v>3489</v>
      </c>
      <c r="F551" s="4" t="s">
        <v>3490</v>
      </c>
      <c r="G551" s="4" t="s">
        <v>131</v>
      </c>
      <c r="H551" s="4" t="s">
        <v>88</v>
      </c>
      <c r="I551" s="4" t="s">
        <v>31</v>
      </c>
      <c r="J551" s="4" t="s">
        <v>1269</v>
      </c>
      <c r="K551" s="4" t="s">
        <v>77</v>
      </c>
      <c r="L551" s="4">
        <v>1</v>
      </c>
      <c r="M551" s="5">
        <v>27.99</v>
      </c>
      <c r="N551" s="4" t="s">
        <v>34</v>
      </c>
      <c r="O551" s="5">
        <v>0</v>
      </c>
      <c r="P551" s="5">
        <v>7.99</v>
      </c>
      <c r="Q551" s="5">
        <v>1.68</v>
      </c>
      <c r="R551" s="5">
        <v>37.659999999999997</v>
      </c>
      <c r="S551" s="4" t="s">
        <v>35</v>
      </c>
      <c r="T551" s="4" t="s">
        <v>99</v>
      </c>
      <c r="U551" s="4" t="s">
        <v>51</v>
      </c>
      <c r="V551" s="4" t="s">
        <v>3092</v>
      </c>
      <c r="W551" s="5">
        <v>0</v>
      </c>
      <c r="X551" t="str">
        <f t="shared" si="24"/>
        <v>March</v>
      </c>
      <c r="Y551" t="str">
        <f t="shared" si="25"/>
        <v>Q1</v>
      </c>
      <c r="Z551" s="7">
        <f t="shared" si="26"/>
        <v>27.99</v>
      </c>
    </row>
    <row r="552" spans="1:26" x14ac:dyDescent="0.3">
      <c r="A552" s="2" t="s">
        <v>3491</v>
      </c>
      <c r="B552" s="8" t="s">
        <v>764</v>
      </c>
      <c r="C552" s="2" t="s">
        <v>3492</v>
      </c>
      <c r="D552" s="2" t="s">
        <v>3493</v>
      </c>
      <c r="E552" s="2" t="s">
        <v>3494</v>
      </c>
      <c r="F552" s="2" t="s">
        <v>3495</v>
      </c>
      <c r="G552" s="2" t="s">
        <v>180</v>
      </c>
      <c r="H552" s="2" t="s">
        <v>181</v>
      </c>
      <c r="I552" s="2" t="s">
        <v>31</v>
      </c>
      <c r="J552" s="2" t="s">
        <v>172</v>
      </c>
      <c r="K552" s="2" t="s">
        <v>122</v>
      </c>
      <c r="L552" s="2">
        <v>1</v>
      </c>
      <c r="M552" s="3">
        <v>69.989999999999995</v>
      </c>
      <c r="N552" s="2" t="s">
        <v>34</v>
      </c>
      <c r="O552" s="3">
        <v>0</v>
      </c>
      <c r="P552" s="3">
        <v>5.99</v>
      </c>
      <c r="Q552" s="3">
        <v>5.6</v>
      </c>
      <c r="R552" s="3">
        <v>81.58</v>
      </c>
      <c r="S552" s="2" t="s">
        <v>35</v>
      </c>
      <c r="T552" s="2" t="s">
        <v>36</v>
      </c>
      <c r="U552" s="2" t="s">
        <v>66</v>
      </c>
      <c r="V552" s="2" t="s">
        <v>82</v>
      </c>
      <c r="W552" s="3">
        <v>0</v>
      </c>
      <c r="X552" t="str">
        <f t="shared" si="24"/>
        <v>April</v>
      </c>
      <c r="Y552" t="str">
        <f t="shared" si="25"/>
        <v>Q2</v>
      </c>
      <c r="Z552" s="7">
        <f t="shared" si="26"/>
        <v>69.989999999999995</v>
      </c>
    </row>
    <row r="553" spans="1:26" x14ac:dyDescent="0.3">
      <c r="A553" s="4" t="s">
        <v>3496</v>
      </c>
      <c r="B553" s="9" t="s">
        <v>557</v>
      </c>
      <c r="C553" s="4" t="s">
        <v>3497</v>
      </c>
      <c r="D553" s="4" t="s">
        <v>3498</v>
      </c>
      <c r="E553" s="4" t="s">
        <v>3499</v>
      </c>
      <c r="F553" s="4" t="s">
        <v>3500</v>
      </c>
      <c r="G553" s="4" t="s">
        <v>190</v>
      </c>
      <c r="H553" s="4" t="s">
        <v>161</v>
      </c>
      <c r="I553" s="4" t="s">
        <v>31</v>
      </c>
      <c r="J553" s="4" t="s">
        <v>3501</v>
      </c>
      <c r="K553" s="4" t="s">
        <v>77</v>
      </c>
      <c r="L553" s="4">
        <v>2</v>
      </c>
      <c r="M553" s="5">
        <v>59.98</v>
      </c>
      <c r="N553" s="4" t="s">
        <v>34</v>
      </c>
      <c r="O553" s="5">
        <v>0</v>
      </c>
      <c r="P553" s="5">
        <v>4.99</v>
      </c>
      <c r="Q553" s="5">
        <v>4.8</v>
      </c>
      <c r="R553" s="5">
        <v>69.77</v>
      </c>
      <c r="S553" s="4" t="s">
        <v>123</v>
      </c>
      <c r="T553" s="4" t="s">
        <v>144</v>
      </c>
      <c r="U553" s="4" t="s">
        <v>66</v>
      </c>
      <c r="V553" s="4" t="s">
        <v>1458</v>
      </c>
      <c r="W553" s="5">
        <v>0</v>
      </c>
      <c r="X553" t="str">
        <f t="shared" si="24"/>
        <v>June</v>
      </c>
      <c r="Y553" t="str">
        <f t="shared" si="25"/>
        <v>Q2</v>
      </c>
      <c r="Z553" s="7">
        <f t="shared" si="26"/>
        <v>59.98</v>
      </c>
    </row>
    <row r="554" spans="1:26" x14ac:dyDescent="0.3">
      <c r="A554" s="2" t="s">
        <v>3502</v>
      </c>
      <c r="B554" s="8" t="s">
        <v>1867</v>
      </c>
      <c r="C554" s="2" t="s">
        <v>3503</v>
      </c>
      <c r="D554" s="2" t="s">
        <v>3504</v>
      </c>
      <c r="E554" s="2" t="s">
        <v>3505</v>
      </c>
      <c r="F554" s="2" t="s">
        <v>3506</v>
      </c>
      <c r="G554" s="2" t="s">
        <v>323</v>
      </c>
      <c r="H554" s="2" t="s">
        <v>324</v>
      </c>
      <c r="I554" s="2" t="s">
        <v>31</v>
      </c>
      <c r="J554" s="2" t="s">
        <v>678</v>
      </c>
      <c r="K554" s="2" t="s">
        <v>679</v>
      </c>
      <c r="L554" s="2">
        <v>1</v>
      </c>
      <c r="M554" s="3">
        <v>14.99</v>
      </c>
      <c r="N554" s="2" t="s">
        <v>34</v>
      </c>
      <c r="O554" s="3">
        <v>0</v>
      </c>
      <c r="P554" s="3">
        <v>5.99</v>
      </c>
      <c r="Q554" s="3">
        <v>1.05</v>
      </c>
      <c r="R554" s="3">
        <v>22.03</v>
      </c>
      <c r="S554" s="2" t="s">
        <v>332</v>
      </c>
      <c r="T554" s="2" t="s">
        <v>36</v>
      </c>
      <c r="U554" s="2" t="s">
        <v>66</v>
      </c>
      <c r="V554" s="2" t="s">
        <v>1315</v>
      </c>
      <c r="W554" s="3">
        <v>0</v>
      </c>
      <c r="X554" t="str">
        <f t="shared" si="24"/>
        <v>March</v>
      </c>
      <c r="Y554" t="str">
        <f t="shared" si="25"/>
        <v>Q1</v>
      </c>
      <c r="Z554" s="7">
        <f t="shared" si="26"/>
        <v>14.99</v>
      </c>
    </row>
    <row r="555" spans="1:26" x14ac:dyDescent="0.3">
      <c r="A555" s="4" t="s">
        <v>3507</v>
      </c>
      <c r="B555" s="9" t="s">
        <v>1658</v>
      </c>
      <c r="C555" s="4" t="s">
        <v>3508</v>
      </c>
      <c r="D555" s="4" t="s">
        <v>3509</v>
      </c>
      <c r="E555" s="4" t="s">
        <v>3510</v>
      </c>
      <c r="F555" s="4" t="s">
        <v>3511</v>
      </c>
      <c r="G555" s="4" t="s">
        <v>242</v>
      </c>
      <c r="H555" s="4" t="s">
        <v>243</v>
      </c>
      <c r="I555" s="4" t="s">
        <v>31</v>
      </c>
      <c r="J555" s="4" t="s">
        <v>3512</v>
      </c>
      <c r="K555" s="4" t="s">
        <v>364</v>
      </c>
      <c r="L555" s="4">
        <v>2</v>
      </c>
      <c r="M555" s="5">
        <v>139.96</v>
      </c>
      <c r="N555" s="4" t="s">
        <v>49</v>
      </c>
      <c r="O555" s="5">
        <v>20.99</v>
      </c>
      <c r="P555" s="5">
        <v>0</v>
      </c>
      <c r="Q555" s="5">
        <v>8.33</v>
      </c>
      <c r="R555" s="5">
        <v>127.3</v>
      </c>
      <c r="S555" s="4" t="s">
        <v>35</v>
      </c>
      <c r="T555" s="4" t="s">
        <v>36</v>
      </c>
      <c r="U555" s="4" t="s">
        <v>66</v>
      </c>
      <c r="V555" s="4" t="s">
        <v>2406</v>
      </c>
      <c r="W555" s="5">
        <v>0</v>
      </c>
      <c r="X555" t="str">
        <f t="shared" si="24"/>
        <v>May</v>
      </c>
      <c r="Y555" t="str">
        <f t="shared" si="25"/>
        <v>Q2</v>
      </c>
      <c r="Z555" s="7">
        <f t="shared" si="26"/>
        <v>118.97000000000001</v>
      </c>
    </row>
    <row r="556" spans="1:26" x14ac:dyDescent="0.3">
      <c r="A556" s="2" t="s">
        <v>3513</v>
      </c>
      <c r="B556" s="8" t="s">
        <v>2965</v>
      </c>
      <c r="C556" s="2" t="s">
        <v>3514</v>
      </c>
      <c r="D556" s="2" t="s">
        <v>3515</v>
      </c>
      <c r="E556" s="2" t="s">
        <v>3516</v>
      </c>
      <c r="F556" s="2" t="s">
        <v>3517</v>
      </c>
      <c r="G556" s="2" t="s">
        <v>140</v>
      </c>
      <c r="H556" s="2" t="s">
        <v>141</v>
      </c>
      <c r="I556" s="2" t="s">
        <v>31</v>
      </c>
      <c r="J556" s="2" t="s">
        <v>3518</v>
      </c>
      <c r="K556" s="2" t="s">
        <v>209</v>
      </c>
      <c r="L556" s="2">
        <v>3</v>
      </c>
      <c r="M556" s="3">
        <v>199.97</v>
      </c>
      <c r="N556" s="2" t="s">
        <v>34</v>
      </c>
      <c r="O556" s="3">
        <v>0</v>
      </c>
      <c r="P556" s="3">
        <v>0</v>
      </c>
      <c r="Q556" s="3">
        <v>16</v>
      </c>
      <c r="R556" s="3">
        <v>215.97</v>
      </c>
      <c r="S556" s="2" t="s">
        <v>64</v>
      </c>
      <c r="T556" s="2" t="s">
        <v>99</v>
      </c>
      <c r="U556" s="2" t="s">
        <v>66</v>
      </c>
      <c r="V556" s="2" t="s">
        <v>521</v>
      </c>
      <c r="W556" s="3">
        <v>0</v>
      </c>
      <c r="X556" t="str">
        <f t="shared" si="24"/>
        <v>November</v>
      </c>
      <c r="Y556" t="str">
        <f t="shared" si="25"/>
        <v>Q4</v>
      </c>
      <c r="Z556" s="7">
        <f t="shared" si="26"/>
        <v>199.97</v>
      </c>
    </row>
    <row r="557" spans="1:26" x14ac:dyDescent="0.3">
      <c r="A557" s="4" t="s">
        <v>3519</v>
      </c>
      <c r="B557" s="9" t="s">
        <v>24</v>
      </c>
      <c r="C557" s="4" t="s">
        <v>3520</v>
      </c>
      <c r="D557" s="4" t="s">
        <v>3521</v>
      </c>
      <c r="E557" s="4" t="s">
        <v>3522</v>
      </c>
      <c r="F557" s="4" t="s">
        <v>3523</v>
      </c>
      <c r="G557" s="4" t="s">
        <v>87</v>
      </c>
      <c r="H557" s="4" t="s">
        <v>88</v>
      </c>
      <c r="I557" s="4" t="s">
        <v>31</v>
      </c>
      <c r="J557" s="4" t="s">
        <v>3524</v>
      </c>
      <c r="K557" s="4" t="s">
        <v>110</v>
      </c>
      <c r="L557" s="4">
        <v>4</v>
      </c>
      <c r="M557" s="5">
        <v>365.93</v>
      </c>
      <c r="N557" s="4" t="s">
        <v>34</v>
      </c>
      <c r="O557" s="5">
        <v>0</v>
      </c>
      <c r="P557" s="5">
        <v>0</v>
      </c>
      <c r="Q557" s="5">
        <v>31.1</v>
      </c>
      <c r="R557" s="5">
        <v>397.03</v>
      </c>
      <c r="S557" s="4" t="s">
        <v>123</v>
      </c>
      <c r="T557" s="4" t="s">
        <v>183</v>
      </c>
      <c r="U557" s="4" t="s">
        <v>51</v>
      </c>
      <c r="V557" s="4" t="s">
        <v>2149</v>
      </c>
      <c r="W557" s="5">
        <v>0</v>
      </c>
      <c r="X557" t="str">
        <f t="shared" si="24"/>
        <v>February</v>
      </c>
      <c r="Y557" t="str">
        <f t="shared" si="25"/>
        <v>Q1</v>
      </c>
      <c r="Z557" s="7">
        <f t="shared" si="26"/>
        <v>365.93</v>
      </c>
    </row>
    <row r="558" spans="1:26" x14ac:dyDescent="0.3">
      <c r="A558" s="2" t="s">
        <v>3525</v>
      </c>
      <c r="B558" s="8" t="s">
        <v>917</v>
      </c>
      <c r="C558" s="2" t="s">
        <v>3526</v>
      </c>
      <c r="D558" s="2" t="s">
        <v>3527</v>
      </c>
      <c r="E558" s="2" t="s">
        <v>3528</v>
      </c>
      <c r="F558" s="2" t="s">
        <v>3529</v>
      </c>
      <c r="G558" s="2" t="s">
        <v>87</v>
      </c>
      <c r="H558" s="2" t="s">
        <v>88</v>
      </c>
      <c r="I558" s="2" t="s">
        <v>31</v>
      </c>
      <c r="J558" s="2" t="s">
        <v>47</v>
      </c>
      <c r="K558" s="2" t="s">
        <v>48</v>
      </c>
      <c r="L558" s="2">
        <v>1</v>
      </c>
      <c r="M558" s="3">
        <v>42.99</v>
      </c>
      <c r="N558" s="2" t="s">
        <v>63</v>
      </c>
      <c r="O558" s="3">
        <v>10.75</v>
      </c>
      <c r="P558" s="3">
        <v>4.99</v>
      </c>
      <c r="Q558" s="3">
        <v>2.2599999999999998</v>
      </c>
      <c r="R558" s="3">
        <v>39.49</v>
      </c>
      <c r="S558" s="2" t="s">
        <v>111</v>
      </c>
      <c r="T558" s="2" t="s">
        <v>99</v>
      </c>
      <c r="U558" s="2" t="s">
        <v>66</v>
      </c>
      <c r="V558" s="2" t="s">
        <v>3530</v>
      </c>
      <c r="W558" s="3">
        <v>0</v>
      </c>
      <c r="X558" t="str">
        <f t="shared" si="24"/>
        <v>September</v>
      </c>
      <c r="Y558" t="str">
        <f t="shared" si="25"/>
        <v>Q3</v>
      </c>
      <c r="Z558" s="7">
        <f t="shared" si="26"/>
        <v>32.24</v>
      </c>
    </row>
    <row r="559" spans="1:26" x14ac:dyDescent="0.3">
      <c r="A559" s="4" t="s">
        <v>3531</v>
      </c>
      <c r="B559" s="9" t="s">
        <v>80</v>
      </c>
      <c r="C559" s="4" t="s">
        <v>3532</v>
      </c>
      <c r="D559" s="4" t="s">
        <v>2041</v>
      </c>
      <c r="E559" s="4" t="s">
        <v>3533</v>
      </c>
      <c r="F559" s="4" t="s">
        <v>3534</v>
      </c>
      <c r="G559" s="4" t="s">
        <v>74</v>
      </c>
      <c r="H559" s="4" t="s">
        <v>75</v>
      </c>
      <c r="I559" s="4" t="s">
        <v>31</v>
      </c>
      <c r="J559" s="4" t="s">
        <v>3535</v>
      </c>
      <c r="K559" s="4" t="s">
        <v>62</v>
      </c>
      <c r="L559" s="4">
        <v>2</v>
      </c>
      <c r="M559" s="5">
        <v>94.98</v>
      </c>
      <c r="N559" s="4" t="s">
        <v>34</v>
      </c>
      <c r="O559" s="5">
        <v>0</v>
      </c>
      <c r="P559" s="5">
        <v>0</v>
      </c>
      <c r="Q559" s="5">
        <v>8.07</v>
      </c>
      <c r="R559" s="5">
        <v>103.05</v>
      </c>
      <c r="S559" s="4" t="s">
        <v>332</v>
      </c>
      <c r="T559" s="4" t="s">
        <v>99</v>
      </c>
      <c r="U559" s="4" t="s">
        <v>51</v>
      </c>
      <c r="V559" s="4" t="s">
        <v>851</v>
      </c>
      <c r="W559" s="5">
        <v>0</v>
      </c>
      <c r="X559" t="str">
        <f t="shared" si="24"/>
        <v>June</v>
      </c>
      <c r="Y559" t="str">
        <f t="shared" si="25"/>
        <v>Q2</v>
      </c>
      <c r="Z559" s="7">
        <f t="shared" si="26"/>
        <v>94.98</v>
      </c>
    </row>
    <row r="560" spans="1:26" x14ac:dyDescent="0.3">
      <c r="A560" s="2" t="s">
        <v>3536</v>
      </c>
      <c r="B560" s="8" t="s">
        <v>1732</v>
      </c>
      <c r="C560" s="2" t="s">
        <v>3537</v>
      </c>
      <c r="D560" s="2" t="s">
        <v>3538</v>
      </c>
      <c r="E560" s="2" t="s">
        <v>3539</v>
      </c>
      <c r="F560" s="2" t="s">
        <v>3540</v>
      </c>
      <c r="G560" s="2" t="s">
        <v>802</v>
      </c>
      <c r="H560" s="2" t="s">
        <v>88</v>
      </c>
      <c r="I560" s="2" t="s">
        <v>31</v>
      </c>
      <c r="J560" s="2" t="s">
        <v>1997</v>
      </c>
      <c r="K560" s="2" t="s">
        <v>143</v>
      </c>
      <c r="L560" s="2">
        <v>1</v>
      </c>
      <c r="M560" s="3">
        <v>129.99</v>
      </c>
      <c r="N560" s="2" t="s">
        <v>34</v>
      </c>
      <c r="O560" s="3">
        <v>0</v>
      </c>
      <c r="P560" s="3">
        <v>0</v>
      </c>
      <c r="Q560" s="3">
        <v>10.4</v>
      </c>
      <c r="R560" s="3">
        <v>140.38999999999999</v>
      </c>
      <c r="S560" s="2" t="s">
        <v>64</v>
      </c>
      <c r="T560" s="2" t="s">
        <v>325</v>
      </c>
      <c r="U560" s="2" t="s">
        <v>317</v>
      </c>
      <c r="V560" s="2"/>
      <c r="W560" s="3">
        <v>0</v>
      </c>
      <c r="X560" t="str">
        <f t="shared" si="24"/>
        <v>July</v>
      </c>
      <c r="Y560" t="str">
        <f t="shared" si="25"/>
        <v>Q3</v>
      </c>
      <c r="Z560" s="7">
        <f t="shared" si="26"/>
        <v>129.99</v>
      </c>
    </row>
    <row r="561" spans="1:26" x14ac:dyDescent="0.3">
      <c r="A561" s="4" t="s">
        <v>3541</v>
      </c>
      <c r="B561" s="9" t="s">
        <v>709</v>
      </c>
      <c r="C561" s="4" t="s">
        <v>3542</v>
      </c>
      <c r="D561" s="4" t="s">
        <v>3358</v>
      </c>
      <c r="E561" s="4" t="s">
        <v>3543</v>
      </c>
      <c r="F561" s="4" t="s">
        <v>3544</v>
      </c>
      <c r="G561" s="4" t="s">
        <v>1183</v>
      </c>
      <c r="H561" s="4" t="s">
        <v>88</v>
      </c>
      <c r="I561" s="4" t="s">
        <v>31</v>
      </c>
      <c r="J561" s="4" t="s">
        <v>3545</v>
      </c>
      <c r="K561" s="4" t="s">
        <v>33</v>
      </c>
      <c r="L561" s="4">
        <v>4</v>
      </c>
      <c r="M561" s="5">
        <v>212.96</v>
      </c>
      <c r="N561" s="4" t="s">
        <v>163</v>
      </c>
      <c r="O561" s="5">
        <v>42.59</v>
      </c>
      <c r="P561" s="5">
        <v>0</v>
      </c>
      <c r="Q561" s="5">
        <v>14.48</v>
      </c>
      <c r="R561" s="5">
        <v>184.85</v>
      </c>
      <c r="S561" s="4" t="s">
        <v>123</v>
      </c>
      <c r="T561" s="4" t="s">
        <v>36</v>
      </c>
      <c r="U561" s="4" t="s">
        <v>66</v>
      </c>
      <c r="V561" s="4" t="s">
        <v>2957</v>
      </c>
      <c r="W561" s="5">
        <v>0</v>
      </c>
      <c r="X561" t="str">
        <f t="shared" si="24"/>
        <v>January</v>
      </c>
      <c r="Y561" t="str">
        <f t="shared" si="25"/>
        <v>Q1</v>
      </c>
      <c r="Z561" s="7">
        <f t="shared" si="26"/>
        <v>170.37</v>
      </c>
    </row>
    <row r="562" spans="1:26" x14ac:dyDescent="0.3">
      <c r="A562" s="2" t="s">
        <v>3546</v>
      </c>
      <c r="B562" s="8" t="s">
        <v>1477</v>
      </c>
      <c r="C562" s="2" t="s">
        <v>3547</v>
      </c>
      <c r="D562" s="2" t="s">
        <v>3548</v>
      </c>
      <c r="E562" s="2" t="s">
        <v>3549</v>
      </c>
      <c r="F562" s="2" t="s">
        <v>3550</v>
      </c>
      <c r="G562" s="2" t="s">
        <v>403</v>
      </c>
      <c r="H562" s="2" t="s">
        <v>404</v>
      </c>
      <c r="I562" s="2" t="s">
        <v>31</v>
      </c>
      <c r="J562" s="2" t="s">
        <v>3551</v>
      </c>
      <c r="K562" s="2" t="s">
        <v>143</v>
      </c>
      <c r="L562" s="2">
        <v>2</v>
      </c>
      <c r="M562" s="3">
        <v>166.95</v>
      </c>
      <c r="N562" s="2" t="s">
        <v>49</v>
      </c>
      <c r="O562" s="3">
        <v>25.04</v>
      </c>
      <c r="P562" s="3">
        <v>0</v>
      </c>
      <c r="Q562" s="3">
        <v>11.35</v>
      </c>
      <c r="R562" s="3">
        <v>153.26</v>
      </c>
      <c r="S562" s="2" t="s">
        <v>79</v>
      </c>
      <c r="T562" s="2" t="s">
        <v>36</v>
      </c>
      <c r="U562" s="2" t="s">
        <v>66</v>
      </c>
      <c r="V562" s="2" t="s">
        <v>431</v>
      </c>
      <c r="W562" s="3">
        <v>0</v>
      </c>
      <c r="X562" t="str">
        <f t="shared" si="24"/>
        <v>June</v>
      </c>
      <c r="Y562" t="str">
        <f t="shared" si="25"/>
        <v>Q2</v>
      </c>
      <c r="Z562" s="7">
        <f t="shared" si="26"/>
        <v>141.91</v>
      </c>
    </row>
    <row r="563" spans="1:26" x14ac:dyDescent="0.3">
      <c r="A563" s="4" t="s">
        <v>3552</v>
      </c>
      <c r="B563" s="9" t="s">
        <v>2278</v>
      </c>
      <c r="C563" s="4" t="s">
        <v>3553</v>
      </c>
      <c r="D563" s="4" t="s">
        <v>3554</v>
      </c>
      <c r="E563" s="4" t="s">
        <v>3555</v>
      </c>
      <c r="F563" s="4" t="s">
        <v>3556</v>
      </c>
      <c r="G563" s="4" t="s">
        <v>140</v>
      </c>
      <c r="H563" s="4" t="s">
        <v>141</v>
      </c>
      <c r="I563" s="4" t="s">
        <v>31</v>
      </c>
      <c r="J563" s="4" t="s">
        <v>3557</v>
      </c>
      <c r="K563" s="4" t="s">
        <v>33</v>
      </c>
      <c r="L563" s="4">
        <v>3</v>
      </c>
      <c r="M563" s="5">
        <v>150.97</v>
      </c>
      <c r="N563" s="4" t="s">
        <v>78</v>
      </c>
      <c r="O563" s="5">
        <v>15.1</v>
      </c>
      <c r="P563" s="5">
        <v>0</v>
      </c>
      <c r="Q563" s="5">
        <v>8.15</v>
      </c>
      <c r="R563" s="5">
        <v>144.02000000000001</v>
      </c>
      <c r="S563" s="4" t="s">
        <v>332</v>
      </c>
      <c r="T563" s="4" t="s">
        <v>144</v>
      </c>
      <c r="U563" s="4" t="s">
        <v>66</v>
      </c>
      <c r="V563" s="4" t="s">
        <v>924</v>
      </c>
      <c r="W563" s="5">
        <v>0</v>
      </c>
      <c r="X563" t="str">
        <f t="shared" si="24"/>
        <v>October</v>
      </c>
      <c r="Y563" t="str">
        <f t="shared" si="25"/>
        <v>Q4</v>
      </c>
      <c r="Z563" s="7">
        <f t="shared" si="26"/>
        <v>135.87</v>
      </c>
    </row>
    <row r="564" spans="1:26" x14ac:dyDescent="0.3">
      <c r="A564" s="2" t="s">
        <v>3558</v>
      </c>
      <c r="B564" s="8" t="s">
        <v>372</v>
      </c>
      <c r="C564" s="2" t="s">
        <v>3559</v>
      </c>
      <c r="D564" s="2" t="s">
        <v>3560</v>
      </c>
      <c r="E564" s="2" t="s">
        <v>3561</v>
      </c>
      <c r="F564" s="2" t="s">
        <v>3562</v>
      </c>
      <c r="G564" s="2" t="s">
        <v>107</v>
      </c>
      <c r="H564" s="2" t="s">
        <v>108</v>
      </c>
      <c r="I564" s="2" t="s">
        <v>31</v>
      </c>
      <c r="J564" s="2" t="s">
        <v>3563</v>
      </c>
      <c r="K564" s="2" t="s">
        <v>122</v>
      </c>
      <c r="L564" s="2">
        <v>3</v>
      </c>
      <c r="M564" s="3">
        <v>108.97</v>
      </c>
      <c r="N564" s="2" t="s">
        <v>78</v>
      </c>
      <c r="O564" s="3">
        <v>10.9</v>
      </c>
      <c r="P564" s="3">
        <v>0</v>
      </c>
      <c r="Q564" s="3">
        <v>6.86</v>
      </c>
      <c r="R564" s="3">
        <v>104.93</v>
      </c>
      <c r="S564" s="2" t="s">
        <v>437</v>
      </c>
      <c r="T564" s="2" t="s">
        <v>325</v>
      </c>
      <c r="U564" s="2" t="s">
        <v>66</v>
      </c>
      <c r="V564" s="2" t="s">
        <v>536</v>
      </c>
      <c r="W564" s="3">
        <v>0</v>
      </c>
      <c r="X564" t="str">
        <f t="shared" si="24"/>
        <v>March</v>
      </c>
      <c r="Y564" t="str">
        <f t="shared" si="25"/>
        <v>Q1</v>
      </c>
      <c r="Z564" s="7">
        <f t="shared" si="26"/>
        <v>98.07</v>
      </c>
    </row>
    <row r="565" spans="1:26" x14ac:dyDescent="0.3">
      <c r="A565" s="4" t="s">
        <v>3564</v>
      </c>
      <c r="B565" s="9" t="s">
        <v>2839</v>
      </c>
      <c r="C565" s="4" t="s">
        <v>3565</v>
      </c>
      <c r="D565" s="4" t="s">
        <v>3566</v>
      </c>
      <c r="E565" s="4" t="s">
        <v>3567</v>
      </c>
      <c r="F565" s="4" t="s">
        <v>3568</v>
      </c>
      <c r="G565" s="4" t="s">
        <v>224</v>
      </c>
      <c r="H565" s="4" t="s">
        <v>225</v>
      </c>
      <c r="I565" s="4" t="s">
        <v>31</v>
      </c>
      <c r="J565" s="4" t="s">
        <v>1269</v>
      </c>
      <c r="K565" s="4" t="s">
        <v>77</v>
      </c>
      <c r="L565" s="4">
        <v>1</v>
      </c>
      <c r="M565" s="5">
        <v>27.99</v>
      </c>
      <c r="N565" s="4" t="s">
        <v>63</v>
      </c>
      <c r="O565" s="5">
        <v>7</v>
      </c>
      <c r="P565" s="5">
        <v>9.99</v>
      </c>
      <c r="Q565" s="5">
        <v>1.89</v>
      </c>
      <c r="R565" s="5">
        <v>32.869999999999997</v>
      </c>
      <c r="S565" s="4" t="s">
        <v>437</v>
      </c>
      <c r="T565" s="4" t="s">
        <v>99</v>
      </c>
      <c r="U565" s="4" t="s">
        <v>66</v>
      </c>
      <c r="V565" s="4" t="s">
        <v>80</v>
      </c>
      <c r="W565" s="5">
        <v>0</v>
      </c>
      <c r="X565" t="str">
        <f t="shared" si="24"/>
        <v>June</v>
      </c>
      <c r="Y565" t="str">
        <f t="shared" si="25"/>
        <v>Q2</v>
      </c>
      <c r="Z565" s="7">
        <f t="shared" si="26"/>
        <v>20.99</v>
      </c>
    </row>
    <row r="566" spans="1:26" x14ac:dyDescent="0.3">
      <c r="A566" s="2" t="s">
        <v>3569</v>
      </c>
      <c r="B566" s="8" t="s">
        <v>1209</v>
      </c>
      <c r="C566" s="2" t="s">
        <v>3570</v>
      </c>
      <c r="D566" s="2" t="s">
        <v>3571</v>
      </c>
      <c r="E566" s="2" t="s">
        <v>3572</v>
      </c>
      <c r="F566" s="2" t="s">
        <v>3573</v>
      </c>
      <c r="G566" s="2" t="s">
        <v>403</v>
      </c>
      <c r="H566" s="2" t="s">
        <v>404</v>
      </c>
      <c r="I566" s="2" t="s">
        <v>31</v>
      </c>
      <c r="J566" s="2" t="s">
        <v>3574</v>
      </c>
      <c r="K566" s="2" t="s">
        <v>33</v>
      </c>
      <c r="L566" s="2">
        <v>3</v>
      </c>
      <c r="M566" s="3">
        <v>178.94</v>
      </c>
      <c r="N566" s="2" t="s">
        <v>34</v>
      </c>
      <c r="O566" s="3">
        <v>0</v>
      </c>
      <c r="P566" s="3">
        <v>0</v>
      </c>
      <c r="Q566" s="3">
        <v>10.74</v>
      </c>
      <c r="R566" s="3">
        <v>189.68</v>
      </c>
      <c r="S566" s="2" t="s">
        <v>332</v>
      </c>
      <c r="T566" s="2" t="s">
        <v>99</v>
      </c>
      <c r="U566" s="2" t="s">
        <v>66</v>
      </c>
      <c r="V566" s="2" t="s">
        <v>2698</v>
      </c>
      <c r="W566" s="3">
        <v>0</v>
      </c>
      <c r="X566" t="str">
        <f t="shared" si="24"/>
        <v>April</v>
      </c>
      <c r="Y566" t="str">
        <f t="shared" si="25"/>
        <v>Q2</v>
      </c>
      <c r="Z566" s="7">
        <f t="shared" si="26"/>
        <v>178.94</v>
      </c>
    </row>
    <row r="567" spans="1:26" x14ac:dyDescent="0.3">
      <c r="A567" s="4" t="s">
        <v>3575</v>
      </c>
      <c r="B567" s="9" t="s">
        <v>3465</v>
      </c>
      <c r="C567" s="4" t="s">
        <v>3576</v>
      </c>
      <c r="D567" s="4" t="s">
        <v>3577</v>
      </c>
      <c r="E567" s="4" t="s">
        <v>3578</v>
      </c>
      <c r="F567" s="4" t="s">
        <v>3579</v>
      </c>
      <c r="G567" s="4" t="s">
        <v>802</v>
      </c>
      <c r="H567" s="4" t="s">
        <v>88</v>
      </c>
      <c r="I567" s="4" t="s">
        <v>31</v>
      </c>
      <c r="J567" s="4" t="s">
        <v>3580</v>
      </c>
      <c r="K567" s="4" t="s">
        <v>33</v>
      </c>
      <c r="L567" s="4">
        <v>3</v>
      </c>
      <c r="M567" s="5">
        <v>139.97</v>
      </c>
      <c r="N567" s="4" t="s">
        <v>49</v>
      </c>
      <c r="O567" s="5">
        <v>21</v>
      </c>
      <c r="P567" s="5">
        <v>0</v>
      </c>
      <c r="Q567" s="5">
        <v>7.14</v>
      </c>
      <c r="R567" s="5">
        <v>126.11</v>
      </c>
      <c r="S567" s="4" t="s">
        <v>35</v>
      </c>
      <c r="T567" s="4" t="s">
        <v>173</v>
      </c>
      <c r="U567" s="4" t="s">
        <v>66</v>
      </c>
      <c r="V567" s="4" t="s">
        <v>550</v>
      </c>
      <c r="W567" s="5">
        <v>0</v>
      </c>
      <c r="X567" t="str">
        <f t="shared" si="24"/>
        <v>August</v>
      </c>
      <c r="Y567" t="str">
        <f t="shared" si="25"/>
        <v>Q3</v>
      </c>
      <c r="Z567" s="7">
        <f t="shared" si="26"/>
        <v>118.97</v>
      </c>
    </row>
    <row r="568" spans="1:26" x14ac:dyDescent="0.3">
      <c r="A568" s="2" t="s">
        <v>3581</v>
      </c>
      <c r="B568" s="8" t="s">
        <v>3530</v>
      </c>
      <c r="C568" s="2" t="s">
        <v>3582</v>
      </c>
      <c r="D568" s="2" t="s">
        <v>3583</v>
      </c>
      <c r="E568" s="2" t="s">
        <v>3584</v>
      </c>
      <c r="F568" s="2" t="s">
        <v>3585</v>
      </c>
      <c r="G568" s="2" t="s">
        <v>242</v>
      </c>
      <c r="H568" s="2" t="s">
        <v>243</v>
      </c>
      <c r="I568" s="2" t="s">
        <v>31</v>
      </c>
      <c r="J568" s="2" t="s">
        <v>132</v>
      </c>
      <c r="K568" s="2" t="s">
        <v>48</v>
      </c>
      <c r="L568" s="2">
        <v>1</v>
      </c>
      <c r="M568" s="3">
        <v>129.97999999999999</v>
      </c>
      <c r="N568" s="2" t="s">
        <v>49</v>
      </c>
      <c r="O568" s="3">
        <v>19.5</v>
      </c>
      <c r="P568" s="3">
        <v>0</v>
      </c>
      <c r="Q568" s="3">
        <v>11.05</v>
      </c>
      <c r="R568" s="3">
        <v>121.53</v>
      </c>
      <c r="S568" s="2" t="s">
        <v>35</v>
      </c>
      <c r="T568" s="2" t="s">
        <v>65</v>
      </c>
      <c r="U568" s="2" t="s">
        <v>317</v>
      </c>
      <c r="V568" s="2"/>
      <c r="W568" s="3">
        <v>0</v>
      </c>
      <c r="X568" t="str">
        <f t="shared" si="24"/>
        <v>September</v>
      </c>
      <c r="Y568" t="str">
        <f t="shared" si="25"/>
        <v>Q3</v>
      </c>
      <c r="Z568" s="7">
        <f t="shared" si="26"/>
        <v>110.47999999999999</v>
      </c>
    </row>
    <row r="569" spans="1:26" x14ac:dyDescent="0.3">
      <c r="A569" s="4" t="s">
        <v>3586</v>
      </c>
      <c r="B569" s="9" t="s">
        <v>254</v>
      </c>
      <c r="C569" s="4" t="s">
        <v>3587</v>
      </c>
      <c r="D569" s="4" t="s">
        <v>2795</v>
      </c>
      <c r="E569" s="4" t="s">
        <v>3588</v>
      </c>
      <c r="F569" s="4" t="s">
        <v>3589</v>
      </c>
      <c r="G569" s="4" t="s">
        <v>224</v>
      </c>
      <c r="H569" s="4" t="s">
        <v>225</v>
      </c>
      <c r="I569" s="4" t="s">
        <v>31</v>
      </c>
      <c r="J569" s="4" t="s">
        <v>3590</v>
      </c>
      <c r="K569" s="4" t="s">
        <v>110</v>
      </c>
      <c r="L569" s="4">
        <v>1</v>
      </c>
      <c r="M569" s="5">
        <v>119.97</v>
      </c>
      <c r="N569" s="4" t="s">
        <v>34</v>
      </c>
      <c r="O569" s="5">
        <v>0</v>
      </c>
      <c r="P569" s="5">
        <v>0</v>
      </c>
      <c r="Q569" s="5">
        <v>10.8</v>
      </c>
      <c r="R569" s="5">
        <v>130.77000000000001</v>
      </c>
      <c r="S569" s="4" t="s">
        <v>437</v>
      </c>
      <c r="T569" s="4" t="s">
        <v>99</v>
      </c>
      <c r="U569" s="4" t="s">
        <v>317</v>
      </c>
      <c r="V569" s="4"/>
      <c r="W569" s="5">
        <v>0</v>
      </c>
      <c r="X569" t="str">
        <f t="shared" si="24"/>
        <v>May</v>
      </c>
      <c r="Y569" t="str">
        <f t="shared" si="25"/>
        <v>Q2</v>
      </c>
      <c r="Z569" s="7">
        <f t="shared" si="26"/>
        <v>119.97</v>
      </c>
    </row>
    <row r="570" spans="1:26" x14ac:dyDescent="0.3">
      <c r="A570" s="2" t="s">
        <v>3591</v>
      </c>
      <c r="B570" s="8" t="s">
        <v>601</v>
      </c>
      <c r="C570" s="2" t="s">
        <v>3592</v>
      </c>
      <c r="D570" s="2" t="s">
        <v>3593</v>
      </c>
      <c r="E570" s="2" t="s">
        <v>3594</v>
      </c>
      <c r="F570" s="2" t="s">
        <v>3595</v>
      </c>
      <c r="G570" s="2" t="s">
        <v>29</v>
      </c>
      <c r="H570" s="2" t="s">
        <v>30</v>
      </c>
      <c r="I570" s="2" t="s">
        <v>31</v>
      </c>
      <c r="J570" s="2" t="s">
        <v>3596</v>
      </c>
      <c r="K570" s="2" t="s">
        <v>364</v>
      </c>
      <c r="L570" s="2">
        <v>2</v>
      </c>
      <c r="M570" s="3">
        <v>139.97</v>
      </c>
      <c r="N570" s="2" t="s">
        <v>63</v>
      </c>
      <c r="O570" s="3">
        <v>34.99</v>
      </c>
      <c r="P570" s="3">
        <v>0</v>
      </c>
      <c r="Q570" s="3">
        <v>6.3</v>
      </c>
      <c r="R570" s="3">
        <v>111.28</v>
      </c>
      <c r="S570" s="2" t="s">
        <v>64</v>
      </c>
      <c r="T570" s="2" t="s">
        <v>183</v>
      </c>
      <c r="U570" s="2" t="s">
        <v>66</v>
      </c>
      <c r="V570" s="2" t="s">
        <v>1589</v>
      </c>
      <c r="W570" s="3">
        <v>0</v>
      </c>
      <c r="X570" t="str">
        <f t="shared" si="24"/>
        <v>May</v>
      </c>
      <c r="Y570" t="str">
        <f t="shared" si="25"/>
        <v>Q2</v>
      </c>
      <c r="Z570" s="7">
        <f t="shared" si="26"/>
        <v>104.97999999999999</v>
      </c>
    </row>
    <row r="571" spans="1:26" x14ac:dyDescent="0.3">
      <c r="A571" s="4" t="s">
        <v>3597</v>
      </c>
      <c r="B571" s="9" t="s">
        <v>2805</v>
      </c>
      <c r="C571" s="4" t="s">
        <v>3598</v>
      </c>
      <c r="D571" s="4" t="s">
        <v>3599</v>
      </c>
      <c r="E571" s="4" t="s">
        <v>3600</v>
      </c>
      <c r="F571" s="4" t="s">
        <v>3601</v>
      </c>
      <c r="G571" s="4" t="s">
        <v>251</v>
      </c>
      <c r="H571" s="4" t="s">
        <v>252</v>
      </c>
      <c r="I571" s="4" t="s">
        <v>31</v>
      </c>
      <c r="J571" s="4" t="s">
        <v>3602</v>
      </c>
      <c r="K571" s="4" t="s">
        <v>209</v>
      </c>
      <c r="L571" s="4">
        <v>2</v>
      </c>
      <c r="M571" s="5">
        <v>248.95</v>
      </c>
      <c r="N571" s="4" t="s">
        <v>34</v>
      </c>
      <c r="O571" s="5">
        <v>0</v>
      </c>
      <c r="P571" s="5">
        <v>0</v>
      </c>
      <c r="Q571" s="5">
        <v>22.41</v>
      </c>
      <c r="R571" s="5">
        <v>271.36</v>
      </c>
      <c r="S571" s="4" t="s">
        <v>123</v>
      </c>
      <c r="T571" s="4" t="s">
        <v>144</v>
      </c>
      <c r="U571" s="4" t="s">
        <v>66</v>
      </c>
      <c r="V571" s="4" t="s">
        <v>1294</v>
      </c>
      <c r="W571" s="5">
        <v>0</v>
      </c>
      <c r="X571" t="str">
        <f t="shared" si="24"/>
        <v>October</v>
      </c>
      <c r="Y571" t="str">
        <f t="shared" si="25"/>
        <v>Q4</v>
      </c>
      <c r="Z571" s="7">
        <f t="shared" si="26"/>
        <v>248.95</v>
      </c>
    </row>
    <row r="572" spans="1:26" x14ac:dyDescent="0.3">
      <c r="A572" s="2" t="s">
        <v>3603</v>
      </c>
      <c r="B572" s="8" t="s">
        <v>489</v>
      </c>
      <c r="C572" s="2" t="s">
        <v>3604</v>
      </c>
      <c r="D572" s="2" t="s">
        <v>2713</v>
      </c>
      <c r="E572" s="2" t="s">
        <v>3605</v>
      </c>
      <c r="F572" s="2" t="s">
        <v>3606</v>
      </c>
      <c r="G572" s="2" t="s">
        <v>107</v>
      </c>
      <c r="H572" s="2" t="s">
        <v>108</v>
      </c>
      <c r="I572" s="2" t="s">
        <v>31</v>
      </c>
      <c r="J572" s="2" t="s">
        <v>3607</v>
      </c>
      <c r="K572" s="2" t="s">
        <v>33</v>
      </c>
      <c r="L572" s="2">
        <v>3</v>
      </c>
      <c r="M572" s="3">
        <v>184.95</v>
      </c>
      <c r="N572" s="2" t="s">
        <v>78</v>
      </c>
      <c r="O572" s="3">
        <v>18.5</v>
      </c>
      <c r="P572" s="3">
        <v>0</v>
      </c>
      <c r="Q572" s="3">
        <v>9.99</v>
      </c>
      <c r="R572" s="3">
        <v>176.44</v>
      </c>
      <c r="S572" s="2" t="s">
        <v>79</v>
      </c>
      <c r="T572" s="2" t="s">
        <v>36</v>
      </c>
      <c r="U572" s="2" t="s">
        <v>66</v>
      </c>
      <c r="V572" s="2" t="s">
        <v>54</v>
      </c>
      <c r="W572" s="3">
        <v>0</v>
      </c>
      <c r="X572" t="str">
        <f t="shared" si="24"/>
        <v>July</v>
      </c>
      <c r="Y572" t="str">
        <f t="shared" si="25"/>
        <v>Q3</v>
      </c>
      <c r="Z572" s="7">
        <f t="shared" si="26"/>
        <v>166.45</v>
      </c>
    </row>
    <row r="573" spans="1:26" x14ac:dyDescent="0.3">
      <c r="A573" s="4" t="s">
        <v>3608</v>
      </c>
      <c r="B573" s="9" t="s">
        <v>585</v>
      </c>
      <c r="C573" s="4" t="s">
        <v>3609</v>
      </c>
      <c r="D573" s="4" t="s">
        <v>2305</v>
      </c>
      <c r="E573" s="4" t="s">
        <v>3610</v>
      </c>
      <c r="F573" s="4" t="s">
        <v>3611</v>
      </c>
      <c r="G573" s="4" t="s">
        <v>190</v>
      </c>
      <c r="H573" s="4" t="s">
        <v>161</v>
      </c>
      <c r="I573" s="4" t="s">
        <v>31</v>
      </c>
      <c r="J573" s="4" t="s">
        <v>3612</v>
      </c>
      <c r="K573" s="4" t="s">
        <v>62</v>
      </c>
      <c r="L573" s="4">
        <v>3</v>
      </c>
      <c r="M573" s="5">
        <v>159.97</v>
      </c>
      <c r="N573" s="4" t="s">
        <v>34</v>
      </c>
      <c r="O573" s="5">
        <v>0</v>
      </c>
      <c r="P573" s="5">
        <v>0</v>
      </c>
      <c r="Q573" s="5">
        <v>13.6</v>
      </c>
      <c r="R573" s="5">
        <v>173.57</v>
      </c>
      <c r="S573" s="4" t="s">
        <v>437</v>
      </c>
      <c r="T573" s="4" t="s">
        <v>99</v>
      </c>
      <c r="U573" s="4" t="s">
        <v>317</v>
      </c>
      <c r="V573" s="4"/>
      <c r="W573" s="5">
        <v>0</v>
      </c>
      <c r="X573" t="str">
        <f t="shared" si="24"/>
        <v>July</v>
      </c>
      <c r="Y573" t="str">
        <f t="shared" si="25"/>
        <v>Q3</v>
      </c>
      <c r="Z573" s="7">
        <f t="shared" si="26"/>
        <v>159.97</v>
      </c>
    </row>
    <row r="574" spans="1:26" x14ac:dyDescent="0.3">
      <c r="A574" s="2" t="s">
        <v>3613</v>
      </c>
      <c r="B574" s="8" t="s">
        <v>656</v>
      </c>
      <c r="C574" s="2" t="s">
        <v>3614</v>
      </c>
      <c r="D574" s="2" t="s">
        <v>3615</v>
      </c>
      <c r="E574" s="2" t="s">
        <v>3616</v>
      </c>
      <c r="F574" s="2" t="s">
        <v>3617</v>
      </c>
      <c r="G574" s="2" t="s">
        <v>190</v>
      </c>
      <c r="H574" s="2" t="s">
        <v>161</v>
      </c>
      <c r="I574" s="2" t="s">
        <v>31</v>
      </c>
      <c r="J574" s="2" t="s">
        <v>3618</v>
      </c>
      <c r="K574" s="2" t="s">
        <v>209</v>
      </c>
      <c r="L574" s="2">
        <v>2</v>
      </c>
      <c r="M574" s="3">
        <v>269.94</v>
      </c>
      <c r="N574" s="2" t="s">
        <v>163</v>
      </c>
      <c r="O574" s="3">
        <v>53.99</v>
      </c>
      <c r="P574" s="3">
        <v>0</v>
      </c>
      <c r="Q574" s="3">
        <v>19.440000000000001</v>
      </c>
      <c r="R574" s="3">
        <v>235.39</v>
      </c>
      <c r="S574" s="2" t="s">
        <v>64</v>
      </c>
      <c r="T574" s="2" t="s">
        <v>99</v>
      </c>
      <c r="U574" s="2" t="s">
        <v>37</v>
      </c>
      <c r="V574" s="2" t="s">
        <v>945</v>
      </c>
      <c r="W574" s="3">
        <v>235.39</v>
      </c>
      <c r="X574" t="str">
        <f t="shared" si="24"/>
        <v>September</v>
      </c>
      <c r="Y574" t="str">
        <f t="shared" si="25"/>
        <v>Q3</v>
      </c>
      <c r="Z574" s="7">
        <f t="shared" si="26"/>
        <v>215.95</v>
      </c>
    </row>
    <row r="575" spans="1:26" x14ac:dyDescent="0.3">
      <c r="A575" s="4" t="s">
        <v>3619</v>
      </c>
      <c r="B575" s="9" t="s">
        <v>2406</v>
      </c>
      <c r="C575" s="4" t="s">
        <v>3620</v>
      </c>
      <c r="D575" s="4" t="s">
        <v>3621</v>
      </c>
      <c r="E575" s="4" t="s">
        <v>3622</v>
      </c>
      <c r="F575" s="4" t="s">
        <v>3623</v>
      </c>
      <c r="G575" s="4" t="s">
        <v>640</v>
      </c>
      <c r="H575" s="4" t="s">
        <v>161</v>
      </c>
      <c r="I575" s="4" t="s">
        <v>31</v>
      </c>
      <c r="J575" s="4" t="s">
        <v>172</v>
      </c>
      <c r="K575" s="4" t="s">
        <v>122</v>
      </c>
      <c r="L575" s="4">
        <v>1</v>
      </c>
      <c r="M575" s="5">
        <v>69.989999999999995</v>
      </c>
      <c r="N575" s="4" t="s">
        <v>34</v>
      </c>
      <c r="O575" s="5">
        <v>0</v>
      </c>
      <c r="P575" s="5">
        <v>5.99</v>
      </c>
      <c r="Q575" s="5">
        <v>4.2</v>
      </c>
      <c r="R575" s="5">
        <v>80.180000000000007</v>
      </c>
      <c r="S575" s="4" t="s">
        <v>64</v>
      </c>
      <c r="T575" s="4" t="s">
        <v>50</v>
      </c>
      <c r="U575" s="4" t="s">
        <v>66</v>
      </c>
      <c r="V575" s="4" t="s">
        <v>957</v>
      </c>
      <c r="W575" s="5">
        <v>0</v>
      </c>
      <c r="X575" t="str">
        <f t="shared" si="24"/>
        <v>May</v>
      </c>
      <c r="Y575" t="str">
        <f t="shared" si="25"/>
        <v>Q2</v>
      </c>
      <c r="Z575" s="7">
        <f t="shared" si="26"/>
        <v>69.989999999999995</v>
      </c>
    </row>
    <row r="576" spans="1:26" x14ac:dyDescent="0.3">
      <c r="A576" s="2" t="s">
        <v>3624</v>
      </c>
      <c r="B576" s="8" t="s">
        <v>527</v>
      </c>
      <c r="C576" s="2" t="s">
        <v>3625</v>
      </c>
      <c r="D576" s="2" t="s">
        <v>3626</v>
      </c>
      <c r="E576" s="2" t="s">
        <v>3627</v>
      </c>
      <c r="F576" s="2" t="s">
        <v>3628</v>
      </c>
      <c r="G576" s="2" t="s">
        <v>107</v>
      </c>
      <c r="H576" s="2" t="s">
        <v>108</v>
      </c>
      <c r="I576" s="2" t="s">
        <v>31</v>
      </c>
      <c r="J576" s="2" t="s">
        <v>3629</v>
      </c>
      <c r="K576" s="2" t="s">
        <v>143</v>
      </c>
      <c r="L576" s="2">
        <v>2</v>
      </c>
      <c r="M576" s="3">
        <v>284.95999999999998</v>
      </c>
      <c r="N576" s="2" t="s">
        <v>34</v>
      </c>
      <c r="O576" s="3">
        <v>0</v>
      </c>
      <c r="P576" s="3">
        <v>0</v>
      </c>
      <c r="Q576" s="3">
        <v>28.5</v>
      </c>
      <c r="R576" s="3">
        <v>313.45999999999998</v>
      </c>
      <c r="S576" s="2" t="s">
        <v>111</v>
      </c>
      <c r="T576" s="2" t="s">
        <v>144</v>
      </c>
      <c r="U576" s="2" t="s">
        <v>317</v>
      </c>
      <c r="V576" s="2"/>
      <c r="W576" s="3">
        <v>0</v>
      </c>
      <c r="X576" t="str">
        <f t="shared" si="24"/>
        <v>November</v>
      </c>
      <c r="Y576" t="str">
        <f t="shared" si="25"/>
        <v>Q4</v>
      </c>
      <c r="Z576" s="7">
        <f t="shared" si="26"/>
        <v>284.95999999999998</v>
      </c>
    </row>
    <row r="577" spans="1:26" x14ac:dyDescent="0.3">
      <c r="A577" s="4" t="s">
        <v>3630</v>
      </c>
      <c r="B577" s="9" t="s">
        <v>461</v>
      </c>
      <c r="C577" s="4" t="s">
        <v>3631</v>
      </c>
      <c r="D577" s="4" t="s">
        <v>3632</v>
      </c>
      <c r="E577" s="4" t="s">
        <v>3633</v>
      </c>
      <c r="F577" s="4" t="s">
        <v>3634</v>
      </c>
      <c r="G577" s="4" t="s">
        <v>29</v>
      </c>
      <c r="H577" s="4" t="s">
        <v>30</v>
      </c>
      <c r="I577" s="4" t="s">
        <v>31</v>
      </c>
      <c r="J577" s="4" t="s">
        <v>387</v>
      </c>
      <c r="K577" s="4" t="s">
        <v>33</v>
      </c>
      <c r="L577" s="4">
        <v>1</v>
      </c>
      <c r="M577" s="5">
        <v>35.99</v>
      </c>
      <c r="N577" s="4" t="s">
        <v>78</v>
      </c>
      <c r="O577" s="5">
        <v>3.6</v>
      </c>
      <c r="P577" s="5">
        <v>4.99</v>
      </c>
      <c r="Q577" s="5">
        <v>2.92</v>
      </c>
      <c r="R577" s="5">
        <v>40.299999999999997</v>
      </c>
      <c r="S577" s="4" t="s">
        <v>123</v>
      </c>
      <c r="T577" s="4" t="s">
        <v>99</v>
      </c>
      <c r="U577" s="4" t="s">
        <v>51</v>
      </c>
      <c r="V577" s="4" t="s">
        <v>69</v>
      </c>
      <c r="W577" s="5">
        <v>0</v>
      </c>
      <c r="X577" t="str">
        <f t="shared" si="24"/>
        <v>June</v>
      </c>
      <c r="Y577" t="str">
        <f t="shared" si="25"/>
        <v>Q2</v>
      </c>
      <c r="Z577" s="7">
        <f t="shared" si="26"/>
        <v>32.39</v>
      </c>
    </row>
    <row r="578" spans="1:26" x14ac:dyDescent="0.3">
      <c r="A578" s="2" t="s">
        <v>3635</v>
      </c>
      <c r="B578" s="8" t="s">
        <v>1458</v>
      </c>
      <c r="C578" s="2" t="s">
        <v>3636</v>
      </c>
      <c r="D578" s="2" t="s">
        <v>3637</v>
      </c>
      <c r="E578" s="2" t="s">
        <v>3638</v>
      </c>
      <c r="F578" s="2" t="s">
        <v>3639</v>
      </c>
      <c r="G578" s="2" t="s">
        <v>291</v>
      </c>
      <c r="H578" s="2" t="s">
        <v>292</v>
      </c>
      <c r="I578" s="2" t="s">
        <v>31</v>
      </c>
      <c r="J578" s="2" t="s">
        <v>132</v>
      </c>
      <c r="K578" s="2" t="s">
        <v>48</v>
      </c>
      <c r="L578" s="2">
        <v>1</v>
      </c>
      <c r="M578" s="3">
        <v>129.97999999999999</v>
      </c>
      <c r="N578" s="2" t="s">
        <v>63</v>
      </c>
      <c r="O578" s="3">
        <v>32.49</v>
      </c>
      <c r="P578" s="3">
        <v>0</v>
      </c>
      <c r="Q578" s="3">
        <v>7.8</v>
      </c>
      <c r="R578" s="3">
        <v>105.29</v>
      </c>
      <c r="S578" s="2" t="s">
        <v>123</v>
      </c>
      <c r="T578" s="2" t="s">
        <v>99</v>
      </c>
      <c r="U578" s="2" t="s">
        <v>51</v>
      </c>
      <c r="V578" s="2" t="s">
        <v>311</v>
      </c>
      <c r="W578" s="3">
        <v>0</v>
      </c>
      <c r="X578" t="str">
        <f t="shared" si="24"/>
        <v>June</v>
      </c>
      <c r="Y578" t="str">
        <f t="shared" si="25"/>
        <v>Q2</v>
      </c>
      <c r="Z578" s="7">
        <f t="shared" si="26"/>
        <v>97.489999999999981</v>
      </c>
    </row>
    <row r="579" spans="1:26" x14ac:dyDescent="0.3">
      <c r="A579" s="4" t="s">
        <v>3640</v>
      </c>
      <c r="B579" s="9" t="s">
        <v>286</v>
      </c>
      <c r="C579" s="4" t="s">
        <v>3641</v>
      </c>
      <c r="D579" s="4" t="s">
        <v>3642</v>
      </c>
      <c r="E579" s="4" t="s">
        <v>3643</v>
      </c>
      <c r="F579" s="4" t="s">
        <v>3644</v>
      </c>
      <c r="G579" s="4" t="s">
        <v>282</v>
      </c>
      <c r="H579" s="4" t="s">
        <v>88</v>
      </c>
      <c r="I579" s="4" t="s">
        <v>31</v>
      </c>
      <c r="J579" s="4" t="s">
        <v>379</v>
      </c>
      <c r="K579" s="4" t="s">
        <v>209</v>
      </c>
      <c r="L579" s="4">
        <v>1</v>
      </c>
      <c r="M579" s="5">
        <v>89.99</v>
      </c>
      <c r="N579" s="4" t="s">
        <v>34</v>
      </c>
      <c r="O579" s="5">
        <v>0</v>
      </c>
      <c r="P579" s="5">
        <v>0</v>
      </c>
      <c r="Q579" s="5">
        <v>9</v>
      </c>
      <c r="R579" s="5">
        <v>98.99</v>
      </c>
      <c r="S579" s="4" t="s">
        <v>35</v>
      </c>
      <c r="T579" s="4" t="s">
        <v>173</v>
      </c>
      <c r="U579" s="4" t="s">
        <v>51</v>
      </c>
      <c r="V579" s="4" t="s">
        <v>1781</v>
      </c>
      <c r="W579" s="5">
        <v>0</v>
      </c>
      <c r="X579" t="str">
        <f t="shared" ref="X579:X642" si="27">TEXT(B579,"MMMM")</f>
        <v>October</v>
      </c>
      <c r="Y579" t="str">
        <f t="shared" ref="Y579:Y642" si="28">IF(MONTH(B579)&lt;=3,"Q1",IF(MONTH(B579)&lt;=6,"Q2",IF(MONTH(B579)&lt;=9,"Q3","Q4")))</f>
        <v>Q4</v>
      </c>
      <c r="Z579" s="7">
        <f t="shared" ref="Z579:Z642" si="29">M579-O579</f>
        <v>89.99</v>
      </c>
    </row>
    <row r="580" spans="1:26" x14ac:dyDescent="0.3">
      <c r="A580" s="2" t="s">
        <v>3645</v>
      </c>
      <c r="B580" s="8" t="s">
        <v>1846</v>
      </c>
      <c r="C580" s="2" t="s">
        <v>3646</v>
      </c>
      <c r="D580" s="2" t="s">
        <v>3647</v>
      </c>
      <c r="E580" s="2" t="s">
        <v>3648</v>
      </c>
      <c r="F580" s="2" t="s">
        <v>3649</v>
      </c>
      <c r="G580" s="2" t="s">
        <v>1183</v>
      </c>
      <c r="H580" s="2" t="s">
        <v>88</v>
      </c>
      <c r="I580" s="2" t="s">
        <v>31</v>
      </c>
      <c r="J580" s="2" t="s">
        <v>109</v>
      </c>
      <c r="K580" s="2" t="s">
        <v>110</v>
      </c>
      <c r="L580" s="2">
        <v>1</v>
      </c>
      <c r="M580" s="3">
        <v>68.97</v>
      </c>
      <c r="N580" s="2" t="s">
        <v>34</v>
      </c>
      <c r="O580" s="3">
        <v>0</v>
      </c>
      <c r="P580" s="3">
        <v>9.99</v>
      </c>
      <c r="Q580" s="3">
        <v>6.9</v>
      </c>
      <c r="R580" s="3">
        <v>85.86</v>
      </c>
      <c r="S580" s="2" t="s">
        <v>332</v>
      </c>
      <c r="T580" s="2" t="s">
        <v>99</v>
      </c>
      <c r="U580" s="2" t="s">
        <v>51</v>
      </c>
      <c r="V580" s="2" t="s">
        <v>2865</v>
      </c>
      <c r="W580" s="3">
        <v>0</v>
      </c>
      <c r="X580" t="str">
        <f t="shared" si="27"/>
        <v>August</v>
      </c>
      <c r="Y580" t="str">
        <f t="shared" si="28"/>
        <v>Q3</v>
      </c>
      <c r="Z580" s="7">
        <f t="shared" si="29"/>
        <v>68.97</v>
      </c>
    </row>
    <row r="581" spans="1:26" x14ac:dyDescent="0.3">
      <c r="A581" s="4" t="s">
        <v>3650</v>
      </c>
      <c r="B581" s="9" t="s">
        <v>1703</v>
      </c>
      <c r="C581" s="4" t="s">
        <v>3651</v>
      </c>
      <c r="D581" s="4" t="s">
        <v>3652</v>
      </c>
      <c r="E581" s="4" t="s">
        <v>3653</v>
      </c>
      <c r="F581" s="4" t="s">
        <v>3654</v>
      </c>
      <c r="G581" s="4" t="s">
        <v>87</v>
      </c>
      <c r="H581" s="4" t="s">
        <v>88</v>
      </c>
      <c r="I581" s="4" t="s">
        <v>31</v>
      </c>
      <c r="J581" s="4" t="s">
        <v>191</v>
      </c>
      <c r="K581" s="4" t="s">
        <v>77</v>
      </c>
      <c r="L581" s="4">
        <v>1</v>
      </c>
      <c r="M581" s="5">
        <v>24.99</v>
      </c>
      <c r="N581" s="4" t="s">
        <v>34</v>
      </c>
      <c r="O581" s="5">
        <v>0</v>
      </c>
      <c r="P581" s="5">
        <v>4.99</v>
      </c>
      <c r="Q581" s="5">
        <v>2</v>
      </c>
      <c r="R581" s="5">
        <v>31.98</v>
      </c>
      <c r="S581" s="4" t="s">
        <v>35</v>
      </c>
      <c r="T581" s="4" t="s">
        <v>183</v>
      </c>
      <c r="U581" s="4" t="s">
        <v>66</v>
      </c>
      <c r="V581" s="4" t="s">
        <v>463</v>
      </c>
      <c r="W581" s="5">
        <v>0</v>
      </c>
      <c r="X581" t="str">
        <f t="shared" si="27"/>
        <v>June</v>
      </c>
      <c r="Y581" t="str">
        <f t="shared" si="28"/>
        <v>Q2</v>
      </c>
      <c r="Z581" s="7">
        <f t="shared" si="29"/>
        <v>24.99</v>
      </c>
    </row>
    <row r="582" spans="1:26" x14ac:dyDescent="0.3">
      <c r="A582" s="2" t="s">
        <v>3655</v>
      </c>
      <c r="B582" s="8" t="s">
        <v>917</v>
      </c>
      <c r="C582" s="2" t="s">
        <v>3656</v>
      </c>
      <c r="D582" s="2" t="s">
        <v>3657</v>
      </c>
      <c r="E582" s="2" t="s">
        <v>3658</v>
      </c>
      <c r="F582" s="2" t="s">
        <v>3659</v>
      </c>
      <c r="G582" s="2" t="s">
        <v>207</v>
      </c>
      <c r="H582" s="2" t="s">
        <v>141</v>
      </c>
      <c r="I582" s="2" t="s">
        <v>31</v>
      </c>
      <c r="J582" s="2" t="s">
        <v>1997</v>
      </c>
      <c r="K582" s="2" t="s">
        <v>143</v>
      </c>
      <c r="L582" s="2">
        <v>1</v>
      </c>
      <c r="M582" s="3">
        <v>129.99</v>
      </c>
      <c r="N582" s="2" t="s">
        <v>49</v>
      </c>
      <c r="O582" s="3">
        <v>19.5</v>
      </c>
      <c r="P582" s="3">
        <v>0</v>
      </c>
      <c r="Q582" s="3">
        <v>11.05</v>
      </c>
      <c r="R582" s="3">
        <v>121.54</v>
      </c>
      <c r="S582" s="2" t="s">
        <v>35</v>
      </c>
      <c r="T582" s="2" t="s">
        <v>99</v>
      </c>
      <c r="U582" s="2" t="s">
        <v>51</v>
      </c>
      <c r="V582" s="2" t="s">
        <v>1683</v>
      </c>
      <c r="W582" s="3">
        <v>0</v>
      </c>
      <c r="X582" t="str">
        <f t="shared" si="27"/>
        <v>September</v>
      </c>
      <c r="Y582" t="str">
        <f t="shared" si="28"/>
        <v>Q3</v>
      </c>
      <c r="Z582" s="7">
        <f t="shared" si="29"/>
        <v>110.49000000000001</v>
      </c>
    </row>
    <row r="583" spans="1:26" x14ac:dyDescent="0.3">
      <c r="A583" s="4" t="s">
        <v>3660</v>
      </c>
      <c r="B583" s="9" t="s">
        <v>69</v>
      </c>
      <c r="C583" s="4" t="s">
        <v>3661</v>
      </c>
      <c r="D583" s="4" t="s">
        <v>3662</v>
      </c>
      <c r="E583" s="4" t="s">
        <v>3663</v>
      </c>
      <c r="F583" s="4" t="s">
        <v>3664</v>
      </c>
      <c r="G583" s="4" t="s">
        <v>1730</v>
      </c>
      <c r="H583" s="4" t="s">
        <v>161</v>
      </c>
      <c r="I583" s="4" t="s">
        <v>31</v>
      </c>
      <c r="J583" s="4" t="s">
        <v>2907</v>
      </c>
      <c r="K583" s="4" t="s">
        <v>110</v>
      </c>
      <c r="L583" s="4">
        <v>2</v>
      </c>
      <c r="M583" s="5">
        <v>57.98</v>
      </c>
      <c r="N583" s="4" t="s">
        <v>152</v>
      </c>
      <c r="O583" s="5">
        <v>2.9</v>
      </c>
      <c r="P583" s="5">
        <v>4.99</v>
      </c>
      <c r="Q583" s="5">
        <v>3.3</v>
      </c>
      <c r="R583" s="5">
        <v>63.37</v>
      </c>
      <c r="S583" s="4" t="s">
        <v>35</v>
      </c>
      <c r="T583" s="4" t="s">
        <v>183</v>
      </c>
      <c r="U583" s="4" t="s">
        <v>66</v>
      </c>
      <c r="V583" s="4" t="s">
        <v>2839</v>
      </c>
      <c r="W583" s="5">
        <v>0</v>
      </c>
      <c r="X583" t="str">
        <f t="shared" si="27"/>
        <v>June</v>
      </c>
      <c r="Y583" t="str">
        <f t="shared" si="28"/>
        <v>Q2</v>
      </c>
      <c r="Z583" s="7">
        <f t="shared" si="29"/>
        <v>55.08</v>
      </c>
    </row>
    <row r="584" spans="1:26" x14ac:dyDescent="0.3">
      <c r="A584" s="2" t="s">
        <v>3665</v>
      </c>
      <c r="B584" s="8" t="s">
        <v>570</v>
      </c>
      <c r="C584" s="2" t="s">
        <v>3666</v>
      </c>
      <c r="D584" s="2" t="s">
        <v>3667</v>
      </c>
      <c r="E584" s="2" t="s">
        <v>3668</v>
      </c>
      <c r="F584" s="2" t="s">
        <v>3669</v>
      </c>
      <c r="G584" s="2" t="s">
        <v>180</v>
      </c>
      <c r="H584" s="2" t="s">
        <v>181</v>
      </c>
      <c r="I584" s="2" t="s">
        <v>31</v>
      </c>
      <c r="J584" s="2" t="s">
        <v>3670</v>
      </c>
      <c r="K584" s="2" t="s">
        <v>209</v>
      </c>
      <c r="L584" s="2">
        <v>4</v>
      </c>
      <c r="M584" s="3">
        <v>213.95</v>
      </c>
      <c r="N584" s="2" t="s">
        <v>78</v>
      </c>
      <c r="O584" s="3">
        <v>21.4</v>
      </c>
      <c r="P584" s="3">
        <v>0</v>
      </c>
      <c r="Q584" s="3">
        <v>11.55</v>
      </c>
      <c r="R584" s="3">
        <v>204.1</v>
      </c>
      <c r="S584" s="2" t="s">
        <v>35</v>
      </c>
      <c r="T584" s="2" t="s">
        <v>144</v>
      </c>
      <c r="U584" s="2" t="s">
        <v>317</v>
      </c>
      <c r="V584" s="2"/>
      <c r="W584" s="3">
        <v>0</v>
      </c>
      <c r="X584" t="str">
        <f t="shared" si="27"/>
        <v>November</v>
      </c>
      <c r="Y584" t="str">
        <f t="shared" si="28"/>
        <v>Q4</v>
      </c>
      <c r="Z584" s="7">
        <f t="shared" si="29"/>
        <v>192.54999999999998</v>
      </c>
    </row>
    <row r="585" spans="1:26" x14ac:dyDescent="0.3">
      <c r="A585" s="4" t="s">
        <v>3671</v>
      </c>
      <c r="B585" s="9" t="s">
        <v>166</v>
      </c>
      <c r="C585" s="4" t="s">
        <v>3672</v>
      </c>
      <c r="D585" s="4" t="s">
        <v>3673</v>
      </c>
      <c r="E585" s="4" t="s">
        <v>3674</v>
      </c>
      <c r="F585" s="4" t="s">
        <v>3675</v>
      </c>
      <c r="G585" s="4" t="s">
        <v>45</v>
      </c>
      <c r="H585" s="4" t="s">
        <v>46</v>
      </c>
      <c r="I585" s="4" t="s">
        <v>31</v>
      </c>
      <c r="J585" s="4" t="s">
        <v>3676</v>
      </c>
      <c r="K585" s="4" t="s">
        <v>110</v>
      </c>
      <c r="L585" s="4">
        <v>1</v>
      </c>
      <c r="M585" s="5">
        <v>79.98</v>
      </c>
      <c r="N585" s="4" t="s">
        <v>49</v>
      </c>
      <c r="O585" s="5">
        <v>12</v>
      </c>
      <c r="P585" s="5">
        <v>0</v>
      </c>
      <c r="Q585" s="5">
        <v>6.8</v>
      </c>
      <c r="R585" s="5">
        <v>74.78</v>
      </c>
      <c r="S585" s="4" t="s">
        <v>123</v>
      </c>
      <c r="T585" s="4" t="s">
        <v>99</v>
      </c>
      <c r="U585" s="4" t="s">
        <v>37</v>
      </c>
      <c r="V585" s="4" t="s">
        <v>1194</v>
      </c>
      <c r="W585" s="5">
        <v>74.78</v>
      </c>
      <c r="X585" t="str">
        <f t="shared" si="27"/>
        <v>November</v>
      </c>
      <c r="Y585" t="str">
        <f t="shared" si="28"/>
        <v>Q4</v>
      </c>
      <c r="Z585" s="7">
        <f t="shared" si="29"/>
        <v>67.98</v>
      </c>
    </row>
    <row r="586" spans="1:26" x14ac:dyDescent="0.3">
      <c r="A586" s="2" t="s">
        <v>3677</v>
      </c>
      <c r="B586" s="8" t="s">
        <v>1546</v>
      </c>
      <c r="C586" s="2" t="s">
        <v>3678</v>
      </c>
      <c r="D586" s="2" t="s">
        <v>3679</v>
      </c>
      <c r="E586" s="2" t="s">
        <v>3680</v>
      </c>
      <c r="F586" s="2" t="s">
        <v>3681</v>
      </c>
      <c r="G586" s="2" t="s">
        <v>347</v>
      </c>
      <c r="H586" s="2" t="s">
        <v>60</v>
      </c>
      <c r="I586" s="2" t="s">
        <v>31</v>
      </c>
      <c r="J586" s="2" t="s">
        <v>3682</v>
      </c>
      <c r="K586" s="2" t="s">
        <v>77</v>
      </c>
      <c r="L586" s="2">
        <v>1</v>
      </c>
      <c r="M586" s="3">
        <v>69.98</v>
      </c>
      <c r="N586" s="2" t="s">
        <v>78</v>
      </c>
      <c r="O586" s="3">
        <v>7</v>
      </c>
      <c r="P586" s="3">
        <v>5.99</v>
      </c>
      <c r="Q586" s="3">
        <v>6.3</v>
      </c>
      <c r="R586" s="3">
        <v>75.27</v>
      </c>
      <c r="S586" s="2" t="s">
        <v>64</v>
      </c>
      <c r="T586" s="2" t="s">
        <v>65</v>
      </c>
      <c r="U586" s="2" t="s">
        <v>66</v>
      </c>
      <c r="V586" s="2" t="s">
        <v>2171</v>
      </c>
      <c r="W586" s="3">
        <v>0</v>
      </c>
      <c r="X586" t="str">
        <f t="shared" si="27"/>
        <v>February</v>
      </c>
      <c r="Y586" t="str">
        <f t="shared" si="28"/>
        <v>Q1</v>
      </c>
      <c r="Z586" s="7">
        <f t="shared" si="29"/>
        <v>62.980000000000004</v>
      </c>
    </row>
    <row r="587" spans="1:26" x14ac:dyDescent="0.3">
      <c r="A587" s="4" t="s">
        <v>3683</v>
      </c>
      <c r="B587" s="9" t="s">
        <v>1488</v>
      </c>
      <c r="C587" s="4" t="s">
        <v>3684</v>
      </c>
      <c r="D587" s="4" t="s">
        <v>3685</v>
      </c>
      <c r="E587" s="4" t="s">
        <v>3686</v>
      </c>
      <c r="F587" s="4" t="s">
        <v>3687</v>
      </c>
      <c r="G587" s="4" t="s">
        <v>45</v>
      </c>
      <c r="H587" s="4" t="s">
        <v>46</v>
      </c>
      <c r="I587" s="4" t="s">
        <v>31</v>
      </c>
      <c r="J587" s="4" t="s">
        <v>444</v>
      </c>
      <c r="K587" s="4" t="s">
        <v>48</v>
      </c>
      <c r="L587" s="4">
        <v>1</v>
      </c>
      <c r="M587" s="5">
        <v>64.989999999999995</v>
      </c>
      <c r="N587" s="4" t="s">
        <v>63</v>
      </c>
      <c r="O587" s="5">
        <v>16.25</v>
      </c>
      <c r="P587" s="5">
        <v>7.99</v>
      </c>
      <c r="Q587" s="5">
        <v>3.9</v>
      </c>
      <c r="R587" s="5">
        <v>60.63</v>
      </c>
      <c r="S587" s="4" t="s">
        <v>64</v>
      </c>
      <c r="T587" s="4" t="s">
        <v>36</v>
      </c>
      <c r="U587" s="4" t="s">
        <v>37</v>
      </c>
      <c r="V587" s="4" t="s">
        <v>838</v>
      </c>
      <c r="W587" s="5">
        <v>60.63</v>
      </c>
      <c r="X587" t="str">
        <f t="shared" si="27"/>
        <v>February</v>
      </c>
      <c r="Y587" t="str">
        <f t="shared" si="28"/>
        <v>Q1</v>
      </c>
      <c r="Z587" s="7">
        <f t="shared" si="29"/>
        <v>48.739999999999995</v>
      </c>
    </row>
    <row r="588" spans="1:26" x14ac:dyDescent="0.3">
      <c r="A588" s="2" t="s">
        <v>3688</v>
      </c>
      <c r="B588" s="8" t="s">
        <v>669</v>
      </c>
      <c r="C588" s="2" t="s">
        <v>3689</v>
      </c>
      <c r="D588" s="2" t="s">
        <v>1385</v>
      </c>
      <c r="E588" s="2" t="s">
        <v>3690</v>
      </c>
      <c r="F588" s="2" t="s">
        <v>3691</v>
      </c>
      <c r="G588" s="2" t="s">
        <v>74</v>
      </c>
      <c r="H588" s="2" t="s">
        <v>75</v>
      </c>
      <c r="I588" s="2" t="s">
        <v>31</v>
      </c>
      <c r="J588" s="2" t="s">
        <v>577</v>
      </c>
      <c r="K588" s="2" t="s">
        <v>364</v>
      </c>
      <c r="L588" s="2">
        <v>1</v>
      </c>
      <c r="M588" s="3">
        <v>19.989999999999998</v>
      </c>
      <c r="N588" s="2" t="s">
        <v>78</v>
      </c>
      <c r="O588" s="3">
        <v>2</v>
      </c>
      <c r="P588" s="3">
        <v>4.99</v>
      </c>
      <c r="Q588" s="3">
        <v>1.26</v>
      </c>
      <c r="R588" s="3">
        <v>24.24</v>
      </c>
      <c r="S588" s="2" t="s">
        <v>123</v>
      </c>
      <c r="T588" s="2" t="s">
        <v>99</v>
      </c>
      <c r="U588" s="2" t="s">
        <v>66</v>
      </c>
      <c r="V588" s="2" t="s">
        <v>1521</v>
      </c>
      <c r="W588" s="3">
        <v>0</v>
      </c>
      <c r="X588" t="str">
        <f t="shared" si="27"/>
        <v>March</v>
      </c>
      <c r="Y588" t="str">
        <f t="shared" si="28"/>
        <v>Q1</v>
      </c>
      <c r="Z588" s="7">
        <f t="shared" si="29"/>
        <v>17.989999999999998</v>
      </c>
    </row>
    <row r="589" spans="1:26" x14ac:dyDescent="0.3">
      <c r="A589" s="4" t="s">
        <v>3692</v>
      </c>
      <c r="B589" s="9" t="s">
        <v>1490</v>
      </c>
      <c r="C589" s="4" t="s">
        <v>3693</v>
      </c>
      <c r="D589" s="4" t="s">
        <v>3694</v>
      </c>
      <c r="E589" s="4" t="s">
        <v>3695</v>
      </c>
      <c r="F589" s="4" t="s">
        <v>3696</v>
      </c>
      <c r="G589" s="4" t="s">
        <v>323</v>
      </c>
      <c r="H589" s="4" t="s">
        <v>324</v>
      </c>
      <c r="I589" s="4" t="s">
        <v>31</v>
      </c>
      <c r="J589" s="4" t="s">
        <v>3697</v>
      </c>
      <c r="K589" s="4" t="s">
        <v>209</v>
      </c>
      <c r="L589" s="4">
        <v>4</v>
      </c>
      <c r="M589" s="5">
        <v>147.96</v>
      </c>
      <c r="N589" s="4" t="s">
        <v>78</v>
      </c>
      <c r="O589" s="5">
        <v>14.8</v>
      </c>
      <c r="P589" s="5">
        <v>0</v>
      </c>
      <c r="Q589" s="5">
        <v>10.65</v>
      </c>
      <c r="R589" s="5">
        <v>143.81</v>
      </c>
      <c r="S589" s="4" t="s">
        <v>35</v>
      </c>
      <c r="T589" s="4" t="s">
        <v>36</v>
      </c>
      <c r="U589" s="4" t="s">
        <v>317</v>
      </c>
      <c r="V589" s="4"/>
      <c r="W589" s="5">
        <v>0</v>
      </c>
      <c r="X589" t="str">
        <f t="shared" si="27"/>
        <v>February</v>
      </c>
      <c r="Y589" t="str">
        <f t="shared" si="28"/>
        <v>Q1</v>
      </c>
      <c r="Z589" s="7">
        <f t="shared" si="29"/>
        <v>133.16</v>
      </c>
    </row>
    <row r="590" spans="1:26" x14ac:dyDescent="0.3">
      <c r="A590" s="2" t="s">
        <v>3698</v>
      </c>
      <c r="B590" s="8" t="s">
        <v>256</v>
      </c>
      <c r="C590" s="2" t="s">
        <v>3699</v>
      </c>
      <c r="D590" s="2" t="s">
        <v>3700</v>
      </c>
      <c r="E590" s="2" t="s">
        <v>3701</v>
      </c>
      <c r="F590" s="2" t="s">
        <v>3702</v>
      </c>
      <c r="G590" s="2" t="s">
        <v>59</v>
      </c>
      <c r="H590" s="2" t="s">
        <v>60</v>
      </c>
      <c r="I590" s="2" t="s">
        <v>31</v>
      </c>
      <c r="J590" s="2" t="s">
        <v>283</v>
      </c>
      <c r="K590" s="2" t="s">
        <v>209</v>
      </c>
      <c r="L590" s="2">
        <v>1</v>
      </c>
      <c r="M590" s="3">
        <v>49.99</v>
      </c>
      <c r="N590" s="2" t="s">
        <v>34</v>
      </c>
      <c r="O590" s="3">
        <v>0</v>
      </c>
      <c r="P590" s="3">
        <v>5.99</v>
      </c>
      <c r="Q590" s="3">
        <v>3</v>
      </c>
      <c r="R590" s="3">
        <v>58.98</v>
      </c>
      <c r="S590" s="2" t="s">
        <v>35</v>
      </c>
      <c r="T590" s="2" t="s">
        <v>99</v>
      </c>
      <c r="U590" s="2" t="s">
        <v>66</v>
      </c>
      <c r="V590" s="2" t="s">
        <v>2015</v>
      </c>
      <c r="W590" s="3">
        <v>0</v>
      </c>
      <c r="X590" t="str">
        <f t="shared" si="27"/>
        <v>June</v>
      </c>
      <c r="Y590" t="str">
        <f t="shared" si="28"/>
        <v>Q2</v>
      </c>
      <c r="Z590" s="7">
        <f t="shared" si="29"/>
        <v>49.99</v>
      </c>
    </row>
    <row r="591" spans="1:26" x14ac:dyDescent="0.3">
      <c r="A591" s="4" t="s">
        <v>3703</v>
      </c>
      <c r="B591" s="9" t="s">
        <v>482</v>
      </c>
      <c r="C591" s="4" t="s">
        <v>3704</v>
      </c>
      <c r="D591" s="4" t="s">
        <v>3705</v>
      </c>
      <c r="E591" s="4" t="s">
        <v>3706</v>
      </c>
      <c r="F591" s="4" t="s">
        <v>3707</v>
      </c>
      <c r="G591" s="4" t="s">
        <v>291</v>
      </c>
      <c r="H591" s="4" t="s">
        <v>292</v>
      </c>
      <c r="I591" s="4" t="s">
        <v>31</v>
      </c>
      <c r="J591" s="4" t="s">
        <v>1695</v>
      </c>
      <c r="K591" s="4" t="s">
        <v>33</v>
      </c>
      <c r="L591" s="4">
        <v>1</v>
      </c>
      <c r="M591" s="5">
        <v>71.98</v>
      </c>
      <c r="N591" s="4" t="s">
        <v>78</v>
      </c>
      <c r="O591" s="5">
        <v>7.2</v>
      </c>
      <c r="P591" s="5">
        <v>9.99</v>
      </c>
      <c r="Q591" s="5">
        <v>4.53</v>
      </c>
      <c r="R591" s="5">
        <v>79.3</v>
      </c>
      <c r="S591" s="4" t="s">
        <v>35</v>
      </c>
      <c r="T591" s="4" t="s">
        <v>99</v>
      </c>
      <c r="U591" s="4" t="s">
        <v>66</v>
      </c>
      <c r="V591" s="4" t="s">
        <v>2886</v>
      </c>
      <c r="W591" s="5">
        <v>0</v>
      </c>
      <c r="X591" t="str">
        <f t="shared" si="27"/>
        <v>June</v>
      </c>
      <c r="Y591" t="str">
        <f t="shared" si="28"/>
        <v>Q2</v>
      </c>
      <c r="Z591" s="7">
        <f t="shared" si="29"/>
        <v>64.78</v>
      </c>
    </row>
    <row r="592" spans="1:26" x14ac:dyDescent="0.3">
      <c r="A592" s="2" t="s">
        <v>3708</v>
      </c>
      <c r="B592" s="8" t="s">
        <v>1873</v>
      </c>
      <c r="C592" s="2" t="s">
        <v>3709</v>
      </c>
      <c r="D592" s="2" t="s">
        <v>3710</v>
      </c>
      <c r="E592" s="2" t="s">
        <v>3711</v>
      </c>
      <c r="F592" s="2" t="s">
        <v>3712</v>
      </c>
      <c r="G592" s="2" t="s">
        <v>640</v>
      </c>
      <c r="H592" s="2" t="s">
        <v>161</v>
      </c>
      <c r="I592" s="2" t="s">
        <v>31</v>
      </c>
      <c r="J592" s="2" t="s">
        <v>3713</v>
      </c>
      <c r="K592" s="2" t="s">
        <v>122</v>
      </c>
      <c r="L592" s="2">
        <v>4</v>
      </c>
      <c r="M592" s="3">
        <v>234.95</v>
      </c>
      <c r="N592" s="2" t="s">
        <v>34</v>
      </c>
      <c r="O592" s="3">
        <v>0</v>
      </c>
      <c r="P592" s="3">
        <v>0</v>
      </c>
      <c r="Q592" s="3">
        <v>23.5</v>
      </c>
      <c r="R592" s="3">
        <v>258.45</v>
      </c>
      <c r="S592" s="2" t="s">
        <v>123</v>
      </c>
      <c r="T592" s="2" t="s">
        <v>99</v>
      </c>
      <c r="U592" s="2" t="s">
        <v>66</v>
      </c>
      <c r="V592" s="2" t="s">
        <v>166</v>
      </c>
      <c r="W592" s="3">
        <v>0</v>
      </c>
      <c r="X592" t="str">
        <f t="shared" si="27"/>
        <v>November</v>
      </c>
      <c r="Y592" t="str">
        <f t="shared" si="28"/>
        <v>Q4</v>
      </c>
      <c r="Z592" s="7">
        <f t="shared" si="29"/>
        <v>234.95</v>
      </c>
    </row>
    <row r="593" spans="1:26" x14ac:dyDescent="0.3">
      <c r="A593" s="4" t="s">
        <v>3714</v>
      </c>
      <c r="B593" s="9" t="s">
        <v>2647</v>
      </c>
      <c r="C593" s="4" t="s">
        <v>3715</v>
      </c>
      <c r="D593" s="4" t="s">
        <v>3716</v>
      </c>
      <c r="E593" s="4" t="s">
        <v>3717</v>
      </c>
      <c r="F593" s="4" t="s">
        <v>3718</v>
      </c>
      <c r="G593" s="4" t="s">
        <v>323</v>
      </c>
      <c r="H593" s="4" t="s">
        <v>324</v>
      </c>
      <c r="I593" s="4" t="s">
        <v>31</v>
      </c>
      <c r="J593" s="4" t="s">
        <v>1238</v>
      </c>
      <c r="K593" s="4" t="s">
        <v>209</v>
      </c>
      <c r="L593" s="4">
        <v>1</v>
      </c>
      <c r="M593" s="5">
        <v>39.99</v>
      </c>
      <c r="N593" s="4" t="s">
        <v>34</v>
      </c>
      <c r="O593" s="5">
        <v>0</v>
      </c>
      <c r="P593" s="5">
        <v>7.99</v>
      </c>
      <c r="Q593" s="5">
        <v>2.8</v>
      </c>
      <c r="R593" s="5">
        <v>50.78</v>
      </c>
      <c r="S593" s="4" t="s">
        <v>123</v>
      </c>
      <c r="T593" s="4" t="s">
        <v>99</v>
      </c>
      <c r="U593" s="4" t="s">
        <v>66</v>
      </c>
      <c r="V593" s="4" t="s">
        <v>1199</v>
      </c>
      <c r="W593" s="5">
        <v>0</v>
      </c>
      <c r="X593" t="str">
        <f t="shared" si="27"/>
        <v>December</v>
      </c>
      <c r="Y593" t="str">
        <f t="shared" si="28"/>
        <v>Q4</v>
      </c>
      <c r="Z593" s="7">
        <f t="shared" si="29"/>
        <v>39.99</v>
      </c>
    </row>
    <row r="594" spans="1:26" x14ac:dyDescent="0.3">
      <c r="A594" s="2" t="s">
        <v>3719</v>
      </c>
      <c r="B594" s="8" t="s">
        <v>175</v>
      </c>
      <c r="C594" s="2" t="s">
        <v>3720</v>
      </c>
      <c r="D594" s="2" t="s">
        <v>3721</v>
      </c>
      <c r="E594" s="2" t="s">
        <v>3722</v>
      </c>
      <c r="F594" s="2" t="s">
        <v>3723</v>
      </c>
      <c r="G594" s="2" t="s">
        <v>29</v>
      </c>
      <c r="H594" s="2" t="s">
        <v>30</v>
      </c>
      <c r="I594" s="2" t="s">
        <v>31</v>
      </c>
      <c r="J594" s="2" t="s">
        <v>678</v>
      </c>
      <c r="K594" s="2" t="s">
        <v>679</v>
      </c>
      <c r="L594" s="2">
        <v>1</v>
      </c>
      <c r="M594" s="3">
        <v>14.99</v>
      </c>
      <c r="N594" s="2" t="s">
        <v>78</v>
      </c>
      <c r="O594" s="3">
        <v>1.5</v>
      </c>
      <c r="P594" s="3">
        <v>7.99</v>
      </c>
      <c r="Q594" s="3">
        <v>1.35</v>
      </c>
      <c r="R594" s="3">
        <v>22.83</v>
      </c>
      <c r="S594" s="2" t="s">
        <v>35</v>
      </c>
      <c r="T594" s="2" t="s">
        <v>173</v>
      </c>
      <c r="U594" s="2" t="s">
        <v>100</v>
      </c>
      <c r="V594" s="2"/>
      <c r="W594" s="3">
        <v>0</v>
      </c>
      <c r="X594" t="str">
        <f t="shared" si="27"/>
        <v>July</v>
      </c>
      <c r="Y594" t="str">
        <f t="shared" si="28"/>
        <v>Q3</v>
      </c>
      <c r="Z594" s="7">
        <f t="shared" si="29"/>
        <v>13.49</v>
      </c>
    </row>
    <row r="595" spans="1:26" x14ac:dyDescent="0.3">
      <c r="A595" s="4" t="s">
        <v>3724</v>
      </c>
      <c r="B595" s="9" t="s">
        <v>1582</v>
      </c>
      <c r="C595" s="4" t="s">
        <v>3725</v>
      </c>
      <c r="D595" s="4" t="s">
        <v>3726</v>
      </c>
      <c r="E595" s="4" t="s">
        <v>3727</v>
      </c>
      <c r="F595" s="4" t="s">
        <v>3728</v>
      </c>
      <c r="G595" s="4" t="s">
        <v>119</v>
      </c>
      <c r="H595" s="4" t="s">
        <v>120</v>
      </c>
      <c r="I595" s="4" t="s">
        <v>31</v>
      </c>
      <c r="J595" s="4" t="s">
        <v>3676</v>
      </c>
      <c r="K595" s="4" t="s">
        <v>110</v>
      </c>
      <c r="L595" s="4">
        <v>1</v>
      </c>
      <c r="M595" s="5">
        <v>79.98</v>
      </c>
      <c r="N595" s="4" t="s">
        <v>49</v>
      </c>
      <c r="O595" s="5">
        <v>12</v>
      </c>
      <c r="P595" s="5">
        <v>0</v>
      </c>
      <c r="Q595" s="5">
        <v>5.44</v>
      </c>
      <c r="R595" s="5">
        <v>73.42</v>
      </c>
      <c r="S595" s="4" t="s">
        <v>35</v>
      </c>
      <c r="T595" s="4" t="s">
        <v>99</v>
      </c>
      <c r="U595" s="4" t="s">
        <v>317</v>
      </c>
      <c r="V595" s="4"/>
      <c r="W595" s="5">
        <v>0</v>
      </c>
      <c r="X595" t="str">
        <f t="shared" si="27"/>
        <v>July</v>
      </c>
      <c r="Y595" t="str">
        <f t="shared" si="28"/>
        <v>Q3</v>
      </c>
      <c r="Z595" s="7">
        <f t="shared" si="29"/>
        <v>67.98</v>
      </c>
    </row>
    <row r="596" spans="1:26" x14ac:dyDescent="0.3">
      <c r="A596" s="2" t="s">
        <v>3729</v>
      </c>
      <c r="B596" s="8" t="s">
        <v>2222</v>
      </c>
      <c r="C596" s="2" t="s">
        <v>3730</v>
      </c>
      <c r="D596" s="2" t="s">
        <v>3731</v>
      </c>
      <c r="E596" s="2" t="s">
        <v>3732</v>
      </c>
      <c r="F596" s="2" t="s">
        <v>3733</v>
      </c>
      <c r="G596" s="2" t="s">
        <v>291</v>
      </c>
      <c r="H596" s="2" t="s">
        <v>292</v>
      </c>
      <c r="I596" s="2" t="s">
        <v>31</v>
      </c>
      <c r="J596" s="2" t="s">
        <v>3734</v>
      </c>
      <c r="K596" s="2" t="s">
        <v>62</v>
      </c>
      <c r="L596" s="2">
        <v>2</v>
      </c>
      <c r="M596" s="3">
        <v>54.98</v>
      </c>
      <c r="N596" s="2" t="s">
        <v>78</v>
      </c>
      <c r="O596" s="3">
        <v>5.5</v>
      </c>
      <c r="P596" s="3">
        <v>7.99</v>
      </c>
      <c r="Q596" s="3">
        <v>3.46</v>
      </c>
      <c r="R596" s="3">
        <v>60.93</v>
      </c>
      <c r="S596" s="2" t="s">
        <v>35</v>
      </c>
      <c r="T596" s="2" t="s">
        <v>173</v>
      </c>
      <c r="U596" s="2" t="s">
        <v>51</v>
      </c>
      <c r="V596" s="2" t="s">
        <v>609</v>
      </c>
      <c r="W596" s="3">
        <v>0</v>
      </c>
      <c r="X596" t="str">
        <f t="shared" si="27"/>
        <v>December</v>
      </c>
      <c r="Y596" t="str">
        <f t="shared" si="28"/>
        <v>Q4</v>
      </c>
      <c r="Z596" s="7">
        <f t="shared" si="29"/>
        <v>49.48</v>
      </c>
    </row>
    <row r="597" spans="1:26" x14ac:dyDescent="0.3">
      <c r="A597" s="4" t="s">
        <v>3735</v>
      </c>
      <c r="B597" s="9" t="s">
        <v>1529</v>
      </c>
      <c r="C597" s="4" t="s">
        <v>3736</v>
      </c>
      <c r="D597" s="4" t="s">
        <v>3737</v>
      </c>
      <c r="E597" s="4" t="s">
        <v>3738</v>
      </c>
      <c r="F597" s="4" t="s">
        <v>3739</v>
      </c>
      <c r="G597" s="4" t="s">
        <v>190</v>
      </c>
      <c r="H597" s="4" t="s">
        <v>161</v>
      </c>
      <c r="I597" s="4" t="s">
        <v>31</v>
      </c>
      <c r="J597" s="4" t="s">
        <v>632</v>
      </c>
      <c r="K597" s="4" t="s">
        <v>33</v>
      </c>
      <c r="L597" s="4">
        <v>1</v>
      </c>
      <c r="M597" s="5">
        <v>49.99</v>
      </c>
      <c r="N597" s="4" t="s">
        <v>78</v>
      </c>
      <c r="O597" s="5">
        <v>5</v>
      </c>
      <c r="P597" s="5">
        <v>5.99</v>
      </c>
      <c r="Q597" s="5">
        <v>3.6</v>
      </c>
      <c r="R597" s="5">
        <v>54.58</v>
      </c>
      <c r="S597" s="4" t="s">
        <v>123</v>
      </c>
      <c r="T597" s="4" t="s">
        <v>99</v>
      </c>
      <c r="U597" s="4" t="s">
        <v>66</v>
      </c>
      <c r="V597" s="4" t="s">
        <v>1215</v>
      </c>
      <c r="W597" s="5">
        <v>0</v>
      </c>
      <c r="X597" t="str">
        <f t="shared" si="27"/>
        <v>September</v>
      </c>
      <c r="Y597" t="str">
        <f t="shared" si="28"/>
        <v>Q3</v>
      </c>
      <c r="Z597" s="7">
        <f t="shared" si="29"/>
        <v>44.99</v>
      </c>
    </row>
    <row r="598" spans="1:26" x14ac:dyDescent="0.3">
      <c r="A598" s="2" t="s">
        <v>3740</v>
      </c>
      <c r="B598" s="8" t="s">
        <v>3741</v>
      </c>
      <c r="C598" s="2" t="s">
        <v>3742</v>
      </c>
      <c r="D598" s="2" t="s">
        <v>3743</v>
      </c>
      <c r="E598" s="2" t="s">
        <v>3744</v>
      </c>
      <c r="F598" s="2" t="s">
        <v>3745</v>
      </c>
      <c r="G598" s="2" t="s">
        <v>802</v>
      </c>
      <c r="H598" s="2" t="s">
        <v>88</v>
      </c>
      <c r="I598" s="2" t="s">
        <v>31</v>
      </c>
      <c r="J598" s="2" t="s">
        <v>2576</v>
      </c>
      <c r="K598" s="2" t="s">
        <v>33</v>
      </c>
      <c r="L598" s="2">
        <v>1</v>
      </c>
      <c r="M598" s="3">
        <v>99.98</v>
      </c>
      <c r="N598" s="2" t="s">
        <v>34</v>
      </c>
      <c r="O598" s="3">
        <v>0</v>
      </c>
      <c r="P598" s="3">
        <v>0</v>
      </c>
      <c r="Q598" s="3">
        <v>8</v>
      </c>
      <c r="R598" s="3">
        <v>107.98</v>
      </c>
      <c r="S598" s="2" t="s">
        <v>35</v>
      </c>
      <c r="T598" s="2" t="s">
        <v>65</v>
      </c>
      <c r="U598" s="2" t="s">
        <v>37</v>
      </c>
      <c r="V598" s="2" t="s">
        <v>3746</v>
      </c>
      <c r="W598" s="3">
        <v>107.98</v>
      </c>
      <c r="X598" t="str">
        <f t="shared" si="27"/>
        <v>January</v>
      </c>
      <c r="Y598" t="str">
        <f t="shared" si="28"/>
        <v>Q1</v>
      </c>
      <c r="Z598" s="7">
        <f t="shared" si="29"/>
        <v>99.98</v>
      </c>
    </row>
    <row r="599" spans="1:26" x14ac:dyDescent="0.3">
      <c r="A599" s="4" t="s">
        <v>3747</v>
      </c>
      <c r="B599" s="9" t="s">
        <v>1170</v>
      </c>
      <c r="C599" s="4" t="s">
        <v>3748</v>
      </c>
      <c r="D599" s="4" t="s">
        <v>187</v>
      </c>
      <c r="E599" s="4" t="s">
        <v>3749</v>
      </c>
      <c r="F599" s="4" t="s">
        <v>3750</v>
      </c>
      <c r="G599" s="4" t="s">
        <v>119</v>
      </c>
      <c r="H599" s="4" t="s">
        <v>120</v>
      </c>
      <c r="I599" s="4" t="s">
        <v>31</v>
      </c>
      <c r="J599" s="4" t="s">
        <v>3751</v>
      </c>
      <c r="K599" s="4" t="s">
        <v>77</v>
      </c>
      <c r="L599" s="4">
        <v>2</v>
      </c>
      <c r="M599" s="5">
        <v>115.97</v>
      </c>
      <c r="N599" s="4" t="s">
        <v>49</v>
      </c>
      <c r="O599" s="5">
        <v>17.399999999999999</v>
      </c>
      <c r="P599" s="5">
        <v>0</v>
      </c>
      <c r="Q599" s="5">
        <v>8.3800000000000008</v>
      </c>
      <c r="R599" s="5">
        <v>106.95</v>
      </c>
      <c r="S599" s="4" t="s">
        <v>437</v>
      </c>
      <c r="T599" s="4" t="s">
        <v>99</v>
      </c>
      <c r="U599" s="4" t="s">
        <v>66</v>
      </c>
      <c r="V599" s="4" t="s">
        <v>2963</v>
      </c>
      <c r="W599" s="5">
        <v>0</v>
      </c>
      <c r="X599" t="str">
        <f t="shared" si="27"/>
        <v>January</v>
      </c>
      <c r="Y599" t="str">
        <f t="shared" si="28"/>
        <v>Q1</v>
      </c>
      <c r="Z599" s="7">
        <f t="shared" si="29"/>
        <v>98.57</v>
      </c>
    </row>
    <row r="600" spans="1:26" x14ac:dyDescent="0.3">
      <c r="A600" s="2" t="s">
        <v>3752</v>
      </c>
      <c r="B600" s="8" t="s">
        <v>1055</v>
      </c>
      <c r="C600" s="2" t="s">
        <v>3753</v>
      </c>
      <c r="D600" s="2" t="s">
        <v>3754</v>
      </c>
      <c r="E600" s="2" t="s">
        <v>3755</v>
      </c>
      <c r="F600" s="2" t="s">
        <v>3756</v>
      </c>
      <c r="G600" s="2" t="s">
        <v>282</v>
      </c>
      <c r="H600" s="2" t="s">
        <v>88</v>
      </c>
      <c r="I600" s="2" t="s">
        <v>31</v>
      </c>
      <c r="J600" s="2" t="s">
        <v>1340</v>
      </c>
      <c r="K600" s="2" t="s">
        <v>209</v>
      </c>
      <c r="L600" s="2">
        <v>1</v>
      </c>
      <c r="M600" s="3">
        <v>119.99</v>
      </c>
      <c r="N600" s="2" t="s">
        <v>34</v>
      </c>
      <c r="O600" s="3">
        <v>0</v>
      </c>
      <c r="P600" s="3">
        <v>0</v>
      </c>
      <c r="Q600" s="3">
        <v>9.6</v>
      </c>
      <c r="R600" s="3">
        <v>129.59</v>
      </c>
      <c r="S600" s="2" t="s">
        <v>35</v>
      </c>
      <c r="T600" s="2" t="s">
        <v>99</v>
      </c>
      <c r="U600" s="2" t="s">
        <v>100</v>
      </c>
      <c r="V600" s="2"/>
      <c r="W600" s="3">
        <v>0</v>
      </c>
      <c r="X600" t="str">
        <f t="shared" si="27"/>
        <v>October</v>
      </c>
      <c r="Y600" t="str">
        <f t="shared" si="28"/>
        <v>Q4</v>
      </c>
      <c r="Z600" s="7">
        <f t="shared" si="29"/>
        <v>119.99</v>
      </c>
    </row>
    <row r="601" spans="1:26" x14ac:dyDescent="0.3">
      <c r="A601" s="4" t="s">
        <v>3757</v>
      </c>
      <c r="B601" s="9" t="s">
        <v>595</v>
      </c>
      <c r="C601" s="4" t="s">
        <v>3758</v>
      </c>
      <c r="D601" s="4" t="s">
        <v>3759</v>
      </c>
      <c r="E601" s="4" t="s">
        <v>3760</v>
      </c>
      <c r="F601" s="4" t="s">
        <v>3761</v>
      </c>
      <c r="G601" s="4" t="s">
        <v>140</v>
      </c>
      <c r="H601" s="4" t="s">
        <v>141</v>
      </c>
      <c r="I601" s="4" t="s">
        <v>31</v>
      </c>
      <c r="J601" s="4" t="s">
        <v>3762</v>
      </c>
      <c r="K601" s="4" t="s">
        <v>33</v>
      </c>
      <c r="L601" s="4">
        <v>2</v>
      </c>
      <c r="M601" s="5">
        <v>68.98</v>
      </c>
      <c r="N601" s="4" t="s">
        <v>163</v>
      </c>
      <c r="O601" s="5">
        <v>13.8</v>
      </c>
      <c r="P601" s="5">
        <v>9.99</v>
      </c>
      <c r="Q601" s="5">
        <v>4.6900000000000004</v>
      </c>
      <c r="R601" s="5">
        <v>69.86</v>
      </c>
      <c r="S601" s="4" t="s">
        <v>123</v>
      </c>
      <c r="T601" s="4" t="s">
        <v>65</v>
      </c>
      <c r="U601" s="4" t="s">
        <v>66</v>
      </c>
      <c r="V601" s="4" t="s">
        <v>82</v>
      </c>
      <c r="W601" s="5">
        <v>0</v>
      </c>
      <c r="X601" t="str">
        <f t="shared" si="27"/>
        <v>May</v>
      </c>
      <c r="Y601" t="str">
        <f t="shared" si="28"/>
        <v>Q2</v>
      </c>
      <c r="Z601" s="7">
        <f t="shared" si="29"/>
        <v>55.180000000000007</v>
      </c>
    </row>
    <row r="602" spans="1:26" x14ac:dyDescent="0.3">
      <c r="A602" s="2" t="s">
        <v>3763</v>
      </c>
      <c r="B602" s="8" t="s">
        <v>202</v>
      </c>
      <c r="C602" s="2" t="s">
        <v>3764</v>
      </c>
      <c r="D602" s="2" t="s">
        <v>3765</v>
      </c>
      <c r="E602" s="2" t="s">
        <v>3766</v>
      </c>
      <c r="F602" s="2" t="s">
        <v>3767</v>
      </c>
      <c r="G602" s="2" t="s">
        <v>242</v>
      </c>
      <c r="H602" s="2" t="s">
        <v>243</v>
      </c>
      <c r="I602" s="2" t="s">
        <v>31</v>
      </c>
      <c r="J602" s="2" t="s">
        <v>3768</v>
      </c>
      <c r="K602" s="2" t="s">
        <v>110</v>
      </c>
      <c r="L602" s="2">
        <v>2</v>
      </c>
      <c r="M602" s="3">
        <v>99.97</v>
      </c>
      <c r="N602" s="2" t="s">
        <v>49</v>
      </c>
      <c r="O602" s="3">
        <v>15</v>
      </c>
      <c r="P602" s="3">
        <v>0</v>
      </c>
      <c r="Q602" s="3">
        <v>5.95</v>
      </c>
      <c r="R602" s="3">
        <v>90.92</v>
      </c>
      <c r="S602" s="2" t="s">
        <v>123</v>
      </c>
      <c r="T602" s="2" t="s">
        <v>99</v>
      </c>
      <c r="U602" s="2" t="s">
        <v>37</v>
      </c>
      <c r="V602" s="2" t="s">
        <v>656</v>
      </c>
      <c r="W602" s="3">
        <v>90.92</v>
      </c>
      <c r="X602" t="str">
        <f t="shared" si="27"/>
        <v>August</v>
      </c>
      <c r="Y602" t="str">
        <f t="shared" si="28"/>
        <v>Q3</v>
      </c>
      <c r="Z602" s="7">
        <f t="shared" si="29"/>
        <v>84.97</v>
      </c>
    </row>
    <row r="603" spans="1:26" x14ac:dyDescent="0.3">
      <c r="A603" s="4" t="s">
        <v>3769</v>
      </c>
      <c r="B603" s="9" t="s">
        <v>858</v>
      </c>
      <c r="C603" s="4" t="s">
        <v>3770</v>
      </c>
      <c r="D603" s="4" t="s">
        <v>3771</v>
      </c>
      <c r="E603" s="4" t="s">
        <v>3772</v>
      </c>
      <c r="F603" s="4" t="s">
        <v>3773</v>
      </c>
      <c r="G603" s="4" t="s">
        <v>131</v>
      </c>
      <c r="H603" s="4" t="s">
        <v>88</v>
      </c>
      <c r="I603" s="4" t="s">
        <v>31</v>
      </c>
      <c r="J603" s="4" t="s">
        <v>3774</v>
      </c>
      <c r="K603" s="4" t="s">
        <v>33</v>
      </c>
      <c r="L603" s="4">
        <v>2</v>
      </c>
      <c r="M603" s="5">
        <v>62.97</v>
      </c>
      <c r="N603" s="4" t="s">
        <v>152</v>
      </c>
      <c r="O603" s="5">
        <v>3.15</v>
      </c>
      <c r="P603" s="5">
        <v>4.99</v>
      </c>
      <c r="Q603" s="5">
        <v>5.98</v>
      </c>
      <c r="R603" s="5">
        <v>70.790000000000006</v>
      </c>
      <c r="S603" s="4" t="s">
        <v>35</v>
      </c>
      <c r="T603" s="4" t="s">
        <v>99</v>
      </c>
      <c r="U603" s="4" t="s">
        <v>100</v>
      </c>
      <c r="V603" s="4"/>
      <c r="W603" s="5">
        <v>0</v>
      </c>
      <c r="X603" t="str">
        <f t="shared" si="27"/>
        <v>April</v>
      </c>
      <c r="Y603" t="str">
        <f t="shared" si="28"/>
        <v>Q2</v>
      </c>
      <c r="Z603" s="7">
        <f t="shared" si="29"/>
        <v>59.82</v>
      </c>
    </row>
    <row r="604" spans="1:26" x14ac:dyDescent="0.3">
      <c r="A604" s="2" t="s">
        <v>3775</v>
      </c>
      <c r="B604" s="8" t="s">
        <v>277</v>
      </c>
      <c r="C604" s="2" t="s">
        <v>3776</v>
      </c>
      <c r="D604" s="2" t="s">
        <v>3777</v>
      </c>
      <c r="E604" s="2" t="s">
        <v>3778</v>
      </c>
      <c r="F604" s="2" t="s">
        <v>3779</v>
      </c>
      <c r="G604" s="2" t="s">
        <v>29</v>
      </c>
      <c r="H604" s="2" t="s">
        <v>30</v>
      </c>
      <c r="I604" s="2" t="s">
        <v>31</v>
      </c>
      <c r="J604" s="2" t="s">
        <v>379</v>
      </c>
      <c r="K604" s="2" t="s">
        <v>209</v>
      </c>
      <c r="L604" s="2">
        <v>1</v>
      </c>
      <c r="M604" s="3">
        <v>89.99</v>
      </c>
      <c r="N604" s="2" t="s">
        <v>34</v>
      </c>
      <c r="O604" s="3">
        <v>0</v>
      </c>
      <c r="P604" s="3">
        <v>0</v>
      </c>
      <c r="Q604" s="3">
        <v>8.1</v>
      </c>
      <c r="R604" s="3">
        <v>98.09</v>
      </c>
      <c r="S604" s="2" t="s">
        <v>35</v>
      </c>
      <c r="T604" s="2" t="s">
        <v>99</v>
      </c>
      <c r="U604" s="2" t="s">
        <v>100</v>
      </c>
      <c r="V604" s="2"/>
      <c r="W604" s="3">
        <v>0</v>
      </c>
      <c r="X604" t="str">
        <f t="shared" si="27"/>
        <v>March</v>
      </c>
      <c r="Y604" t="str">
        <f t="shared" si="28"/>
        <v>Q1</v>
      </c>
      <c r="Z604" s="7">
        <f t="shared" si="29"/>
        <v>89.99</v>
      </c>
    </row>
    <row r="605" spans="1:26" x14ac:dyDescent="0.3">
      <c r="A605" s="4" t="s">
        <v>3780</v>
      </c>
      <c r="B605" s="9" t="s">
        <v>2565</v>
      </c>
      <c r="C605" s="4" t="s">
        <v>3781</v>
      </c>
      <c r="D605" s="4" t="s">
        <v>3782</v>
      </c>
      <c r="E605" s="4" t="s">
        <v>3783</v>
      </c>
      <c r="F605" s="4" t="s">
        <v>3784</v>
      </c>
      <c r="G605" s="4" t="s">
        <v>1730</v>
      </c>
      <c r="H605" s="4" t="s">
        <v>161</v>
      </c>
      <c r="I605" s="4" t="s">
        <v>31</v>
      </c>
      <c r="J605" s="4" t="s">
        <v>3785</v>
      </c>
      <c r="K605" s="4" t="s">
        <v>48</v>
      </c>
      <c r="L605" s="4">
        <v>5</v>
      </c>
      <c r="M605" s="5">
        <v>464.93</v>
      </c>
      <c r="N605" s="4" t="s">
        <v>34</v>
      </c>
      <c r="O605" s="5">
        <v>0</v>
      </c>
      <c r="P605" s="5">
        <v>0</v>
      </c>
      <c r="Q605" s="5">
        <v>32.549999999999997</v>
      </c>
      <c r="R605" s="5">
        <v>497.48</v>
      </c>
      <c r="S605" s="4" t="s">
        <v>35</v>
      </c>
      <c r="T605" s="4" t="s">
        <v>144</v>
      </c>
      <c r="U605" s="4" t="s">
        <v>66</v>
      </c>
      <c r="V605" s="4" t="s">
        <v>326</v>
      </c>
      <c r="W605" s="5">
        <v>0</v>
      </c>
      <c r="X605" t="str">
        <f t="shared" si="27"/>
        <v>July</v>
      </c>
      <c r="Y605" t="str">
        <f t="shared" si="28"/>
        <v>Q3</v>
      </c>
      <c r="Z605" s="7">
        <f t="shared" si="29"/>
        <v>464.93</v>
      </c>
    </row>
    <row r="606" spans="1:26" x14ac:dyDescent="0.3">
      <c r="A606" s="2" t="s">
        <v>3786</v>
      </c>
      <c r="B606" s="8" t="s">
        <v>1341</v>
      </c>
      <c r="C606" s="2" t="s">
        <v>3787</v>
      </c>
      <c r="D606" s="2" t="s">
        <v>3363</v>
      </c>
      <c r="E606" s="2" t="s">
        <v>3788</v>
      </c>
      <c r="F606" s="2" t="s">
        <v>3789</v>
      </c>
      <c r="G606" s="2" t="s">
        <v>323</v>
      </c>
      <c r="H606" s="2" t="s">
        <v>324</v>
      </c>
      <c r="I606" s="2" t="s">
        <v>31</v>
      </c>
      <c r="J606" s="2" t="s">
        <v>3790</v>
      </c>
      <c r="K606" s="2" t="s">
        <v>143</v>
      </c>
      <c r="L606" s="2">
        <v>4</v>
      </c>
      <c r="M606" s="3">
        <v>317.95999999999998</v>
      </c>
      <c r="N606" s="2" t="s">
        <v>49</v>
      </c>
      <c r="O606" s="3">
        <v>47.69</v>
      </c>
      <c r="P606" s="3">
        <v>0</v>
      </c>
      <c r="Q606" s="3">
        <v>18.920000000000002</v>
      </c>
      <c r="R606" s="3">
        <v>289.19</v>
      </c>
      <c r="S606" s="2" t="s">
        <v>35</v>
      </c>
      <c r="T606" s="2" t="s">
        <v>173</v>
      </c>
      <c r="U606" s="2" t="s">
        <v>317</v>
      </c>
      <c r="V606" s="2"/>
      <c r="W606" s="3">
        <v>0</v>
      </c>
      <c r="X606" t="str">
        <f t="shared" si="27"/>
        <v>February</v>
      </c>
      <c r="Y606" t="str">
        <f t="shared" si="28"/>
        <v>Q1</v>
      </c>
      <c r="Z606" s="7">
        <f t="shared" si="29"/>
        <v>270.27</v>
      </c>
    </row>
    <row r="607" spans="1:26" x14ac:dyDescent="0.3">
      <c r="A607" s="4" t="s">
        <v>3791</v>
      </c>
      <c r="B607" s="9" t="s">
        <v>24</v>
      </c>
      <c r="C607" s="4" t="s">
        <v>3792</v>
      </c>
      <c r="D607" s="4" t="s">
        <v>3793</v>
      </c>
      <c r="E607" s="4" t="s">
        <v>3794</v>
      </c>
      <c r="F607" s="4" t="s">
        <v>3795</v>
      </c>
      <c r="G607" s="4" t="s">
        <v>45</v>
      </c>
      <c r="H607" s="4" t="s">
        <v>46</v>
      </c>
      <c r="I607" s="4" t="s">
        <v>31</v>
      </c>
      <c r="J607" s="4" t="s">
        <v>3796</v>
      </c>
      <c r="K607" s="4" t="s">
        <v>33</v>
      </c>
      <c r="L607" s="4">
        <v>2</v>
      </c>
      <c r="M607" s="5">
        <v>80.959999999999994</v>
      </c>
      <c r="N607" s="4" t="s">
        <v>78</v>
      </c>
      <c r="O607" s="5">
        <v>8.1</v>
      </c>
      <c r="P607" s="5">
        <v>0</v>
      </c>
      <c r="Q607" s="5">
        <v>6.56</v>
      </c>
      <c r="R607" s="5">
        <v>79.42</v>
      </c>
      <c r="S607" s="4" t="s">
        <v>111</v>
      </c>
      <c r="T607" s="4" t="s">
        <v>173</v>
      </c>
      <c r="U607" s="4" t="s">
        <v>51</v>
      </c>
      <c r="V607" s="4" t="s">
        <v>789</v>
      </c>
      <c r="W607" s="5">
        <v>0</v>
      </c>
      <c r="X607" t="str">
        <f t="shared" si="27"/>
        <v>February</v>
      </c>
      <c r="Y607" t="str">
        <f t="shared" si="28"/>
        <v>Q1</v>
      </c>
      <c r="Z607" s="7">
        <f t="shared" si="29"/>
        <v>72.86</v>
      </c>
    </row>
    <row r="608" spans="1:26" x14ac:dyDescent="0.3">
      <c r="A608" s="2" t="s">
        <v>3797</v>
      </c>
      <c r="B608" s="8" t="s">
        <v>3233</v>
      </c>
      <c r="C608" s="2" t="s">
        <v>3798</v>
      </c>
      <c r="D608" s="2" t="s">
        <v>3799</v>
      </c>
      <c r="E608" s="2" t="s">
        <v>3800</v>
      </c>
      <c r="F608" s="2" t="s">
        <v>3801</v>
      </c>
      <c r="G608" s="2" t="s">
        <v>394</v>
      </c>
      <c r="H608" s="2" t="s">
        <v>395</v>
      </c>
      <c r="I608" s="2" t="s">
        <v>31</v>
      </c>
      <c r="J608" s="2" t="s">
        <v>3802</v>
      </c>
      <c r="K608" s="2" t="s">
        <v>209</v>
      </c>
      <c r="L608" s="2">
        <v>3</v>
      </c>
      <c r="M608" s="3">
        <v>392.96</v>
      </c>
      <c r="N608" s="2" t="s">
        <v>163</v>
      </c>
      <c r="O608" s="3">
        <v>78.59</v>
      </c>
      <c r="P608" s="3">
        <v>0</v>
      </c>
      <c r="Q608" s="3">
        <v>26.72</v>
      </c>
      <c r="R608" s="3">
        <v>341.09</v>
      </c>
      <c r="S608" s="2" t="s">
        <v>437</v>
      </c>
      <c r="T608" s="2" t="s">
        <v>36</v>
      </c>
      <c r="U608" s="2" t="s">
        <v>66</v>
      </c>
      <c r="V608" s="2" t="s">
        <v>124</v>
      </c>
      <c r="W608" s="3">
        <v>0</v>
      </c>
      <c r="X608" t="str">
        <f t="shared" si="27"/>
        <v>October</v>
      </c>
      <c r="Y608" t="str">
        <f t="shared" si="28"/>
        <v>Q4</v>
      </c>
      <c r="Z608" s="7">
        <f t="shared" si="29"/>
        <v>314.37</v>
      </c>
    </row>
    <row r="609" spans="1:26" x14ac:dyDescent="0.3">
      <c r="A609" s="4" t="s">
        <v>3803</v>
      </c>
      <c r="B609" s="9" t="s">
        <v>2270</v>
      </c>
      <c r="C609" s="4" t="s">
        <v>3804</v>
      </c>
      <c r="D609" s="4" t="s">
        <v>3411</v>
      </c>
      <c r="E609" s="4" t="s">
        <v>3805</v>
      </c>
      <c r="F609" s="4" t="s">
        <v>3806</v>
      </c>
      <c r="G609" s="4" t="s">
        <v>692</v>
      </c>
      <c r="H609" s="4" t="s">
        <v>693</v>
      </c>
      <c r="I609" s="4" t="s">
        <v>31</v>
      </c>
      <c r="J609" s="4" t="s">
        <v>3807</v>
      </c>
      <c r="K609" s="4" t="s">
        <v>364</v>
      </c>
      <c r="L609" s="4">
        <v>2</v>
      </c>
      <c r="M609" s="5">
        <v>104.97</v>
      </c>
      <c r="N609" s="4" t="s">
        <v>34</v>
      </c>
      <c r="O609" s="5">
        <v>0</v>
      </c>
      <c r="P609" s="5">
        <v>0</v>
      </c>
      <c r="Q609" s="5">
        <v>7.35</v>
      </c>
      <c r="R609" s="5">
        <v>112.32</v>
      </c>
      <c r="S609" s="4" t="s">
        <v>35</v>
      </c>
      <c r="T609" s="4" t="s">
        <v>99</v>
      </c>
      <c r="U609" s="4" t="s">
        <v>100</v>
      </c>
      <c r="V609" s="4"/>
      <c r="W609" s="5">
        <v>0</v>
      </c>
      <c r="X609" t="str">
        <f t="shared" si="27"/>
        <v>August</v>
      </c>
      <c r="Y609" t="str">
        <f t="shared" si="28"/>
        <v>Q3</v>
      </c>
      <c r="Z609" s="7">
        <f t="shared" si="29"/>
        <v>104.97</v>
      </c>
    </row>
    <row r="610" spans="1:26" x14ac:dyDescent="0.3">
      <c r="A610" s="2" t="s">
        <v>3808</v>
      </c>
      <c r="B610" s="8" t="s">
        <v>311</v>
      </c>
      <c r="C610" s="2" t="s">
        <v>3809</v>
      </c>
      <c r="D610" s="2" t="s">
        <v>3810</v>
      </c>
      <c r="E610" s="2" t="s">
        <v>3811</v>
      </c>
      <c r="F610" s="2" t="s">
        <v>3812</v>
      </c>
      <c r="G610" s="2" t="s">
        <v>291</v>
      </c>
      <c r="H610" s="2" t="s">
        <v>292</v>
      </c>
      <c r="I610" s="2" t="s">
        <v>31</v>
      </c>
      <c r="J610" s="2" t="s">
        <v>3813</v>
      </c>
      <c r="K610" s="2" t="s">
        <v>209</v>
      </c>
      <c r="L610" s="2">
        <v>4</v>
      </c>
      <c r="M610" s="3">
        <v>245.95</v>
      </c>
      <c r="N610" s="2" t="s">
        <v>34</v>
      </c>
      <c r="O610" s="3">
        <v>0</v>
      </c>
      <c r="P610" s="3">
        <v>0</v>
      </c>
      <c r="Q610" s="3">
        <v>17.22</v>
      </c>
      <c r="R610" s="3">
        <v>263.17</v>
      </c>
      <c r="S610" s="2" t="s">
        <v>35</v>
      </c>
      <c r="T610" s="2" t="s">
        <v>144</v>
      </c>
      <c r="U610" s="2" t="s">
        <v>317</v>
      </c>
      <c r="V610" s="2"/>
      <c r="W610" s="3">
        <v>0</v>
      </c>
      <c r="X610" t="str">
        <f t="shared" si="27"/>
        <v>June</v>
      </c>
      <c r="Y610" t="str">
        <f t="shared" si="28"/>
        <v>Q2</v>
      </c>
      <c r="Z610" s="7">
        <f t="shared" si="29"/>
        <v>245.95</v>
      </c>
    </row>
    <row r="611" spans="1:26" x14ac:dyDescent="0.3">
      <c r="A611" s="4" t="s">
        <v>3814</v>
      </c>
      <c r="B611" s="9" t="s">
        <v>245</v>
      </c>
      <c r="C611" s="4" t="s">
        <v>3815</v>
      </c>
      <c r="D611" s="4" t="s">
        <v>3816</v>
      </c>
      <c r="E611" s="4" t="s">
        <v>3817</v>
      </c>
      <c r="F611" s="4" t="s">
        <v>3818</v>
      </c>
      <c r="G611" s="4" t="s">
        <v>323</v>
      </c>
      <c r="H611" s="4" t="s">
        <v>324</v>
      </c>
      <c r="I611" s="4" t="s">
        <v>31</v>
      </c>
      <c r="J611" s="4" t="s">
        <v>444</v>
      </c>
      <c r="K611" s="4" t="s">
        <v>48</v>
      </c>
      <c r="L611" s="4">
        <v>1</v>
      </c>
      <c r="M611" s="5">
        <v>64.989999999999995</v>
      </c>
      <c r="N611" s="4" t="s">
        <v>34</v>
      </c>
      <c r="O611" s="5">
        <v>0</v>
      </c>
      <c r="P611" s="5">
        <v>4.99</v>
      </c>
      <c r="Q611" s="5">
        <v>5.85</v>
      </c>
      <c r="R611" s="5">
        <v>75.83</v>
      </c>
      <c r="S611" s="4" t="s">
        <v>35</v>
      </c>
      <c r="T611" s="4" t="s">
        <v>50</v>
      </c>
      <c r="U611" s="4" t="s">
        <v>66</v>
      </c>
      <c r="V611" s="4" t="s">
        <v>924</v>
      </c>
      <c r="W611" s="5">
        <v>0</v>
      </c>
      <c r="X611" t="str">
        <f t="shared" si="27"/>
        <v>October</v>
      </c>
      <c r="Y611" t="str">
        <f t="shared" si="28"/>
        <v>Q4</v>
      </c>
      <c r="Z611" s="7">
        <f t="shared" si="29"/>
        <v>64.989999999999995</v>
      </c>
    </row>
    <row r="612" spans="1:26" x14ac:dyDescent="0.3">
      <c r="A612" s="2" t="s">
        <v>3819</v>
      </c>
      <c r="B612" s="8" t="s">
        <v>716</v>
      </c>
      <c r="C612" s="2" t="s">
        <v>3820</v>
      </c>
      <c r="D612" s="2" t="s">
        <v>3583</v>
      </c>
      <c r="E612" s="2" t="s">
        <v>3821</v>
      </c>
      <c r="F612" s="2" t="s">
        <v>3822</v>
      </c>
      <c r="G612" s="2" t="s">
        <v>347</v>
      </c>
      <c r="H612" s="2" t="s">
        <v>60</v>
      </c>
      <c r="I612" s="2" t="s">
        <v>31</v>
      </c>
      <c r="J612" s="2" t="s">
        <v>3823</v>
      </c>
      <c r="K612" s="2" t="s">
        <v>33</v>
      </c>
      <c r="L612" s="2">
        <v>1</v>
      </c>
      <c r="M612" s="3">
        <v>107.97</v>
      </c>
      <c r="N612" s="2" t="s">
        <v>63</v>
      </c>
      <c r="O612" s="3">
        <v>26.99</v>
      </c>
      <c r="P612" s="3">
        <v>0</v>
      </c>
      <c r="Q612" s="3">
        <v>6.88</v>
      </c>
      <c r="R612" s="3">
        <v>87.86</v>
      </c>
      <c r="S612" s="2" t="s">
        <v>35</v>
      </c>
      <c r="T612" s="2" t="s">
        <v>99</v>
      </c>
      <c r="U612" s="2" t="s">
        <v>100</v>
      </c>
      <c r="V612" s="2"/>
      <c r="W612" s="3">
        <v>0</v>
      </c>
      <c r="X612" t="str">
        <f t="shared" si="27"/>
        <v>May</v>
      </c>
      <c r="Y612" t="str">
        <f t="shared" si="28"/>
        <v>Q2</v>
      </c>
      <c r="Z612" s="7">
        <f t="shared" si="29"/>
        <v>80.98</v>
      </c>
    </row>
    <row r="613" spans="1:26" x14ac:dyDescent="0.3">
      <c r="A613" s="4" t="s">
        <v>3824</v>
      </c>
      <c r="B613" s="9" t="s">
        <v>210</v>
      </c>
      <c r="C613" s="4" t="s">
        <v>3825</v>
      </c>
      <c r="D613" s="4" t="s">
        <v>3826</v>
      </c>
      <c r="E613" s="4" t="s">
        <v>3827</v>
      </c>
      <c r="F613" s="4" t="s">
        <v>3828</v>
      </c>
      <c r="G613" s="4" t="s">
        <v>74</v>
      </c>
      <c r="H613" s="4" t="s">
        <v>75</v>
      </c>
      <c r="I613" s="4" t="s">
        <v>31</v>
      </c>
      <c r="J613" s="4" t="s">
        <v>495</v>
      </c>
      <c r="K613" s="4" t="s">
        <v>209</v>
      </c>
      <c r="L613" s="4">
        <v>1</v>
      </c>
      <c r="M613" s="5">
        <v>29.99</v>
      </c>
      <c r="N613" s="4" t="s">
        <v>34</v>
      </c>
      <c r="O613" s="5">
        <v>0</v>
      </c>
      <c r="P613" s="5">
        <v>7.99</v>
      </c>
      <c r="Q613" s="5">
        <v>1.8</v>
      </c>
      <c r="R613" s="5">
        <v>39.78</v>
      </c>
      <c r="S613" s="4" t="s">
        <v>35</v>
      </c>
      <c r="T613" s="4" t="s">
        <v>99</v>
      </c>
      <c r="U613" s="4" t="s">
        <v>37</v>
      </c>
      <c r="V613" s="4" t="s">
        <v>656</v>
      </c>
      <c r="W613" s="5">
        <v>39.78</v>
      </c>
      <c r="X613" t="str">
        <f t="shared" si="27"/>
        <v>August</v>
      </c>
      <c r="Y613" t="str">
        <f t="shared" si="28"/>
        <v>Q3</v>
      </c>
      <c r="Z613" s="7">
        <f t="shared" si="29"/>
        <v>29.99</v>
      </c>
    </row>
    <row r="614" spans="1:26" x14ac:dyDescent="0.3">
      <c r="A614" s="2" t="s">
        <v>3829</v>
      </c>
      <c r="B614" s="8" t="s">
        <v>52</v>
      </c>
      <c r="C614" s="2" t="s">
        <v>3830</v>
      </c>
      <c r="D614" s="2" t="s">
        <v>3144</v>
      </c>
      <c r="E614" s="2" t="s">
        <v>3831</v>
      </c>
      <c r="F614" s="2" t="s">
        <v>3832</v>
      </c>
      <c r="G614" s="2" t="s">
        <v>692</v>
      </c>
      <c r="H614" s="2" t="s">
        <v>693</v>
      </c>
      <c r="I614" s="2" t="s">
        <v>31</v>
      </c>
      <c r="J614" s="2" t="s">
        <v>1232</v>
      </c>
      <c r="K614" s="2" t="s">
        <v>77</v>
      </c>
      <c r="L614" s="2">
        <v>1</v>
      </c>
      <c r="M614" s="3">
        <v>34.99</v>
      </c>
      <c r="N614" s="2" t="s">
        <v>152</v>
      </c>
      <c r="O614" s="3">
        <v>1.75</v>
      </c>
      <c r="P614" s="3">
        <v>5.99</v>
      </c>
      <c r="Q614" s="3">
        <v>2.99</v>
      </c>
      <c r="R614" s="3">
        <v>42.22</v>
      </c>
      <c r="S614" s="2" t="s">
        <v>79</v>
      </c>
      <c r="T614" s="2" t="s">
        <v>173</v>
      </c>
      <c r="U614" s="2" t="s">
        <v>317</v>
      </c>
      <c r="V614" s="2"/>
      <c r="W614" s="3">
        <v>0</v>
      </c>
      <c r="X614" t="str">
        <f t="shared" si="27"/>
        <v>December</v>
      </c>
      <c r="Y614" t="str">
        <f t="shared" si="28"/>
        <v>Q4</v>
      </c>
      <c r="Z614" s="7">
        <f t="shared" si="29"/>
        <v>33.24</v>
      </c>
    </row>
    <row r="615" spans="1:26" x14ac:dyDescent="0.3">
      <c r="A615" s="4" t="s">
        <v>3833</v>
      </c>
      <c r="B615" s="9" t="s">
        <v>311</v>
      </c>
      <c r="C615" s="4" t="s">
        <v>3834</v>
      </c>
      <c r="D615" s="4" t="s">
        <v>2242</v>
      </c>
      <c r="E615" s="4" t="s">
        <v>3835</v>
      </c>
      <c r="F615" s="4" t="s">
        <v>3836</v>
      </c>
      <c r="G615" s="4" t="s">
        <v>323</v>
      </c>
      <c r="H615" s="4" t="s">
        <v>324</v>
      </c>
      <c r="I615" s="4" t="s">
        <v>31</v>
      </c>
      <c r="J615" s="4" t="s">
        <v>3837</v>
      </c>
      <c r="K615" s="4" t="s">
        <v>77</v>
      </c>
      <c r="L615" s="4">
        <v>1</v>
      </c>
      <c r="M615" s="5">
        <v>49.98</v>
      </c>
      <c r="N615" s="4" t="s">
        <v>34</v>
      </c>
      <c r="O615" s="5">
        <v>0</v>
      </c>
      <c r="P615" s="5">
        <v>5.99</v>
      </c>
      <c r="Q615" s="5">
        <v>3.5</v>
      </c>
      <c r="R615" s="5">
        <v>59.47</v>
      </c>
      <c r="S615" s="4" t="s">
        <v>123</v>
      </c>
      <c r="T615" s="4" t="s">
        <v>144</v>
      </c>
      <c r="U615" s="4" t="s">
        <v>66</v>
      </c>
      <c r="V615" s="4" t="s">
        <v>3438</v>
      </c>
      <c r="W615" s="5">
        <v>0</v>
      </c>
      <c r="X615" t="str">
        <f t="shared" si="27"/>
        <v>June</v>
      </c>
      <c r="Y615" t="str">
        <f t="shared" si="28"/>
        <v>Q2</v>
      </c>
      <c r="Z615" s="7">
        <f t="shared" si="29"/>
        <v>49.98</v>
      </c>
    </row>
    <row r="616" spans="1:26" x14ac:dyDescent="0.3">
      <c r="A616" s="2" t="s">
        <v>3838</v>
      </c>
      <c r="B616" s="8" t="s">
        <v>1742</v>
      </c>
      <c r="C616" s="2" t="s">
        <v>3839</v>
      </c>
      <c r="D616" s="2" t="s">
        <v>3840</v>
      </c>
      <c r="E616" s="2" t="s">
        <v>3841</v>
      </c>
      <c r="F616" s="2" t="s">
        <v>3842</v>
      </c>
      <c r="G616" s="2" t="s">
        <v>119</v>
      </c>
      <c r="H616" s="2" t="s">
        <v>120</v>
      </c>
      <c r="I616" s="2" t="s">
        <v>31</v>
      </c>
      <c r="J616" s="2" t="s">
        <v>3843</v>
      </c>
      <c r="K616" s="2" t="s">
        <v>209</v>
      </c>
      <c r="L616" s="2">
        <v>2</v>
      </c>
      <c r="M616" s="3">
        <v>349.97</v>
      </c>
      <c r="N616" s="2" t="s">
        <v>163</v>
      </c>
      <c r="O616" s="3">
        <v>69.989999999999995</v>
      </c>
      <c r="P616" s="3">
        <v>0</v>
      </c>
      <c r="Q616" s="3">
        <v>25.2</v>
      </c>
      <c r="R616" s="3">
        <v>305.18</v>
      </c>
      <c r="S616" s="2" t="s">
        <v>35</v>
      </c>
      <c r="T616" s="2" t="s">
        <v>99</v>
      </c>
      <c r="U616" s="2" t="s">
        <v>100</v>
      </c>
      <c r="V616" s="2"/>
      <c r="W616" s="3">
        <v>0</v>
      </c>
      <c r="X616" t="str">
        <f t="shared" si="27"/>
        <v>December</v>
      </c>
      <c r="Y616" t="str">
        <f t="shared" si="28"/>
        <v>Q4</v>
      </c>
      <c r="Z616" s="7">
        <f t="shared" si="29"/>
        <v>279.98</v>
      </c>
    </row>
    <row r="617" spans="1:26" x14ac:dyDescent="0.3">
      <c r="A617" s="4" t="s">
        <v>3844</v>
      </c>
      <c r="B617" s="9" t="s">
        <v>2210</v>
      </c>
      <c r="C617" s="4" t="s">
        <v>3845</v>
      </c>
      <c r="D617" s="4" t="s">
        <v>3846</v>
      </c>
      <c r="E617" s="4" t="s">
        <v>3847</v>
      </c>
      <c r="F617" s="4" t="s">
        <v>3848</v>
      </c>
      <c r="G617" s="4" t="s">
        <v>251</v>
      </c>
      <c r="H617" s="4" t="s">
        <v>252</v>
      </c>
      <c r="I617" s="4" t="s">
        <v>31</v>
      </c>
      <c r="J617" s="4" t="s">
        <v>3849</v>
      </c>
      <c r="K617" s="4" t="s">
        <v>209</v>
      </c>
      <c r="L617" s="4">
        <v>2</v>
      </c>
      <c r="M617" s="5">
        <v>144.97999999999999</v>
      </c>
      <c r="N617" s="4" t="s">
        <v>49</v>
      </c>
      <c r="O617" s="5">
        <v>21.75</v>
      </c>
      <c r="P617" s="5">
        <v>0</v>
      </c>
      <c r="Q617" s="5">
        <v>12.32</v>
      </c>
      <c r="R617" s="5">
        <v>135.55000000000001</v>
      </c>
      <c r="S617" s="4" t="s">
        <v>35</v>
      </c>
      <c r="T617" s="4" t="s">
        <v>144</v>
      </c>
      <c r="U617" s="4" t="s">
        <v>37</v>
      </c>
      <c r="V617" s="4" t="s">
        <v>1529</v>
      </c>
      <c r="W617" s="5">
        <v>135.55000000000001</v>
      </c>
      <c r="X617" t="str">
        <f t="shared" si="27"/>
        <v>September</v>
      </c>
      <c r="Y617" t="str">
        <f t="shared" si="28"/>
        <v>Q3</v>
      </c>
      <c r="Z617" s="7">
        <f t="shared" si="29"/>
        <v>123.22999999999999</v>
      </c>
    </row>
    <row r="618" spans="1:26" x14ac:dyDescent="0.3">
      <c r="A618" s="2" t="s">
        <v>3850</v>
      </c>
      <c r="B618" s="8" t="s">
        <v>3851</v>
      </c>
      <c r="C618" s="2" t="s">
        <v>3852</v>
      </c>
      <c r="D618" s="2" t="s">
        <v>3853</v>
      </c>
      <c r="E618" s="2" t="s">
        <v>3854</v>
      </c>
      <c r="F618" s="2" t="s">
        <v>3855</v>
      </c>
      <c r="G618" s="2" t="s">
        <v>394</v>
      </c>
      <c r="H618" s="2" t="s">
        <v>395</v>
      </c>
      <c r="I618" s="2" t="s">
        <v>31</v>
      </c>
      <c r="J618" s="2" t="s">
        <v>503</v>
      </c>
      <c r="K618" s="2" t="s">
        <v>122</v>
      </c>
      <c r="L618" s="2">
        <v>1</v>
      </c>
      <c r="M618" s="3">
        <v>59.99</v>
      </c>
      <c r="N618" s="2" t="s">
        <v>34</v>
      </c>
      <c r="O618" s="3">
        <v>0</v>
      </c>
      <c r="P618" s="3">
        <v>5.99</v>
      </c>
      <c r="Q618" s="3">
        <v>5.0999999999999996</v>
      </c>
      <c r="R618" s="3">
        <v>71.08</v>
      </c>
      <c r="S618" s="2" t="s">
        <v>332</v>
      </c>
      <c r="T618" s="2" t="s">
        <v>65</v>
      </c>
      <c r="U618" s="2" t="s">
        <v>37</v>
      </c>
      <c r="V618" s="2" t="s">
        <v>133</v>
      </c>
      <c r="W618" s="3">
        <v>71.08</v>
      </c>
      <c r="X618" t="str">
        <f t="shared" si="27"/>
        <v>December</v>
      </c>
      <c r="Y618" t="str">
        <f t="shared" si="28"/>
        <v>Q4</v>
      </c>
      <c r="Z618" s="7">
        <f t="shared" si="29"/>
        <v>59.99</v>
      </c>
    </row>
    <row r="619" spans="1:26" x14ac:dyDescent="0.3">
      <c r="A619" s="4" t="s">
        <v>3856</v>
      </c>
      <c r="B619" s="9" t="s">
        <v>2096</v>
      </c>
      <c r="C619" s="4" t="s">
        <v>3857</v>
      </c>
      <c r="D619" s="4" t="s">
        <v>912</v>
      </c>
      <c r="E619" s="4" t="s">
        <v>3858</v>
      </c>
      <c r="F619" s="4" t="s">
        <v>3859</v>
      </c>
      <c r="G619" s="4" t="s">
        <v>180</v>
      </c>
      <c r="H619" s="4" t="s">
        <v>181</v>
      </c>
      <c r="I619" s="4" t="s">
        <v>31</v>
      </c>
      <c r="J619" s="4" t="s">
        <v>191</v>
      </c>
      <c r="K619" s="4" t="s">
        <v>77</v>
      </c>
      <c r="L619" s="4">
        <v>1</v>
      </c>
      <c r="M619" s="5">
        <v>24.99</v>
      </c>
      <c r="N619" s="4" t="s">
        <v>34</v>
      </c>
      <c r="O619" s="5">
        <v>0</v>
      </c>
      <c r="P619" s="5">
        <v>7.99</v>
      </c>
      <c r="Q619" s="5">
        <v>1.75</v>
      </c>
      <c r="R619" s="5">
        <v>34.729999999999997</v>
      </c>
      <c r="S619" s="4" t="s">
        <v>64</v>
      </c>
      <c r="T619" s="4" t="s">
        <v>173</v>
      </c>
      <c r="U619" s="4" t="s">
        <v>66</v>
      </c>
      <c r="V619" s="4" t="s">
        <v>1347</v>
      </c>
      <c r="W619" s="5">
        <v>0</v>
      </c>
      <c r="X619" t="str">
        <f t="shared" si="27"/>
        <v>March</v>
      </c>
      <c r="Y619" t="str">
        <f t="shared" si="28"/>
        <v>Q1</v>
      </c>
      <c r="Z619" s="7">
        <f t="shared" si="29"/>
        <v>24.99</v>
      </c>
    </row>
    <row r="620" spans="1:26" x14ac:dyDescent="0.3">
      <c r="A620" s="2" t="s">
        <v>3860</v>
      </c>
      <c r="B620" s="8" t="s">
        <v>1271</v>
      </c>
      <c r="C620" s="2" t="s">
        <v>3861</v>
      </c>
      <c r="D620" s="2" t="s">
        <v>3862</v>
      </c>
      <c r="E620" s="2" t="s">
        <v>3863</v>
      </c>
      <c r="F620" s="2" t="s">
        <v>3864</v>
      </c>
      <c r="G620" s="2" t="s">
        <v>692</v>
      </c>
      <c r="H620" s="2" t="s">
        <v>693</v>
      </c>
      <c r="I620" s="2" t="s">
        <v>31</v>
      </c>
      <c r="J620" s="2" t="s">
        <v>1148</v>
      </c>
      <c r="K620" s="2" t="s">
        <v>33</v>
      </c>
      <c r="L620" s="2">
        <v>1</v>
      </c>
      <c r="M620" s="3">
        <v>18.989999999999998</v>
      </c>
      <c r="N620" s="2" t="s">
        <v>78</v>
      </c>
      <c r="O620" s="3">
        <v>1.9</v>
      </c>
      <c r="P620" s="3">
        <v>7.99</v>
      </c>
      <c r="Q620" s="3">
        <v>1.71</v>
      </c>
      <c r="R620" s="3">
        <v>26.79</v>
      </c>
      <c r="S620" s="2" t="s">
        <v>35</v>
      </c>
      <c r="T620" s="2" t="s">
        <v>65</v>
      </c>
      <c r="U620" s="2" t="s">
        <v>51</v>
      </c>
      <c r="V620" s="2" t="s">
        <v>52</v>
      </c>
      <c r="W620" s="3">
        <v>0</v>
      </c>
      <c r="X620" t="str">
        <f t="shared" si="27"/>
        <v>November</v>
      </c>
      <c r="Y620" t="str">
        <f t="shared" si="28"/>
        <v>Q4</v>
      </c>
      <c r="Z620" s="7">
        <f t="shared" si="29"/>
        <v>17.09</v>
      </c>
    </row>
    <row r="621" spans="1:26" x14ac:dyDescent="0.3">
      <c r="A621" s="4" t="s">
        <v>3865</v>
      </c>
      <c r="B621" s="9" t="s">
        <v>736</v>
      </c>
      <c r="C621" s="4" t="s">
        <v>3866</v>
      </c>
      <c r="D621" s="4" t="s">
        <v>3867</v>
      </c>
      <c r="E621" s="4" t="s">
        <v>3868</v>
      </c>
      <c r="F621" s="4" t="s">
        <v>3869</v>
      </c>
      <c r="G621" s="4" t="s">
        <v>692</v>
      </c>
      <c r="H621" s="4" t="s">
        <v>693</v>
      </c>
      <c r="I621" s="4" t="s">
        <v>31</v>
      </c>
      <c r="J621" s="4" t="s">
        <v>533</v>
      </c>
      <c r="K621" s="4" t="s">
        <v>209</v>
      </c>
      <c r="L621" s="4">
        <v>1</v>
      </c>
      <c r="M621" s="5">
        <v>239.98</v>
      </c>
      <c r="N621" s="4" t="s">
        <v>63</v>
      </c>
      <c r="O621" s="5">
        <v>59.99</v>
      </c>
      <c r="P621" s="5">
        <v>0</v>
      </c>
      <c r="Q621" s="5">
        <v>12.6</v>
      </c>
      <c r="R621" s="5">
        <v>192.59</v>
      </c>
      <c r="S621" s="4" t="s">
        <v>35</v>
      </c>
      <c r="T621" s="4" t="s">
        <v>36</v>
      </c>
      <c r="U621" s="4" t="s">
        <v>66</v>
      </c>
      <c r="V621" s="4" t="s">
        <v>680</v>
      </c>
      <c r="W621" s="5">
        <v>0</v>
      </c>
      <c r="X621" t="str">
        <f t="shared" si="27"/>
        <v>January</v>
      </c>
      <c r="Y621" t="str">
        <f t="shared" si="28"/>
        <v>Q1</v>
      </c>
      <c r="Z621" s="7">
        <f t="shared" si="29"/>
        <v>179.98999999999998</v>
      </c>
    </row>
    <row r="622" spans="1:26" x14ac:dyDescent="0.3">
      <c r="A622" s="2" t="s">
        <v>3870</v>
      </c>
      <c r="B622" s="8" t="s">
        <v>1618</v>
      </c>
      <c r="C622" s="2" t="s">
        <v>3871</v>
      </c>
      <c r="D622" s="2" t="s">
        <v>689</v>
      </c>
      <c r="E622" s="2" t="s">
        <v>3872</v>
      </c>
      <c r="F622" s="2" t="s">
        <v>3873</v>
      </c>
      <c r="G622" s="2" t="s">
        <v>692</v>
      </c>
      <c r="H622" s="2" t="s">
        <v>693</v>
      </c>
      <c r="I622" s="2" t="s">
        <v>31</v>
      </c>
      <c r="J622" s="2" t="s">
        <v>444</v>
      </c>
      <c r="K622" s="2" t="s">
        <v>48</v>
      </c>
      <c r="L622" s="2">
        <v>1</v>
      </c>
      <c r="M622" s="3">
        <v>64.989999999999995</v>
      </c>
      <c r="N622" s="2" t="s">
        <v>78</v>
      </c>
      <c r="O622" s="3">
        <v>6.5</v>
      </c>
      <c r="P622" s="3">
        <v>9.99</v>
      </c>
      <c r="Q622" s="3">
        <v>4.68</v>
      </c>
      <c r="R622" s="3">
        <v>73.16</v>
      </c>
      <c r="S622" s="2" t="s">
        <v>332</v>
      </c>
      <c r="T622" s="2" t="s">
        <v>99</v>
      </c>
      <c r="U622" s="2" t="s">
        <v>66</v>
      </c>
      <c r="V622" s="2" t="s">
        <v>1623</v>
      </c>
      <c r="W622" s="3">
        <v>0</v>
      </c>
      <c r="X622" t="str">
        <f t="shared" si="27"/>
        <v>February</v>
      </c>
      <c r="Y622" t="str">
        <f t="shared" si="28"/>
        <v>Q1</v>
      </c>
      <c r="Z622" s="7">
        <f t="shared" si="29"/>
        <v>58.489999999999995</v>
      </c>
    </row>
    <row r="623" spans="1:26" x14ac:dyDescent="0.3">
      <c r="A623" s="4" t="s">
        <v>3874</v>
      </c>
      <c r="B623" s="9" t="s">
        <v>734</v>
      </c>
      <c r="C623" s="4" t="s">
        <v>3875</v>
      </c>
      <c r="D623" s="4" t="s">
        <v>974</v>
      </c>
      <c r="E623" s="4" t="s">
        <v>3876</v>
      </c>
      <c r="F623" s="4" t="s">
        <v>3877</v>
      </c>
      <c r="G623" s="4" t="s">
        <v>45</v>
      </c>
      <c r="H623" s="4" t="s">
        <v>46</v>
      </c>
      <c r="I623" s="4" t="s">
        <v>31</v>
      </c>
      <c r="J623" s="4" t="s">
        <v>577</v>
      </c>
      <c r="K623" s="4" t="s">
        <v>364</v>
      </c>
      <c r="L623" s="4">
        <v>1</v>
      </c>
      <c r="M623" s="5">
        <v>19.989999999999998</v>
      </c>
      <c r="N623" s="4" t="s">
        <v>78</v>
      </c>
      <c r="O623" s="5">
        <v>2</v>
      </c>
      <c r="P623" s="5">
        <v>4.99</v>
      </c>
      <c r="Q623" s="5">
        <v>1.62</v>
      </c>
      <c r="R623" s="5">
        <v>24.6</v>
      </c>
      <c r="S623" s="4" t="s">
        <v>332</v>
      </c>
      <c r="T623" s="4" t="s">
        <v>50</v>
      </c>
      <c r="U623" s="4" t="s">
        <v>51</v>
      </c>
      <c r="V623" s="4" t="s">
        <v>519</v>
      </c>
      <c r="W623" s="5">
        <v>0</v>
      </c>
      <c r="X623" t="str">
        <f t="shared" si="27"/>
        <v>May</v>
      </c>
      <c r="Y623" t="str">
        <f t="shared" si="28"/>
        <v>Q2</v>
      </c>
      <c r="Z623" s="7">
        <f t="shared" si="29"/>
        <v>17.989999999999998</v>
      </c>
    </row>
    <row r="624" spans="1:26" x14ac:dyDescent="0.3">
      <c r="A624" s="2" t="s">
        <v>3878</v>
      </c>
      <c r="B624" s="8" t="s">
        <v>351</v>
      </c>
      <c r="C624" s="2" t="s">
        <v>3879</v>
      </c>
      <c r="D624" s="2" t="s">
        <v>1138</v>
      </c>
      <c r="E624" s="2" t="s">
        <v>3880</v>
      </c>
      <c r="F624" s="2" t="s">
        <v>3881</v>
      </c>
      <c r="G624" s="2" t="s">
        <v>29</v>
      </c>
      <c r="H624" s="2" t="s">
        <v>30</v>
      </c>
      <c r="I624" s="2" t="s">
        <v>31</v>
      </c>
      <c r="J624" s="2" t="s">
        <v>3882</v>
      </c>
      <c r="K624" s="2" t="s">
        <v>62</v>
      </c>
      <c r="L624" s="2">
        <v>3</v>
      </c>
      <c r="M624" s="3">
        <v>95.97</v>
      </c>
      <c r="N624" s="2" t="s">
        <v>78</v>
      </c>
      <c r="O624" s="3">
        <v>9.6</v>
      </c>
      <c r="P624" s="3">
        <v>0</v>
      </c>
      <c r="Q624" s="3">
        <v>7.77</v>
      </c>
      <c r="R624" s="3">
        <v>94.14</v>
      </c>
      <c r="S624" s="2" t="s">
        <v>123</v>
      </c>
      <c r="T624" s="2" t="s">
        <v>36</v>
      </c>
      <c r="U624" s="2" t="s">
        <v>37</v>
      </c>
      <c r="V624" s="2" t="s">
        <v>1149</v>
      </c>
      <c r="W624" s="3">
        <v>94.14</v>
      </c>
      <c r="X624" t="str">
        <f t="shared" si="27"/>
        <v>June</v>
      </c>
      <c r="Y624" t="str">
        <f t="shared" si="28"/>
        <v>Q2</v>
      </c>
      <c r="Z624" s="7">
        <f t="shared" si="29"/>
        <v>86.37</v>
      </c>
    </row>
    <row r="625" spans="1:26" x14ac:dyDescent="0.3">
      <c r="A625" s="4" t="s">
        <v>3883</v>
      </c>
      <c r="B625" s="9" t="s">
        <v>1865</v>
      </c>
      <c r="C625" s="4" t="s">
        <v>3884</v>
      </c>
      <c r="D625" s="4" t="s">
        <v>3885</v>
      </c>
      <c r="E625" s="4" t="s">
        <v>3886</v>
      </c>
      <c r="F625" s="4" t="s">
        <v>3887</v>
      </c>
      <c r="G625" s="4" t="s">
        <v>207</v>
      </c>
      <c r="H625" s="4" t="s">
        <v>141</v>
      </c>
      <c r="I625" s="4" t="s">
        <v>31</v>
      </c>
      <c r="J625" s="4" t="s">
        <v>3888</v>
      </c>
      <c r="K625" s="4" t="s">
        <v>209</v>
      </c>
      <c r="L625" s="4">
        <v>4</v>
      </c>
      <c r="M625" s="5">
        <v>179.96</v>
      </c>
      <c r="N625" s="4" t="s">
        <v>78</v>
      </c>
      <c r="O625" s="5">
        <v>18</v>
      </c>
      <c r="P625" s="5">
        <v>0</v>
      </c>
      <c r="Q625" s="5">
        <v>16.2</v>
      </c>
      <c r="R625" s="5">
        <v>178.16</v>
      </c>
      <c r="S625" s="4" t="s">
        <v>35</v>
      </c>
      <c r="T625" s="4" t="s">
        <v>36</v>
      </c>
      <c r="U625" s="4" t="s">
        <v>66</v>
      </c>
      <c r="V625" s="4" t="s">
        <v>1529</v>
      </c>
      <c r="W625" s="5">
        <v>0</v>
      </c>
      <c r="X625" t="str">
        <f t="shared" si="27"/>
        <v>September</v>
      </c>
      <c r="Y625" t="str">
        <f t="shared" si="28"/>
        <v>Q3</v>
      </c>
      <c r="Z625" s="7">
        <f t="shared" si="29"/>
        <v>161.96</v>
      </c>
    </row>
    <row r="626" spans="1:26" x14ac:dyDescent="0.3">
      <c r="A626" s="2" t="s">
        <v>3889</v>
      </c>
      <c r="B626" s="8" t="s">
        <v>1163</v>
      </c>
      <c r="C626" s="2" t="s">
        <v>3890</v>
      </c>
      <c r="D626" s="2" t="s">
        <v>3891</v>
      </c>
      <c r="E626" s="2" t="s">
        <v>3892</v>
      </c>
      <c r="F626" s="2" t="s">
        <v>3893</v>
      </c>
      <c r="G626" s="2" t="s">
        <v>45</v>
      </c>
      <c r="H626" s="2" t="s">
        <v>46</v>
      </c>
      <c r="I626" s="2" t="s">
        <v>31</v>
      </c>
      <c r="J626" s="2" t="s">
        <v>3894</v>
      </c>
      <c r="K626" s="2" t="s">
        <v>77</v>
      </c>
      <c r="L626" s="2">
        <v>2</v>
      </c>
      <c r="M626" s="3">
        <v>157.97999999999999</v>
      </c>
      <c r="N626" s="2" t="s">
        <v>49</v>
      </c>
      <c r="O626" s="3">
        <v>23.7</v>
      </c>
      <c r="P626" s="3">
        <v>0</v>
      </c>
      <c r="Q626" s="3">
        <v>8.06</v>
      </c>
      <c r="R626" s="3">
        <v>142.34</v>
      </c>
      <c r="S626" s="2" t="s">
        <v>64</v>
      </c>
      <c r="T626" s="2" t="s">
        <v>99</v>
      </c>
      <c r="U626" s="2" t="s">
        <v>37</v>
      </c>
      <c r="V626" s="2" t="s">
        <v>3746</v>
      </c>
      <c r="W626" s="3">
        <v>142.34</v>
      </c>
      <c r="X626" t="str">
        <f t="shared" si="27"/>
        <v>January</v>
      </c>
      <c r="Y626" t="str">
        <f t="shared" si="28"/>
        <v>Q1</v>
      </c>
      <c r="Z626" s="7">
        <f t="shared" si="29"/>
        <v>134.28</v>
      </c>
    </row>
    <row r="627" spans="1:26" x14ac:dyDescent="0.3">
      <c r="A627" s="4" t="s">
        <v>3895</v>
      </c>
      <c r="B627" s="9" t="s">
        <v>1323</v>
      </c>
      <c r="C627" s="4" t="s">
        <v>3896</v>
      </c>
      <c r="D627" s="4" t="s">
        <v>3897</v>
      </c>
      <c r="E627" s="4" t="s">
        <v>3898</v>
      </c>
      <c r="F627" s="4" t="s">
        <v>3899</v>
      </c>
      <c r="G627" s="4" t="s">
        <v>87</v>
      </c>
      <c r="H627" s="4" t="s">
        <v>88</v>
      </c>
      <c r="I627" s="4" t="s">
        <v>31</v>
      </c>
      <c r="J627" s="4" t="s">
        <v>267</v>
      </c>
      <c r="K627" s="4" t="s">
        <v>62</v>
      </c>
      <c r="L627" s="4">
        <v>1</v>
      </c>
      <c r="M627" s="5">
        <v>54.99</v>
      </c>
      <c r="N627" s="4" t="s">
        <v>34</v>
      </c>
      <c r="O627" s="5">
        <v>0</v>
      </c>
      <c r="P627" s="5">
        <v>5.99</v>
      </c>
      <c r="Q627" s="5">
        <v>3.3</v>
      </c>
      <c r="R627" s="5">
        <v>64.28</v>
      </c>
      <c r="S627" s="4" t="s">
        <v>64</v>
      </c>
      <c r="T627" s="4" t="s">
        <v>99</v>
      </c>
      <c r="U627" s="4" t="s">
        <v>37</v>
      </c>
      <c r="V627" s="4" t="s">
        <v>945</v>
      </c>
      <c r="W627" s="5">
        <v>64.28</v>
      </c>
      <c r="X627" t="str">
        <f t="shared" si="27"/>
        <v>September</v>
      </c>
      <c r="Y627" t="str">
        <f t="shared" si="28"/>
        <v>Q3</v>
      </c>
      <c r="Z627" s="7">
        <f t="shared" si="29"/>
        <v>54.99</v>
      </c>
    </row>
    <row r="628" spans="1:26" x14ac:dyDescent="0.3">
      <c r="A628" s="2" t="s">
        <v>3900</v>
      </c>
      <c r="B628" s="8" t="s">
        <v>3746</v>
      </c>
      <c r="C628" s="2" t="s">
        <v>3901</v>
      </c>
      <c r="D628" s="2" t="s">
        <v>3902</v>
      </c>
      <c r="E628" s="2" t="s">
        <v>3903</v>
      </c>
      <c r="F628" s="2" t="s">
        <v>3904</v>
      </c>
      <c r="G628" s="2" t="s">
        <v>1730</v>
      </c>
      <c r="H628" s="2" t="s">
        <v>161</v>
      </c>
      <c r="I628" s="2" t="s">
        <v>31</v>
      </c>
      <c r="J628" s="2" t="s">
        <v>3905</v>
      </c>
      <c r="K628" s="2" t="s">
        <v>62</v>
      </c>
      <c r="L628" s="2">
        <v>2</v>
      </c>
      <c r="M628" s="3">
        <v>82.98</v>
      </c>
      <c r="N628" s="2" t="s">
        <v>34</v>
      </c>
      <c r="O628" s="3">
        <v>0</v>
      </c>
      <c r="P628" s="3">
        <v>0</v>
      </c>
      <c r="Q628" s="3">
        <v>6.64</v>
      </c>
      <c r="R628" s="3">
        <v>89.62</v>
      </c>
      <c r="S628" s="2" t="s">
        <v>35</v>
      </c>
      <c r="T628" s="2" t="s">
        <v>173</v>
      </c>
      <c r="U628" s="2" t="s">
        <v>66</v>
      </c>
      <c r="V628" s="2" t="s">
        <v>1329</v>
      </c>
      <c r="W628" s="3">
        <v>0</v>
      </c>
      <c r="X628" t="str">
        <f t="shared" si="27"/>
        <v>January</v>
      </c>
      <c r="Y628" t="str">
        <f t="shared" si="28"/>
        <v>Q1</v>
      </c>
      <c r="Z628" s="7">
        <f t="shared" si="29"/>
        <v>82.98</v>
      </c>
    </row>
    <row r="629" spans="1:26" x14ac:dyDescent="0.3">
      <c r="A629" s="4" t="s">
        <v>3906</v>
      </c>
      <c r="B629" s="9" t="s">
        <v>1527</v>
      </c>
      <c r="C629" s="4" t="s">
        <v>3907</v>
      </c>
      <c r="D629" s="4" t="s">
        <v>2018</v>
      </c>
      <c r="E629" s="4" t="s">
        <v>3908</v>
      </c>
      <c r="F629" s="4" t="s">
        <v>3909</v>
      </c>
      <c r="G629" s="4" t="s">
        <v>394</v>
      </c>
      <c r="H629" s="4" t="s">
        <v>395</v>
      </c>
      <c r="I629" s="4" t="s">
        <v>31</v>
      </c>
      <c r="J629" s="4" t="s">
        <v>1232</v>
      </c>
      <c r="K629" s="4" t="s">
        <v>77</v>
      </c>
      <c r="L629" s="4">
        <v>1</v>
      </c>
      <c r="M629" s="5">
        <v>34.99</v>
      </c>
      <c r="N629" s="4" t="s">
        <v>78</v>
      </c>
      <c r="O629" s="5">
        <v>3.5</v>
      </c>
      <c r="P629" s="5">
        <v>7.99</v>
      </c>
      <c r="Q629" s="5">
        <v>2.52</v>
      </c>
      <c r="R629" s="5">
        <v>42</v>
      </c>
      <c r="S629" s="4" t="s">
        <v>437</v>
      </c>
      <c r="T629" s="4" t="s">
        <v>65</v>
      </c>
      <c r="U629" s="4" t="s">
        <v>51</v>
      </c>
      <c r="V629" s="4" t="s">
        <v>335</v>
      </c>
      <c r="W629" s="5">
        <v>0</v>
      </c>
      <c r="X629" t="str">
        <f t="shared" si="27"/>
        <v>September</v>
      </c>
      <c r="Y629" t="str">
        <f t="shared" si="28"/>
        <v>Q3</v>
      </c>
      <c r="Z629" s="7">
        <f t="shared" si="29"/>
        <v>31.490000000000002</v>
      </c>
    </row>
    <row r="630" spans="1:26" x14ac:dyDescent="0.3">
      <c r="A630" s="2" t="s">
        <v>3910</v>
      </c>
      <c r="B630" s="8" t="s">
        <v>2130</v>
      </c>
      <c r="C630" s="2" t="s">
        <v>3911</v>
      </c>
      <c r="D630" s="2" t="s">
        <v>3912</v>
      </c>
      <c r="E630" s="2" t="s">
        <v>3913</v>
      </c>
      <c r="F630" s="2" t="s">
        <v>3914</v>
      </c>
      <c r="G630" s="2" t="s">
        <v>1730</v>
      </c>
      <c r="H630" s="2" t="s">
        <v>161</v>
      </c>
      <c r="I630" s="2" t="s">
        <v>31</v>
      </c>
      <c r="J630" s="2" t="s">
        <v>741</v>
      </c>
      <c r="K630" s="2" t="s">
        <v>122</v>
      </c>
      <c r="L630" s="2">
        <v>1</v>
      </c>
      <c r="M630" s="3">
        <v>139.97999999999999</v>
      </c>
      <c r="N630" s="2" t="s">
        <v>63</v>
      </c>
      <c r="O630" s="3">
        <v>34.99</v>
      </c>
      <c r="P630" s="3">
        <v>0</v>
      </c>
      <c r="Q630" s="3">
        <v>10.5</v>
      </c>
      <c r="R630" s="3">
        <v>115.49</v>
      </c>
      <c r="S630" s="2" t="s">
        <v>332</v>
      </c>
      <c r="T630" s="2" t="s">
        <v>173</v>
      </c>
      <c r="U630" s="2" t="s">
        <v>51</v>
      </c>
      <c r="V630" s="2" t="s">
        <v>1329</v>
      </c>
      <c r="W630" s="3">
        <v>0</v>
      </c>
      <c r="X630" t="str">
        <f t="shared" si="27"/>
        <v>January</v>
      </c>
      <c r="Y630" t="str">
        <f t="shared" si="28"/>
        <v>Q1</v>
      </c>
      <c r="Z630" s="7">
        <f t="shared" si="29"/>
        <v>104.98999999999998</v>
      </c>
    </row>
    <row r="631" spans="1:26" x14ac:dyDescent="0.3">
      <c r="A631" s="4" t="s">
        <v>3915</v>
      </c>
      <c r="B631" s="9" t="s">
        <v>736</v>
      </c>
      <c r="C631" s="4" t="s">
        <v>3916</v>
      </c>
      <c r="D631" s="4" t="s">
        <v>3917</v>
      </c>
      <c r="E631" s="4" t="s">
        <v>3918</v>
      </c>
      <c r="F631" s="4" t="s">
        <v>3919</v>
      </c>
      <c r="G631" s="4" t="s">
        <v>347</v>
      </c>
      <c r="H631" s="4" t="s">
        <v>60</v>
      </c>
      <c r="I631" s="4" t="s">
        <v>31</v>
      </c>
      <c r="J631" s="4" t="s">
        <v>3920</v>
      </c>
      <c r="K631" s="4" t="s">
        <v>122</v>
      </c>
      <c r="L631" s="4">
        <v>4</v>
      </c>
      <c r="M631" s="5">
        <v>325.94</v>
      </c>
      <c r="N631" s="4" t="s">
        <v>63</v>
      </c>
      <c r="O631" s="5">
        <v>81.48</v>
      </c>
      <c r="P631" s="5">
        <v>0</v>
      </c>
      <c r="Q631" s="5">
        <v>14.67</v>
      </c>
      <c r="R631" s="5">
        <v>259.13</v>
      </c>
      <c r="S631" s="4" t="s">
        <v>64</v>
      </c>
      <c r="T631" s="4" t="s">
        <v>36</v>
      </c>
      <c r="U631" s="4" t="s">
        <v>37</v>
      </c>
      <c r="V631" s="4" t="s">
        <v>633</v>
      </c>
      <c r="W631" s="5">
        <v>259.13</v>
      </c>
      <c r="X631" t="str">
        <f t="shared" si="27"/>
        <v>January</v>
      </c>
      <c r="Y631" t="str">
        <f t="shared" si="28"/>
        <v>Q1</v>
      </c>
      <c r="Z631" s="7">
        <f t="shared" si="29"/>
        <v>244.45999999999998</v>
      </c>
    </row>
    <row r="632" spans="1:26" x14ac:dyDescent="0.3">
      <c r="A632" s="2" t="s">
        <v>3921</v>
      </c>
      <c r="B632" s="8" t="s">
        <v>2083</v>
      </c>
      <c r="C632" s="2" t="s">
        <v>3922</v>
      </c>
      <c r="D632" s="2" t="s">
        <v>3923</v>
      </c>
      <c r="E632" s="2" t="s">
        <v>3924</v>
      </c>
      <c r="F632" s="2" t="s">
        <v>3925</v>
      </c>
      <c r="G632" s="2" t="s">
        <v>207</v>
      </c>
      <c r="H632" s="2" t="s">
        <v>141</v>
      </c>
      <c r="I632" s="2" t="s">
        <v>31</v>
      </c>
      <c r="J632" s="2" t="s">
        <v>3926</v>
      </c>
      <c r="K632" s="2" t="s">
        <v>77</v>
      </c>
      <c r="L632" s="2">
        <v>3</v>
      </c>
      <c r="M632" s="3">
        <v>222.95</v>
      </c>
      <c r="N632" s="2" t="s">
        <v>163</v>
      </c>
      <c r="O632" s="3">
        <v>44.59</v>
      </c>
      <c r="P632" s="3">
        <v>0</v>
      </c>
      <c r="Q632" s="3">
        <v>17.84</v>
      </c>
      <c r="R632" s="3">
        <v>196.2</v>
      </c>
      <c r="S632" s="2" t="s">
        <v>437</v>
      </c>
      <c r="T632" s="2" t="s">
        <v>173</v>
      </c>
      <c r="U632" s="2" t="s">
        <v>66</v>
      </c>
      <c r="V632" s="2" t="s">
        <v>3927</v>
      </c>
      <c r="W632" s="3">
        <v>0</v>
      </c>
      <c r="X632" t="str">
        <f t="shared" si="27"/>
        <v>November</v>
      </c>
      <c r="Y632" t="str">
        <f t="shared" si="28"/>
        <v>Q4</v>
      </c>
      <c r="Z632" s="7">
        <f t="shared" si="29"/>
        <v>178.35999999999999</v>
      </c>
    </row>
    <row r="633" spans="1:26" x14ac:dyDescent="0.3">
      <c r="A633" s="4" t="s">
        <v>3928</v>
      </c>
      <c r="B633" s="9" t="s">
        <v>1477</v>
      </c>
      <c r="C633" s="4" t="s">
        <v>3929</v>
      </c>
      <c r="D633" s="4" t="s">
        <v>3930</v>
      </c>
      <c r="E633" s="4" t="s">
        <v>3931</v>
      </c>
      <c r="F633" s="4" t="s">
        <v>3932</v>
      </c>
      <c r="G633" s="4" t="s">
        <v>59</v>
      </c>
      <c r="H633" s="4" t="s">
        <v>60</v>
      </c>
      <c r="I633" s="4" t="s">
        <v>31</v>
      </c>
      <c r="J633" s="4" t="s">
        <v>132</v>
      </c>
      <c r="K633" s="4" t="s">
        <v>48</v>
      </c>
      <c r="L633" s="4">
        <v>1</v>
      </c>
      <c r="M633" s="5">
        <v>129.97999999999999</v>
      </c>
      <c r="N633" s="4" t="s">
        <v>34</v>
      </c>
      <c r="O633" s="5">
        <v>0</v>
      </c>
      <c r="P633" s="5">
        <v>0</v>
      </c>
      <c r="Q633" s="5">
        <v>11.7</v>
      </c>
      <c r="R633" s="5">
        <v>141.68</v>
      </c>
      <c r="S633" s="4" t="s">
        <v>35</v>
      </c>
      <c r="T633" s="4" t="s">
        <v>65</v>
      </c>
      <c r="U633" s="4" t="s">
        <v>66</v>
      </c>
      <c r="V633" s="4" t="s">
        <v>431</v>
      </c>
      <c r="W633" s="5">
        <v>0</v>
      </c>
      <c r="X633" t="str">
        <f t="shared" si="27"/>
        <v>June</v>
      </c>
      <c r="Y633" t="str">
        <f t="shared" si="28"/>
        <v>Q2</v>
      </c>
      <c r="Z633" s="7">
        <f t="shared" si="29"/>
        <v>129.97999999999999</v>
      </c>
    </row>
    <row r="634" spans="1:26" x14ac:dyDescent="0.3">
      <c r="A634" s="2" t="s">
        <v>3933</v>
      </c>
      <c r="B634" s="8" t="s">
        <v>587</v>
      </c>
      <c r="C634" s="2" t="s">
        <v>3934</v>
      </c>
      <c r="D634" s="2" t="s">
        <v>3935</v>
      </c>
      <c r="E634" s="2" t="s">
        <v>3936</v>
      </c>
      <c r="F634" s="2" t="s">
        <v>3937</v>
      </c>
      <c r="G634" s="2" t="s">
        <v>802</v>
      </c>
      <c r="H634" s="2" t="s">
        <v>88</v>
      </c>
      <c r="I634" s="2" t="s">
        <v>31</v>
      </c>
      <c r="J634" s="2" t="s">
        <v>3938</v>
      </c>
      <c r="K634" s="2" t="s">
        <v>110</v>
      </c>
      <c r="L634" s="2">
        <v>5</v>
      </c>
      <c r="M634" s="3">
        <v>267.95</v>
      </c>
      <c r="N634" s="2" t="s">
        <v>63</v>
      </c>
      <c r="O634" s="3">
        <v>66.989999999999995</v>
      </c>
      <c r="P634" s="3">
        <v>0</v>
      </c>
      <c r="Q634" s="3">
        <v>20.100000000000001</v>
      </c>
      <c r="R634" s="3">
        <v>221.06</v>
      </c>
      <c r="S634" s="2" t="s">
        <v>79</v>
      </c>
      <c r="T634" s="2" t="s">
        <v>144</v>
      </c>
      <c r="U634" s="2" t="s">
        <v>66</v>
      </c>
      <c r="V634" s="2" t="s">
        <v>752</v>
      </c>
      <c r="W634" s="3">
        <v>0</v>
      </c>
      <c r="X634" t="str">
        <f t="shared" si="27"/>
        <v>July</v>
      </c>
      <c r="Y634" t="str">
        <f t="shared" si="28"/>
        <v>Q3</v>
      </c>
      <c r="Z634" s="7">
        <f t="shared" si="29"/>
        <v>200.95999999999998</v>
      </c>
    </row>
    <row r="635" spans="1:26" x14ac:dyDescent="0.3">
      <c r="A635" s="4" t="s">
        <v>3939</v>
      </c>
      <c r="B635" s="9" t="s">
        <v>891</v>
      </c>
      <c r="C635" s="4" t="s">
        <v>3940</v>
      </c>
      <c r="D635" s="4" t="s">
        <v>3941</v>
      </c>
      <c r="E635" s="4" t="s">
        <v>3942</v>
      </c>
      <c r="F635" s="4" t="s">
        <v>3943</v>
      </c>
      <c r="G635" s="4" t="s">
        <v>640</v>
      </c>
      <c r="H635" s="4" t="s">
        <v>161</v>
      </c>
      <c r="I635" s="4" t="s">
        <v>31</v>
      </c>
      <c r="J635" s="4" t="s">
        <v>1148</v>
      </c>
      <c r="K635" s="4" t="s">
        <v>33</v>
      </c>
      <c r="L635" s="4">
        <v>1</v>
      </c>
      <c r="M635" s="5">
        <v>18.989999999999998</v>
      </c>
      <c r="N635" s="4" t="s">
        <v>78</v>
      </c>
      <c r="O635" s="5">
        <v>1.9</v>
      </c>
      <c r="P635" s="5">
        <v>4.99</v>
      </c>
      <c r="Q635" s="5">
        <v>1.37</v>
      </c>
      <c r="R635" s="5">
        <v>23.45</v>
      </c>
      <c r="S635" s="4" t="s">
        <v>111</v>
      </c>
      <c r="T635" s="4" t="s">
        <v>65</v>
      </c>
      <c r="U635" s="4" t="s">
        <v>66</v>
      </c>
      <c r="V635" s="4" t="s">
        <v>3944</v>
      </c>
      <c r="W635" s="5">
        <v>0</v>
      </c>
      <c r="X635" t="str">
        <f t="shared" si="27"/>
        <v>May</v>
      </c>
      <c r="Y635" t="str">
        <f t="shared" si="28"/>
        <v>Q2</v>
      </c>
      <c r="Z635" s="7">
        <f t="shared" si="29"/>
        <v>17.09</v>
      </c>
    </row>
    <row r="636" spans="1:26" x14ac:dyDescent="0.3">
      <c r="A636" s="2" t="s">
        <v>3945</v>
      </c>
      <c r="B636" s="8" t="s">
        <v>930</v>
      </c>
      <c r="C636" s="2" t="s">
        <v>3946</v>
      </c>
      <c r="D636" s="2" t="s">
        <v>3947</v>
      </c>
      <c r="E636" s="2" t="s">
        <v>3948</v>
      </c>
      <c r="F636" s="2" t="s">
        <v>3949</v>
      </c>
      <c r="G636" s="2" t="s">
        <v>107</v>
      </c>
      <c r="H636" s="2" t="s">
        <v>108</v>
      </c>
      <c r="I636" s="2" t="s">
        <v>31</v>
      </c>
      <c r="J636" s="2" t="s">
        <v>1689</v>
      </c>
      <c r="K636" s="2" t="s">
        <v>209</v>
      </c>
      <c r="L636" s="2">
        <v>2</v>
      </c>
      <c r="M636" s="3">
        <v>191.97</v>
      </c>
      <c r="N636" s="2" t="s">
        <v>63</v>
      </c>
      <c r="O636" s="3">
        <v>47.99</v>
      </c>
      <c r="P636" s="3">
        <v>0</v>
      </c>
      <c r="Q636" s="3">
        <v>8.64</v>
      </c>
      <c r="R636" s="3">
        <v>152.62</v>
      </c>
      <c r="S636" s="2" t="s">
        <v>35</v>
      </c>
      <c r="T636" s="2" t="s">
        <v>99</v>
      </c>
      <c r="U636" s="2" t="s">
        <v>51</v>
      </c>
      <c r="V636" s="2" t="s">
        <v>1055</v>
      </c>
      <c r="W636" s="3">
        <v>0</v>
      </c>
      <c r="X636" t="str">
        <f t="shared" si="27"/>
        <v>October</v>
      </c>
      <c r="Y636" t="str">
        <f t="shared" si="28"/>
        <v>Q4</v>
      </c>
      <c r="Z636" s="7">
        <f t="shared" si="29"/>
        <v>143.97999999999999</v>
      </c>
    </row>
    <row r="637" spans="1:26" x14ac:dyDescent="0.3">
      <c r="A637" s="4" t="s">
        <v>3950</v>
      </c>
      <c r="B637" s="9" t="s">
        <v>358</v>
      </c>
      <c r="C637" s="4" t="s">
        <v>3951</v>
      </c>
      <c r="D637" s="4" t="s">
        <v>3952</v>
      </c>
      <c r="E637" s="4" t="s">
        <v>3953</v>
      </c>
      <c r="F637" s="4" t="s">
        <v>3954</v>
      </c>
      <c r="G637" s="4" t="s">
        <v>29</v>
      </c>
      <c r="H637" s="4" t="s">
        <v>30</v>
      </c>
      <c r="I637" s="4" t="s">
        <v>31</v>
      </c>
      <c r="J637" s="4" t="s">
        <v>1232</v>
      </c>
      <c r="K637" s="4" t="s">
        <v>77</v>
      </c>
      <c r="L637" s="4">
        <v>1</v>
      </c>
      <c r="M637" s="5">
        <v>34.99</v>
      </c>
      <c r="N637" s="4" t="s">
        <v>34</v>
      </c>
      <c r="O637" s="5">
        <v>0</v>
      </c>
      <c r="P637" s="5">
        <v>9.99</v>
      </c>
      <c r="Q637" s="5">
        <v>2.8</v>
      </c>
      <c r="R637" s="5">
        <v>47.78</v>
      </c>
      <c r="S637" s="4" t="s">
        <v>35</v>
      </c>
      <c r="T637" s="4" t="s">
        <v>99</v>
      </c>
      <c r="U637" s="4" t="s">
        <v>66</v>
      </c>
      <c r="V637" s="4" t="s">
        <v>286</v>
      </c>
      <c r="W637" s="5">
        <v>0</v>
      </c>
      <c r="X637" t="str">
        <f t="shared" si="27"/>
        <v>October</v>
      </c>
      <c r="Y637" t="str">
        <f t="shared" si="28"/>
        <v>Q4</v>
      </c>
      <c r="Z637" s="7">
        <f t="shared" si="29"/>
        <v>34.99</v>
      </c>
    </row>
    <row r="638" spans="1:26" x14ac:dyDescent="0.3">
      <c r="A638" s="2" t="s">
        <v>3955</v>
      </c>
      <c r="B638" s="8" t="s">
        <v>227</v>
      </c>
      <c r="C638" s="2" t="s">
        <v>3956</v>
      </c>
      <c r="D638" s="2" t="s">
        <v>3957</v>
      </c>
      <c r="E638" s="2" t="s">
        <v>3958</v>
      </c>
      <c r="F638" s="2" t="s">
        <v>3959</v>
      </c>
      <c r="G638" s="2" t="s">
        <v>87</v>
      </c>
      <c r="H638" s="2" t="s">
        <v>88</v>
      </c>
      <c r="I638" s="2" t="s">
        <v>31</v>
      </c>
      <c r="J638" s="2" t="s">
        <v>1238</v>
      </c>
      <c r="K638" s="2" t="s">
        <v>209</v>
      </c>
      <c r="L638" s="2">
        <v>1</v>
      </c>
      <c r="M638" s="3">
        <v>39.99</v>
      </c>
      <c r="N638" s="2" t="s">
        <v>163</v>
      </c>
      <c r="O638" s="3">
        <v>8</v>
      </c>
      <c r="P638" s="3">
        <v>9.99</v>
      </c>
      <c r="Q638" s="3">
        <v>2.2400000000000002</v>
      </c>
      <c r="R638" s="3">
        <v>44.22</v>
      </c>
      <c r="S638" s="2" t="s">
        <v>111</v>
      </c>
      <c r="T638" s="2" t="s">
        <v>99</v>
      </c>
      <c r="U638" s="2" t="s">
        <v>66</v>
      </c>
      <c r="V638" s="2" t="s">
        <v>1658</v>
      </c>
      <c r="W638" s="3">
        <v>0</v>
      </c>
      <c r="X638" t="str">
        <f t="shared" si="27"/>
        <v>May</v>
      </c>
      <c r="Y638" t="str">
        <f t="shared" si="28"/>
        <v>Q2</v>
      </c>
      <c r="Z638" s="7">
        <f t="shared" si="29"/>
        <v>31.990000000000002</v>
      </c>
    </row>
    <row r="639" spans="1:26" x14ac:dyDescent="0.3">
      <c r="A639" s="4" t="s">
        <v>3960</v>
      </c>
      <c r="B639" s="9" t="s">
        <v>3092</v>
      </c>
      <c r="C639" s="4" t="s">
        <v>3961</v>
      </c>
      <c r="D639" s="4" t="s">
        <v>3962</v>
      </c>
      <c r="E639" s="4" t="s">
        <v>3963</v>
      </c>
      <c r="F639" s="4" t="s">
        <v>3964</v>
      </c>
      <c r="G639" s="4" t="s">
        <v>802</v>
      </c>
      <c r="H639" s="4" t="s">
        <v>88</v>
      </c>
      <c r="I639" s="4" t="s">
        <v>31</v>
      </c>
      <c r="J639" s="4" t="s">
        <v>308</v>
      </c>
      <c r="K639" s="4" t="s">
        <v>62</v>
      </c>
      <c r="L639" s="4">
        <v>1</v>
      </c>
      <c r="M639" s="5">
        <v>29.99</v>
      </c>
      <c r="N639" s="4" t="s">
        <v>63</v>
      </c>
      <c r="O639" s="5">
        <v>7.5</v>
      </c>
      <c r="P639" s="5">
        <v>5.99</v>
      </c>
      <c r="Q639" s="5">
        <v>1.35</v>
      </c>
      <c r="R639" s="5">
        <v>29.83</v>
      </c>
      <c r="S639" s="4" t="s">
        <v>123</v>
      </c>
      <c r="T639" s="4" t="s">
        <v>183</v>
      </c>
      <c r="U639" s="4" t="s">
        <v>51</v>
      </c>
      <c r="V639" s="4" t="s">
        <v>1315</v>
      </c>
      <c r="W639" s="5">
        <v>0</v>
      </c>
      <c r="X639" t="str">
        <f t="shared" si="27"/>
        <v>March</v>
      </c>
      <c r="Y639" t="str">
        <f t="shared" si="28"/>
        <v>Q1</v>
      </c>
      <c r="Z639" s="7">
        <f t="shared" si="29"/>
        <v>22.49</v>
      </c>
    </row>
    <row r="640" spans="1:26" x14ac:dyDescent="0.3">
      <c r="A640" s="2" t="s">
        <v>3965</v>
      </c>
      <c r="B640" s="8" t="s">
        <v>3042</v>
      </c>
      <c r="C640" s="2" t="s">
        <v>3966</v>
      </c>
      <c r="D640" s="2" t="s">
        <v>148</v>
      </c>
      <c r="E640" s="2" t="s">
        <v>3967</v>
      </c>
      <c r="F640" s="2" t="s">
        <v>3968</v>
      </c>
      <c r="G640" s="2" t="s">
        <v>140</v>
      </c>
      <c r="H640" s="2" t="s">
        <v>141</v>
      </c>
      <c r="I640" s="2" t="s">
        <v>31</v>
      </c>
      <c r="J640" s="2" t="s">
        <v>3969</v>
      </c>
      <c r="K640" s="2" t="s">
        <v>62</v>
      </c>
      <c r="L640" s="2">
        <v>2</v>
      </c>
      <c r="M640" s="3">
        <v>134.97</v>
      </c>
      <c r="N640" s="2" t="s">
        <v>163</v>
      </c>
      <c r="O640" s="3">
        <v>26.99</v>
      </c>
      <c r="P640" s="3">
        <v>0</v>
      </c>
      <c r="Q640" s="3">
        <v>8.64</v>
      </c>
      <c r="R640" s="3">
        <v>116.62</v>
      </c>
      <c r="S640" s="2" t="s">
        <v>35</v>
      </c>
      <c r="T640" s="2" t="s">
        <v>99</v>
      </c>
      <c r="U640" s="2" t="s">
        <v>66</v>
      </c>
      <c r="V640" s="2" t="s">
        <v>744</v>
      </c>
      <c r="W640" s="3">
        <v>0</v>
      </c>
      <c r="X640" t="str">
        <f t="shared" si="27"/>
        <v>February</v>
      </c>
      <c r="Y640" t="str">
        <f t="shared" si="28"/>
        <v>Q1</v>
      </c>
      <c r="Z640" s="7">
        <f t="shared" si="29"/>
        <v>107.98</v>
      </c>
    </row>
    <row r="641" spans="1:26" x14ac:dyDescent="0.3">
      <c r="A641" s="4" t="s">
        <v>3970</v>
      </c>
      <c r="B641" s="9" t="s">
        <v>1323</v>
      </c>
      <c r="C641" s="4" t="s">
        <v>3971</v>
      </c>
      <c r="D641" s="4" t="s">
        <v>3972</v>
      </c>
      <c r="E641" s="4" t="s">
        <v>3973</v>
      </c>
      <c r="F641" s="4" t="s">
        <v>3974</v>
      </c>
      <c r="G641" s="4" t="s">
        <v>131</v>
      </c>
      <c r="H641" s="4" t="s">
        <v>88</v>
      </c>
      <c r="I641" s="4" t="s">
        <v>31</v>
      </c>
      <c r="J641" s="4" t="s">
        <v>3975</v>
      </c>
      <c r="K641" s="4" t="s">
        <v>33</v>
      </c>
      <c r="L641" s="4">
        <v>3</v>
      </c>
      <c r="M641" s="5">
        <v>224.94</v>
      </c>
      <c r="N641" s="4" t="s">
        <v>49</v>
      </c>
      <c r="O641" s="5">
        <v>33.74</v>
      </c>
      <c r="P641" s="5">
        <v>0</v>
      </c>
      <c r="Q641" s="5">
        <v>11.47</v>
      </c>
      <c r="R641" s="5">
        <v>202.67</v>
      </c>
      <c r="S641" s="4" t="s">
        <v>79</v>
      </c>
      <c r="T641" s="4" t="s">
        <v>183</v>
      </c>
      <c r="U641" s="4" t="s">
        <v>51</v>
      </c>
      <c r="V641" s="4" t="s">
        <v>3421</v>
      </c>
      <c r="W641" s="5">
        <v>0</v>
      </c>
      <c r="X641" t="str">
        <f t="shared" si="27"/>
        <v>September</v>
      </c>
      <c r="Y641" t="str">
        <f t="shared" si="28"/>
        <v>Q3</v>
      </c>
      <c r="Z641" s="7">
        <f t="shared" si="29"/>
        <v>191.2</v>
      </c>
    </row>
    <row r="642" spans="1:26" x14ac:dyDescent="0.3">
      <c r="A642" s="2" t="s">
        <v>3976</v>
      </c>
      <c r="B642" s="8" t="s">
        <v>635</v>
      </c>
      <c r="C642" s="2" t="s">
        <v>3977</v>
      </c>
      <c r="D642" s="2" t="s">
        <v>3978</v>
      </c>
      <c r="E642" s="2" t="s">
        <v>3979</v>
      </c>
      <c r="F642" s="2" t="s">
        <v>3980</v>
      </c>
      <c r="G642" s="2" t="s">
        <v>140</v>
      </c>
      <c r="H642" s="2" t="s">
        <v>141</v>
      </c>
      <c r="I642" s="2" t="s">
        <v>31</v>
      </c>
      <c r="J642" s="2" t="s">
        <v>3981</v>
      </c>
      <c r="K642" s="2" t="s">
        <v>122</v>
      </c>
      <c r="L642" s="2">
        <v>2</v>
      </c>
      <c r="M642" s="3">
        <v>369.97</v>
      </c>
      <c r="N642" s="2" t="s">
        <v>163</v>
      </c>
      <c r="O642" s="3">
        <v>73.989999999999995</v>
      </c>
      <c r="P642" s="3">
        <v>0</v>
      </c>
      <c r="Q642" s="3">
        <v>23.68</v>
      </c>
      <c r="R642" s="3">
        <v>319.66000000000003</v>
      </c>
      <c r="S642" s="2" t="s">
        <v>35</v>
      </c>
      <c r="T642" s="2" t="s">
        <v>36</v>
      </c>
      <c r="U642" s="2" t="s">
        <v>66</v>
      </c>
      <c r="V642" s="2" t="s">
        <v>542</v>
      </c>
      <c r="W642" s="3">
        <v>0</v>
      </c>
      <c r="X642" t="str">
        <f t="shared" si="27"/>
        <v>March</v>
      </c>
      <c r="Y642" t="str">
        <f t="shared" si="28"/>
        <v>Q1</v>
      </c>
      <c r="Z642" s="7">
        <f t="shared" si="29"/>
        <v>295.98</v>
      </c>
    </row>
    <row r="643" spans="1:26" x14ac:dyDescent="0.3">
      <c r="A643" s="4" t="s">
        <v>3982</v>
      </c>
      <c r="B643" s="9" t="s">
        <v>1321</v>
      </c>
      <c r="C643" s="4" t="s">
        <v>3983</v>
      </c>
      <c r="D643" s="4" t="s">
        <v>1403</v>
      </c>
      <c r="E643" s="4" t="s">
        <v>3984</v>
      </c>
      <c r="F643" s="4" t="s">
        <v>3985</v>
      </c>
      <c r="G643" s="4" t="s">
        <v>180</v>
      </c>
      <c r="H643" s="4" t="s">
        <v>181</v>
      </c>
      <c r="I643" s="4" t="s">
        <v>31</v>
      </c>
      <c r="J643" s="4" t="s">
        <v>1148</v>
      </c>
      <c r="K643" s="4" t="s">
        <v>33</v>
      </c>
      <c r="L643" s="4">
        <v>1</v>
      </c>
      <c r="M643" s="5">
        <v>18.989999999999998</v>
      </c>
      <c r="N643" s="4" t="s">
        <v>49</v>
      </c>
      <c r="O643" s="5">
        <v>2.85</v>
      </c>
      <c r="P643" s="5">
        <v>5.99</v>
      </c>
      <c r="Q643" s="5">
        <v>1.61</v>
      </c>
      <c r="R643" s="5">
        <v>23.74</v>
      </c>
      <c r="S643" s="4" t="s">
        <v>35</v>
      </c>
      <c r="T643" s="4" t="s">
        <v>173</v>
      </c>
      <c r="U643" s="4" t="s">
        <v>66</v>
      </c>
      <c r="V643" s="4" t="s">
        <v>669</v>
      </c>
      <c r="W643" s="5">
        <v>0</v>
      </c>
      <c r="X643" t="str">
        <f t="shared" ref="X643:X706" si="30">TEXT(B643,"MMMM")</f>
        <v>March</v>
      </c>
      <c r="Y643" t="str">
        <f t="shared" ref="Y643:Y706" si="31">IF(MONTH(B643)&lt;=3,"Q1",IF(MONTH(B643)&lt;=6,"Q2",IF(MONTH(B643)&lt;=9,"Q3","Q4")))</f>
        <v>Q1</v>
      </c>
      <c r="Z643" s="7">
        <f t="shared" ref="Z643:Z706" si="32">M643-O643</f>
        <v>16.139999999999997</v>
      </c>
    </row>
    <row r="644" spans="1:26" x14ac:dyDescent="0.3">
      <c r="A644" s="2" t="s">
        <v>3986</v>
      </c>
      <c r="B644" s="8" t="s">
        <v>3944</v>
      </c>
      <c r="C644" s="2" t="s">
        <v>3987</v>
      </c>
      <c r="D644" s="2" t="s">
        <v>3988</v>
      </c>
      <c r="E644" s="2" t="s">
        <v>3989</v>
      </c>
      <c r="F644" s="2" t="s">
        <v>3990</v>
      </c>
      <c r="G644" s="2" t="s">
        <v>242</v>
      </c>
      <c r="H644" s="2" t="s">
        <v>243</v>
      </c>
      <c r="I644" s="2" t="s">
        <v>31</v>
      </c>
      <c r="J644" s="2" t="s">
        <v>3991</v>
      </c>
      <c r="K644" s="2" t="s">
        <v>77</v>
      </c>
      <c r="L644" s="2">
        <v>2</v>
      </c>
      <c r="M644" s="3">
        <v>154.96</v>
      </c>
      <c r="N644" s="2" t="s">
        <v>78</v>
      </c>
      <c r="O644" s="3">
        <v>15.5</v>
      </c>
      <c r="P644" s="3">
        <v>0</v>
      </c>
      <c r="Q644" s="3">
        <v>11.85</v>
      </c>
      <c r="R644" s="3">
        <v>151.31</v>
      </c>
      <c r="S644" s="2" t="s">
        <v>437</v>
      </c>
      <c r="T644" s="2" t="s">
        <v>99</v>
      </c>
      <c r="U644" s="2" t="s">
        <v>317</v>
      </c>
      <c r="V644" s="2"/>
      <c r="W644" s="3">
        <v>0</v>
      </c>
      <c r="X644" t="str">
        <f t="shared" si="30"/>
        <v>May</v>
      </c>
      <c r="Y644" t="str">
        <f t="shared" si="31"/>
        <v>Q2</v>
      </c>
      <c r="Z644" s="7">
        <f t="shared" si="32"/>
        <v>139.46</v>
      </c>
    </row>
    <row r="645" spans="1:26" x14ac:dyDescent="0.3">
      <c r="A645" s="4" t="s">
        <v>3992</v>
      </c>
      <c r="B645" s="9" t="s">
        <v>1623</v>
      </c>
      <c r="C645" s="4" t="s">
        <v>3993</v>
      </c>
      <c r="D645" s="4" t="s">
        <v>1158</v>
      </c>
      <c r="E645" s="4" t="s">
        <v>3994</v>
      </c>
      <c r="F645" s="4" t="s">
        <v>3995</v>
      </c>
      <c r="G645" s="4" t="s">
        <v>394</v>
      </c>
      <c r="H645" s="4" t="s">
        <v>395</v>
      </c>
      <c r="I645" s="4" t="s">
        <v>31</v>
      </c>
      <c r="J645" s="4" t="s">
        <v>3996</v>
      </c>
      <c r="K645" s="4" t="s">
        <v>143</v>
      </c>
      <c r="L645" s="4">
        <v>3</v>
      </c>
      <c r="M645" s="5">
        <v>367.96</v>
      </c>
      <c r="N645" s="4" t="s">
        <v>34</v>
      </c>
      <c r="O645" s="5">
        <v>0</v>
      </c>
      <c r="P645" s="5">
        <v>0</v>
      </c>
      <c r="Q645" s="5">
        <v>29.44</v>
      </c>
      <c r="R645" s="5">
        <v>397.4</v>
      </c>
      <c r="S645" s="4" t="s">
        <v>35</v>
      </c>
      <c r="T645" s="4" t="s">
        <v>99</v>
      </c>
      <c r="U645" s="4" t="s">
        <v>317</v>
      </c>
      <c r="V645" s="4"/>
      <c r="W645" s="5">
        <v>0</v>
      </c>
      <c r="X645" t="str">
        <f t="shared" si="30"/>
        <v>February</v>
      </c>
      <c r="Y645" t="str">
        <f t="shared" si="31"/>
        <v>Q1</v>
      </c>
      <c r="Z645" s="7">
        <f t="shared" si="32"/>
        <v>367.96</v>
      </c>
    </row>
    <row r="646" spans="1:26" x14ac:dyDescent="0.3">
      <c r="A646" s="2" t="s">
        <v>3997</v>
      </c>
      <c r="B646" s="8" t="s">
        <v>328</v>
      </c>
      <c r="C646" s="2" t="s">
        <v>3998</v>
      </c>
      <c r="D646" s="2" t="s">
        <v>3999</v>
      </c>
      <c r="E646" s="2" t="s">
        <v>4000</v>
      </c>
      <c r="F646" s="2" t="s">
        <v>4001</v>
      </c>
      <c r="G646" s="2" t="s">
        <v>119</v>
      </c>
      <c r="H646" s="2" t="s">
        <v>120</v>
      </c>
      <c r="I646" s="2" t="s">
        <v>31</v>
      </c>
      <c r="J646" s="2" t="s">
        <v>4002</v>
      </c>
      <c r="K646" s="2" t="s">
        <v>122</v>
      </c>
      <c r="L646" s="2">
        <v>4</v>
      </c>
      <c r="M646" s="3">
        <v>465.95</v>
      </c>
      <c r="N646" s="2" t="s">
        <v>152</v>
      </c>
      <c r="O646" s="3">
        <v>23.3</v>
      </c>
      <c r="P646" s="3">
        <v>0</v>
      </c>
      <c r="Q646" s="3">
        <v>30.99</v>
      </c>
      <c r="R646" s="3">
        <v>473.64</v>
      </c>
      <c r="S646" s="2" t="s">
        <v>123</v>
      </c>
      <c r="T646" s="2" t="s">
        <v>183</v>
      </c>
      <c r="U646" s="2" t="s">
        <v>66</v>
      </c>
      <c r="V646" s="2" t="s">
        <v>309</v>
      </c>
      <c r="W646" s="3">
        <v>0</v>
      </c>
      <c r="X646" t="str">
        <f t="shared" si="30"/>
        <v>April</v>
      </c>
      <c r="Y646" t="str">
        <f t="shared" si="31"/>
        <v>Q2</v>
      </c>
      <c r="Z646" s="7">
        <f t="shared" si="32"/>
        <v>442.65</v>
      </c>
    </row>
    <row r="647" spans="1:26" x14ac:dyDescent="0.3">
      <c r="A647" s="4" t="s">
        <v>4003</v>
      </c>
      <c r="B647" s="9" t="s">
        <v>734</v>
      </c>
      <c r="C647" s="4" t="s">
        <v>4004</v>
      </c>
      <c r="D647" s="4" t="s">
        <v>4005</v>
      </c>
      <c r="E647" s="4" t="s">
        <v>4006</v>
      </c>
      <c r="F647" s="4" t="s">
        <v>4007</v>
      </c>
      <c r="G647" s="4" t="s">
        <v>251</v>
      </c>
      <c r="H647" s="4" t="s">
        <v>252</v>
      </c>
      <c r="I647" s="4" t="s">
        <v>31</v>
      </c>
      <c r="J647" s="4" t="s">
        <v>1148</v>
      </c>
      <c r="K647" s="4" t="s">
        <v>33</v>
      </c>
      <c r="L647" s="4">
        <v>1</v>
      </c>
      <c r="M647" s="5">
        <v>18.989999999999998</v>
      </c>
      <c r="N647" s="4" t="s">
        <v>78</v>
      </c>
      <c r="O647" s="5">
        <v>1.9</v>
      </c>
      <c r="P647" s="5">
        <v>4.99</v>
      </c>
      <c r="Q647" s="5">
        <v>1.71</v>
      </c>
      <c r="R647" s="5">
        <v>23.79</v>
      </c>
      <c r="S647" s="4" t="s">
        <v>35</v>
      </c>
      <c r="T647" s="4" t="s">
        <v>99</v>
      </c>
      <c r="U647" s="4" t="s">
        <v>37</v>
      </c>
      <c r="V647" s="4" t="s">
        <v>513</v>
      </c>
      <c r="W647" s="5">
        <v>23.79</v>
      </c>
      <c r="X647" t="str">
        <f t="shared" si="30"/>
        <v>May</v>
      </c>
      <c r="Y647" t="str">
        <f t="shared" si="31"/>
        <v>Q2</v>
      </c>
      <c r="Z647" s="7">
        <f t="shared" si="32"/>
        <v>17.09</v>
      </c>
    </row>
    <row r="648" spans="1:26" x14ac:dyDescent="0.3">
      <c r="A648" s="2" t="s">
        <v>4008</v>
      </c>
      <c r="B648" s="8" t="s">
        <v>2616</v>
      </c>
      <c r="C648" s="2" t="s">
        <v>4009</v>
      </c>
      <c r="D648" s="2" t="s">
        <v>4010</v>
      </c>
      <c r="E648" s="2" t="s">
        <v>4011</v>
      </c>
      <c r="F648" s="2" t="s">
        <v>4012</v>
      </c>
      <c r="G648" s="2" t="s">
        <v>190</v>
      </c>
      <c r="H648" s="2" t="s">
        <v>161</v>
      </c>
      <c r="I648" s="2" t="s">
        <v>31</v>
      </c>
      <c r="J648" s="2" t="s">
        <v>4013</v>
      </c>
      <c r="K648" s="2" t="s">
        <v>122</v>
      </c>
      <c r="L648" s="2">
        <v>2</v>
      </c>
      <c r="M648" s="3">
        <v>149.97999999999999</v>
      </c>
      <c r="N648" s="2" t="s">
        <v>63</v>
      </c>
      <c r="O648" s="3">
        <v>37.49</v>
      </c>
      <c r="P648" s="3">
        <v>0</v>
      </c>
      <c r="Q648" s="3">
        <v>6.75</v>
      </c>
      <c r="R648" s="3">
        <v>119.24</v>
      </c>
      <c r="S648" s="2" t="s">
        <v>123</v>
      </c>
      <c r="T648" s="2" t="s">
        <v>183</v>
      </c>
      <c r="U648" s="2" t="s">
        <v>66</v>
      </c>
      <c r="V648" s="2" t="s">
        <v>635</v>
      </c>
      <c r="W648" s="3">
        <v>0</v>
      </c>
      <c r="X648" t="str">
        <f t="shared" si="30"/>
        <v>March</v>
      </c>
      <c r="Y648" t="str">
        <f t="shared" si="31"/>
        <v>Q1</v>
      </c>
      <c r="Z648" s="7">
        <f t="shared" si="32"/>
        <v>112.48999999999998</v>
      </c>
    </row>
    <row r="649" spans="1:26" x14ac:dyDescent="0.3">
      <c r="A649" s="4" t="s">
        <v>4014</v>
      </c>
      <c r="B649" s="9" t="s">
        <v>3475</v>
      </c>
      <c r="C649" s="4" t="s">
        <v>4015</v>
      </c>
      <c r="D649" s="4" t="s">
        <v>4016</v>
      </c>
      <c r="E649" s="4" t="s">
        <v>4017</v>
      </c>
      <c r="F649" s="4" t="s">
        <v>4018</v>
      </c>
      <c r="G649" s="4" t="s">
        <v>1730</v>
      </c>
      <c r="H649" s="4" t="s">
        <v>161</v>
      </c>
      <c r="I649" s="4" t="s">
        <v>31</v>
      </c>
      <c r="J649" s="4" t="s">
        <v>4019</v>
      </c>
      <c r="K649" s="4" t="s">
        <v>209</v>
      </c>
      <c r="L649" s="4">
        <v>2</v>
      </c>
      <c r="M649" s="5">
        <v>304.97000000000003</v>
      </c>
      <c r="N649" s="4" t="s">
        <v>34</v>
      </c>
      <c r="O649" s="5">
        <v>0</v>
      </c>
      <c r="P649" s="5">
        <v>0</v>
      </c>
      <c r="Q649" s="5">
        <v>18.3</v>
      </c>
      <c r="R649" s="5">
        <v>323.27</v>
      </c>
      <c r="S649" s="4" t="s">
        <v>35</v>
      </c>
      <c r="T649" s="4" t="s">
        <v>144</v>
      </c>
      <c r="U649" s="4" t="s">
        <v>317</v>
      </c>
      <c r="V649" s="4"/>
      <c r="W649" s="5">
        <v>0</v>
      </c>
      <c r="X649" t="str">
        <f t="shared" si="30"/>
        <v>May</v>
      </c>
      <c r="Y649" t="str">
        <f t="shared" si="31"/>
        <v>Q2</v>
      </c>
      <c r="Z649" s="7">
        <f t="shared" si="32"/>
        <v>304.97000000000003</v>
      </c>
    </row>
    <row r="650" spans="1:26" x14ac:dyDescent="0.3">
      <c r="A650" s="2" t="s">
        <v>4020</v>
      </c>
      <c r="B650" s="8" t="s">
        <v>1178</v>
      </c>
      <c r="C650" s="2" t="s">
        <v>4021</v>
      </c>
      <c r="D650" s="2" t="s">
        <v>1757</v>
      </c>
      <c r="E650" s="2" t="s">
        <v>4022</v>
      </c>
      <c r="F650" s="2" t="s">
        <v>4023</v>
      </c>
      <c r="G650" s="2" t="s">
        <v>802</v>
      </c>
      <c r="H650" s="2" t="s">
        <v>88</v>
      </c>
      <c r="I650" s="2" t="s">
        <v>31</v>
      </c>
      <c r="J650" s="2" t="s">
        <v>4024</v>
      </c>
      <c r="K650" s="2" t="s">
        <v>77</v>
      </c>
      <c r="L650" s="2">
        <v>2</v>
      </c>
      <c r="M650" s="3">
        <v>77.98</v>
      </c>
      <c r="N650" s="2" t="s">
        <v>34</v>
      </c>
      <c r="O650" s="3">
        <v>0</v>
      </c>
      <c r="P650" s="3">
        <v>0</v>
      </c>
      <c r="Q650" s="3">
        <v>6.24</v>
      </c>
      <c r="R650" s="3">
        <v>84.22</v>
      </c>
      <c r="S650" s="2" t="s">
        <v>35</v>
      </c>
      <c r="T650" s="2" t="s">
        <v>99</v>
      </c>
      <c r="U650" s="2" t="s">
        <v>66</v>
      </c>
      <c r="V650" s="2" t="s">
        <v>4025</v>
      </c>
      <c r="W650" s="3">
        <v>0</v>
      </c>
      <c r="X650" t="str">
        <f t="shared" si="30"/>
        <v>November</v>
      </c>
      <c r="Y650" t="str">
        <f t="shared" si="31"/>
        <v>Q4</v>
      </c>
      <c r="Z650" s="7">
        <f t="shared" si="32"/>
        <v>77.98</v>
      </c>
    </row>
    <row r="651" spans="1:26" x14ac:dyDescent="0.3">
      <c r="A651" s="4" t="s">
        <v>4026</v>
      </c>
      <c r="B651" s="9" t="s">
        <v>804</v>
      </c>
      <c r="C651" s="4" t="s">
        <v>4027</v>
      </c>
      <c r="D651" s="4" t="s">
        <v>1224</v>
      </c>
      <c r="E651" s="4" t="s">
        <v>4028</v>
      </c>
      <c r="F651" s="4" t="s">
        <v>4029</v>
      </c>
      <c r="G651" s="4" t="s">
        <v>160</v>
      </c>
      <c r="H651" s="4" t="s">
        <v>161</v>
      </c>
      <c r="I651" s="4" t="s">
        <v>31</v>
      </c>
      <c r="J651" s="4" t="s">
        <v>4030</v>
      </c>
      <c r="K651" s="4" t="s">
        <v>143</v>
      </c>
      <c r="L651" s="4">
        <v>2</v>
      </c>
      <c r="M651" s="5">
        <v>259.95999999999998</v>
      </c>
      <c r="N651" s="4" t="s">
        <v>49</v>
      </c>
      <c r="O651" s="5">
        <v>38.99</v>
      </c>
      <c r="P651" s="5">
        <v>0</v>
      </c>
      <c r="Q651" s="5">
        <v>17.68</v>
      </c>
      <c r="R651" s="5">
        <v>238.65</v>
      </c>
      <c r="S651" s="4" t="s">
        <v>332</v>
      </c>
      <c r="T651" s="4" t="s">
        <v>144</v>
      </c>
      <c r="U651" s="4" t="s">
        <v>100</v>
      </c>
      <c r="V651" s="4"/>
      <c r="W651" s="5">
        <v>0</v>
      </c>
      <c r="X651" t="str">
        <f t="shared" si="30"/>
        <v>December</v>
      </c>
      <c r="Y651" t="str">
        <f t="shared" si="31"/>
        <v>Q4</v>
      </c>
      <c r="Z651" s="7">
        <f t="shared" si="32"/>
        <v>220.96999999999997</v>
      </c>
    </row>
    <row r="652" spans="1:26" x14ac:dyDescent="0.3">
      <c r="A652" s="2" t="s">
        <v>4031</v>
      </c>
      <c r="B652" s="8" t="s">
        <v>3042</v>
      </c>
      <c r="C652" s="2" t="s">
        <v>4032</v>
      </c>
      <c r="D652" s="2" t="s">
        <v>4010</v>
      </c>
      <c r="E652" s="2" t="s">
        <v>4033</v>
      </c>
      <c r="F652" s="2" t="s">
        <v>4034</v>
      </c>
      <c r="G652" s="2" t="s">
        <v>45</v>
      </c>
      <c r="H652" s="2" t="s">
        <v>46</v>
      </c>
      <c r="I652" s="2" t="s">
        <v>31</v>
      </c>
      <c r="J652" s="2" t="s">
        <v>4035</v>
      </c>
      <c r="K652" s="2" t="s">
        <v>77</v>
      </c>
      <c r="L652" s="2">
        <v>2</v>
      </c>
      <c r="M652" s="3">
        <v>409.95</v>
      </c>
      <c r="N652" s="2" t="s">
        <v>34</v>
      </c>
      <c r="O652" s="3">
        <v>0</v>
      </c>
      <c r="P652" s="3">
        <v>0</v>
      </c>
      <c r="Q652" s="3">
        <v>36.9</v>
      </c>
      <c r="R652" s="3">
        <v>446.85</v>
      </c>
      <c r="S652" s="2" t="s">
        <v>35</v>
      </c>
      <c r="T652" s="2" t="s">
        <v>65</v>
      </c>
      <c r="U652" s="2" t="s">
        <v>100</v>
      </c>
      <c r="V652" s="2"/>
      <c r="W652" s="3">
        <v>0</v>
      </c>
      <c r="X652" t="str">
        <f t="shared" si="30"/>
        <v>February</v>
      </c>
      <c r="Y652" t="str">
        <f t="shared" si="31"/>
        <v>Q1</v>
      </c>
      <c r="Z652" s="7">
        <f t="shared" si="32"/>
        <v>409.95</v>
      </c>
    </row>
    <row r="653" spans="1:26" x14ac:dyDescent="0.3">
      <c r="A653" s="4" t="s">
        <v>4036</v>
      </c>
      <c r="B653" s="9" t="s">
        <v>3356</v>
      </c>
      <c r="C653" s="4" t="s">
        <v>4037</v>
      </c>
      <c r="D653" s="4" t="s">
        <v>4038</v>
      </c>
      <c r="E653" s="4" t="s">
        <v>4039</v>
      </c>
      <c r="F653" s="4" t="s">
        <v>4040</v>
      </c>
      <c r="G653" s="4" t="s">
        <v>59</v>
      </c>
      <c r="H653" s="4" t="s">
        <v>60</v>
      </c>
      <c r="I653" s="4" t="s">
        <v>31</v>
      </c>
      <c r="J653" s="4" t="s">
        <v>316</v>
      </c>
      <c r="K653" s="4" t="s">
        <v>48</v>
      </c>
      <c r="L653" s="4">
        <v>1</v>
      </c>
      <c r="M653" s="5">
        <v>34.99</v>
      </c>
      <c r="N653" s="4" t="s">
        <v>49</v>
      </c>
      <c r="O653" s="5">
        <v>5.25</v>
      </c>
      <c r="P653" s="5">
        <v>7.99</v>
      </c>
      <c r="Q653" s="5">
        <v>2.97</v>
      </c>
      <c r="R653" s="5">
        <v>40.700000000000003</v>
      </c>
      <c r="S653" s="4" t="s">
        <v>35</v>
      </c>
      <c r="T653" s="4" t="s">
        <v>99</v>
      </c>
      <c r="U653" s="4" t="s">
        <v>51</v>
      </c>
      <c r="V653" s="4" t="s">
        <v>358</v>
      </c>
      <c r="W653" s="5">
        <v>0</v>
      </c>
      <c r="X653" t="str">
        <f t="shared" si="30"/>
        <v>October</v>
      </c>
      <c r="Y653" t="str">
        <f t="shared" si="31"/>
        <v>Q4</v>
      </c>
      <c r="Z653" s="7">
        <f t="shared" si="32"/>
        <v>29.740000000000002</v>
      </c>
    </row>
    <row r="654" spans="1:26" x14ac:dyDescent="0.3">
      <c r="A654" s="2" t="s">
        <v>4041</v>
      </c>
      <c r="B654" s="8" t="s">
        <v>595</v>
      </c>
      <c r="C654" s="2" t="s">
        <v>4042</v>
      </c>
      <c r="D654" s="2" t="s">
        <v>4043</v>
      </c>
      <c r="E654" s="2" t="s">
        <v>4044</v>
      </c>
      <c r="F654" s="2" t="s">
        <v>4045</v>
      </c>
      <c r="G654" s="2" t="s">
        <v>347</v>
      </c>
      <c r="H654" s="2" t="s">
        <v>60</v>
      </c>
      <c r="I654" s="2" t="s">
        <v>31</v>
      </c>
      <c r="J654" s="2" t="s">
        <v>4046</v>
      </c>
      <c r="K654" s="2" t="s">
        <v>122</v>
      </c>
      <c r="L654" s="2">
        <v>4</v>
      </c>
      <c r="M654" s="3">
        <v>152.94</v>
      </c>
      <c r="N654" s="2" t="s">
        <v>34</v>
      </c>
      <c r="O654" s="3">
        <v>0</v>
      </c>
      <c r="P654" s="3">
        <v>0</v>
      </c>
      <c r="Q654" s="3">
        <v>13</v>
      </c>
      <c r="R654" s="3">
        <v>165.94</v>
      </c>
      <c r="S654" s="2" t="s">
        <v>64</v>
      </c>
      <c r="T654" s="2" t="s">
        <v>99</v>
      </c>
      <c r="U654" s="2" t="s">
        <v>66</v>
      </c>
      <c r="V654" s="2" t="s">
        <v>601</v>
      </c>
      <c r="W654" s="3">
        <v>0</v>
      </c>
      <c r="X654" t="str">
        <f t="shared" si="30"/>
        <v>May</v>
      </c>
      <c r="Y654" t="str">
        <f t="shared" si="31"/>
        <v>Q2</v>
      </c>
      <c r="Z654" s="7">
        <f t="shared" si="32"/>
        <v>152.94</v>
      </c>
    </row>
    <row r="655" spans="1:26" x14ac:dyDescent="0.3">
      <c r="A655" s="4" t="s">
        <v>4047</v>
      </c>
      <c r="B655" s="9" t="s">
        <v>534</v>
      </c>
      <c r="C655" s="4" t="s">
        <v>4048</v>
      </c>
      <c r="D655" s="4" t="s">
        <v>4049</v>
      </c>
      <c r="E655" s="4" t="s">
        <v>4050</v>
      </c>
      <c r="F655" s="4" t="s">
        <v>4051</v>
      </c>
      <c r="G655" s="4" t="s">
        <v>45</v>
      </c>
      <c r="H655" s="4" t="s">
        <v>46</v>
      </c>
      <c r="I655" s="4" t="s">
        <v>31</v>
      </c>
      <c r="J655" s="4" t="s">
        <v>4052</v>
      </c>
      <c r="K655" s="4" t="s">
        <v>110</v>
      </c>
      <c r="L655" s="4">
        <v>2</v>
      </c>
      <c r="M655" s="5">
        <v>75.98</v>
      </c>
      <c r="N655" s="4" t="s">
        <v>63</v>
      </c>
      <c r="O655" s="5">
        <v>19</v>
      </c>
      <c r="P655" s="5">
        <v>0</v>
      </c>
      <c r="Q655" s="5">
        <v>4.84</v>
      </c>
      <c r="R655" s="5">
        <v>61.82</v>
      </c>
      <c r="S655" s="4" t="s">
        <v>123</v>
      </c>
      <c r="T655" s="4" t="s">
        <v>99</v>
      </c>
      <c r="U655" s="4" t="s">
        <v>317</v>
      </c>
      <c r="V655" s="4"/>
      <c r="W655" s="5">
        <v>0</v>
      </c>
      <c r="X655" t="str">
        <f t="shared" si="30"/>
        <v>June</v>
      </c>
      <c r="Y655" t="str">
        <f t="shared" si="31"/>
        <v>Q2</v>
      </c>
      <c r="Z655" s="7">
        <f t="shared" si="32"/>
        <v>56.980000000000004</v>
      </c>
    </row>
    <row r="656" spans="1:26" x14ac:dyDescent="0.3">
      <c r="A656" s="2" t="s">
        <v>4053</v>
      </c>
      <c r="B656" s="8" t="s">
        <v>858</v>
      </c>
      <c r="C656" s="2" t="s">
        <v>4054</v>
      </c>
      <c r="D656" s="2" t="s">
        <v>1002</v>
      </c>
      <c r="E656" s="2" t="s">
        <v>4055</v>
      </c>
      <c r="F656" s="2" t="s">
        <v>4056</v>
      </c>
      <c r="G656" s="2" t="s">
        <v>59</v>
      </c>
      <c r="H656" s="2" t="s">
        <v>60</v>
      </c>
      <c r="I656" s="2" t="s">
        <v>31</v>
      </c>
      <c r="J656" s="2" t="s">
        <v>4057</v>
      </c>
      <c r="K656" s="2" t="s">
        <v>122</v>
      </c>
      <c r="L656" s="2">
        <v>2</v>
      </c>
      <c r="M656" s="3">
        <v>155.97</v>
      </c>
      <c r="N656" s="2" t="s">
        <v>63</v>
      </c>
      <c r="O656" s="3">
        <v>38.99</v>
      </c>
      <c r="P656" s="3">
        <v>0</v>
      </c>
      <c r="Q656" s="3">
        <v>10.53</v>
      </c>
      <c r="R656" s="3">
        <v>127.51</v>
      </c>
      <c r="S656" s="2" t="s">
        <v>35</v>
      </c>
      <c r="T656" s="2" t="s">
        <v>173</v>
      </c>
      <c r="U656" s="2" t="s">
        <v>51</v>
      </c>
      <c r="V656" s="2" t="s">
        <v>863</v>
      </c>
      <c r="W656" s="3">
        <v>0</v>
      </c>
      <c r="X656" t="str">
        <f t="shared" si="30"/>
        <v>April</v>
      </c>
      <c r="Y656" t="str">
        <f t="shared" si="31"/>
        <v>Q2</v>
      </c>
      <c r="Z656" s="7">
        <f t="shared" si="32"/>
        <v>116.97999999999999</v>
      </c>
    </row>
    <row r="657" spans="1:26" x14ac:dyDescent="0.3">
      <c r="A657" s="4" t="s">
        <v>4058</v>
      </c>
      <c r="B657" s="9" t="s">
        <v>3415</v>
      </c>
      <c r="C657" s="4" t="s">
        <v>4059</v>
      </c>
      <c r="D657" s="4" t="s">
        <v>3197</v>
      </c>
      <c r="E657" s="4" t="s">
        <v>4060</v>
      </c>
      <c r="F657" s="4" t="s">
        <v>4061</v>
      </c>
      <c r="G657" s="4" t="s">
        <v>119</v>
      </c>
      <c r="H657" s="4" t="s">
        <v>120</v>
      </c>
      <c r="I657" s="4" t="s">
        <v>31</v>
      </c>
      <c r="J657" s="4" t="s">
        <v>4062</v>
      </c>
      <c r="K657" s="4" t="s">
        <v>209</v>
      </c>
      <c r="L657" s="4">
        <v>5</v>
      </c>
      <c r="M657" s="5">
        <v>253.95</v>
      </c>
      <c r="N657" s="4" t="s">
        <v>78</v>
      </c>
      <c r="O657" s="5">
        <v>25.39</v>
      </c>
      <c r="P657" s="5">
        <v>0</v>
      </c>
      <c r="Q657" s="5">
        <v>22.86</v>
      </c>
      <c r="R657" s="5">
        <v>251.42</v>
      </c>
      <c r="S657" s="4" t="s">
        <v>64</v>
      </c>
      <c r="T657" s="4" t="s">
        <v>99</v>
      </c>
      <c r="U657" s="4" t="s">
        <v>66</v>
      </c>
      <c r="V657" s="4" t="s">
        <v>671</v>
      </c>
      <c r="W657" s="5">
        <v>0</v>
      </c>
      <c r="X657" t="str">
        <f t="shared" si="30"/>
        <v>January</v>
      </c>
      <c r="Y657" t="str">
        <f t="shared" si="31"/>
        <v>Q1</v>
      </c>
      <c r="Z657" s="7">
        <f t="shared" si="32"/>
        <v>228.56</v>
      </c>
    </row>
    <row r="658" spans="1:26" x14ac:dyDescent="0.3">
      <c r="A658" s="2" t="s">
        <v>4063</v>
      </c>
      <c r="B658" s="8" t="s">
        <v>1846</v>
      </c>
      <c r="C658" s="2" t="s">
        <v>4064</v>
      </c>
      <c r="D658" s="2" t="s">
        <v>4065</v>
      </c>
      <c r="E658" s="2" t="s">
        <v>4066</v>
      </c>
      <c r="F658" s="2" t="s">
        <v>4067</v>
      </c>
      <c r="G658" s="2" t="s">
        <v>394</v>
      </c>
      <c r="H658" s="2" t="s">
        <v>395</v>
      </c>
      <c r="I658" s="2" t="s">
        <v>31</v>
      </c>
      <c r="J658" s="2" t="s">
        <v>4068</v>
      </c>
      <c r="K658" s="2" t="s">
        <v>33</v>
      </c>
      <c r="L658" s="2">
        <v>2</v>
      </c>
      <c r="M658" s="3">
        <v>119.98</v>
      </c>
      <c r="N658" s="2" t="s">
        <v>34</v>
      </c>
      <c r="O658" s="3">
        <v>0</v>
      </c>
      <c r="P658" s="3">
        <v>0</v>
      </c>
      <c r="Q658" s="3">
        <v>9.6</v>
      </c>
      <c r="R658" s="3">
        <v>129.58000000000001</v>
      </c>
      <c r="S658" s="2" t="s">
        <v>35</v>
      </c>
      <c r="T658" s="2" t="s">
        <v>36</v>
      </c>
      <c r="U658" s="2" t="s">
        <v>66</v>
      </c>
      <c r="V658" s="2" t="s">
        <v>2584</v>
      </c>
      <c r="W658" s="3">
        <v>0</v>
      </c>
      <c r="X658" t="str">
        <f t="shared" si="30"/>
        <v>August</v>
      </c>
      <c r="Y658" t="str">
        <f t="shared" si="31"/>
        <v>Q3</v>
      </c>
      <c r="Z658" s="7">
        <f t="shared" si="32"/>
        <v>119.98</v>
      </c>
    </row>
    <row r="659" spans="1:26" x14ac:dyDescent="0.3">
      <c r="A659" s="4" t="s">
        <v>4069</v>
      </c>
      <c r="B659" s="9" t="s">
        <v>237</v>
      </c>
      <c r="C659" s="4" t="s">
        <v>4070</v>
      </c>
      <c r="D659" s="4" t="s">
        <v>4071</v>
      </c>
      <c r="E659" s="4" t="s">
        <v>4072</v>
      </c>
      <c r="F659" s="4" t="s">
        <v>4073</v>
      </c>
      <c r="G659" s="4" t="s">
        <v>347</v>
      </c>
      <c r="H659" s="4" t="s">
        <v>60</v>
      </c>
      <c r="I659" s="4" t="s">
        <v>31</v>
      </c>
      <c r="J659" s="4" t="s">
        <v>4074</v>
      </c>
      <c r="K659" s="4" t="s">
        <v>33</v>
      </c>
      <c r="L659" s="4">
        <v>3</v>
      </c>
      <c r="M659" s="5">
        <v>204.97</v>
      </c>
      <c r="N659" s="4" t="s">
        <v>34</v>
      </c>
      <c r="O659" s="5">
        <v>0</v>
      </c>
      <c r="P659" s="5">
        <v>0</v>
      </c>
      <c r="Q659" s="5">
        <v>12.3</v>
      </c>
      <c r="R659" s="5">
        <v>217.27</v>
      </c>
      <c r="S659" s="4" t="s">
        <v>79</v>
      </c>
      <c r="T659" s="4" t="s">
        <v>36</v>
      </c>
      <c r="U659" s="4" t="s">
        <v>66</v>
      </c>
      <c r="V659" s="4" t="s">
        <v>245</v>
      </c>
      <c r="W659" s="5">
        <v>0</v>
      </c>
      <c r="X659" t="str">
        <f t="shared" si="30"/>
        <v>October</v>
      </c>
      <c r="Y659" t="str">
        <f t="shared" si="31"/>
        <v>Q4</v>
      </c>
      <c r="Z659" s="7">
        <f t="shared" si="32"/>
        <v>204.97</v>
      </c>
    </row>
    <row r="660" spans="1:26" x14ac:dyDescent="0.3">
      <c r="A660" s="2" t="s">
        <v>4075</v>
      </c>
      <c r="B660" s="8" t="s">
        <v>3927</v>
      </c>
      <c r="C660" s="2" t="s">
        <v>4076</v>
      </c>
      <c r="D660" s="2" t="s">
        <v>4077</v>
      </c>
      <c r="E660" s="2" t="s">
        <v>4078</v>
      </c>
      <c r="F660" s="2" t="s">
        <v>4079</v>
      </c>
      <c r="G660" s="2" t="s">
        <v>291</v>
      </c>
      <c r="H660" s="2" t="s">
        <v>292</v>
      </c>
      <c r="I660" s="2" t="s">
        <v>31</v>
      </c>
      <c r="J660" s="2" t="s">
        <v>632</v>
      </c>
      <c r="K660" s="2" t="s">
        <v>33</v>
      </c>
      <c r="L660" s="2">
        <v>1</v>
      </c>
      <c r="M660" s="3">
        <v>49.99</v>
      </c>
      <c r="N660" s="2" t="s">
        <v>78</v>
      </c>
      <c r="O660" s="3">
        <v>5</v>
      </c>
      <c r="P660" s="3">
        <v>4.99</v>
      </c>
      <c r="Q660" s="3">
        <v>3.15</v>
      </c>
      <c r="R660" s="3">
        <v>53.13</v>
      </c>
      <c r="S660" s="2" t="s">
        <v>64</v>
      </c>
      <c r="T660" s="2" t="s">
        <v>99</v>
      </c>
      <c r="U660" s="2" t="s">
        <v>317</v>
      </c>
      <c r="V660" s="2"/>
      <c r="W660" s="3">
        <v>0</v>
      </c>
      <c r="X660" t="str">
        <f t="shared" si="30"/>
        <v>November</v>
      </c>
      <c r="Y660" t="str">
        <f t="shared" si="31"/>
        <v>Q4</v>
      </c>
      <c r="Z660" s="7">
        <f t="shared" si="32"/>
        <v>44.99</v>
      </c>
    </row>
    <row r="661" spans="1:26" x14ac:dyDescent="0.3">
      <c r="A661" s="4" t="s">
        <v>4080</v>
      </c>
      <c r="B661" s="9" t="s">
        <v>342</v>
      </c>
      <c r="C661" s="4" t="s">
        <v>4081</v>
      </c>
      <c r="D661" s="4" t="s">
        <v>4082</v>
      </c>
      <c r="E661" s="4" t="s">
        <v>4083</v>
      </c>
      <c r="F661" s="4" t="s">
        <v>4084</v>
      </c>
      <c r="G661" s="4" t="s">
        <v>131</v>
      </c>
      <c r="H661" s="4" t="s">
        <v>88</v>
      </c>
      <c r="I661" s="4" t="s">
        <v>31</v>
      </c>
      <c r="J661" s="4" t="s">
        <v>4085</v>
      </c>
      <c r="K661" s="4" t="s">
        <v>122</v>
      </c>
      <c r="L661" s="4">
        <v>3</v>
      </c>
      <c r="M661" s="5">
        <v>172.97</v>
      </c>
      <c r="N661" s="4" t="s">
        <v>163</v>
      </c>
      <c r="O661" s="5">
        <v>34.590000000000003</v>
      </c>
      <c r="P661" s="5">
        <v>0</v>
      </c>
      <c r="Q661" s="5">
        <v>11.76</v>
      </c>
      <c r="R661" s="5">
        <v>150.13999999999999</v>
      </c>
      <c r="S661" s="4" t="s">
        <v>64</v>
      </c>
      <c r="T661" s="4" t="s">
        <v>99</v>
      </c>
      <c r="U661" s="4" t="s">
        <v>66</v>
      </c>
      <c r="V661" s="4" t="s">
        <v>649</v>
      </c>
      <c r="W661" s="5">
        <v>0</v>
      </c>
      <c r="X661" t="str">
        <f t="shared" si="30"/>
        <v>August</v>
      </c>
      <c r="Y661" t="str">
        <f t="shared" si="31"/>
        <v>Q3</v>
      </c>
      <c r="Z661" s="7">
        <f t="shared" si="32"/>
        <v>138.38</v>
      </c>
    </row>
    <row r="662" spans="1:26" x14ac:dyDescent="0.3">
      <c r="A662" s="2" t="s">
        <v>4086</v>
      </c>
      <c r="B662" s="8" t="s">
        <v>227</v>
      </c>
      <c r="C662" s="2" t="s">
        <v>4087</v>
      </c>
      <c r="D662" s="2" t="s">
        <v>4088</v>
      </c>
      <c r="E662" s="2" t="s">
        <v>4089</v>
      </c>
      <c r="F662" s="2" t="s">
        <v>4090</v>
      </c>
      <c r="G662" s="2" t="s">
        <v>74</v>
      </c>
      <c r="H662" s="2" t="s">
        <v>75</v>
      </c>
      <c r="I662" s="2" t="s">
        <v>31</v>
      </c>
      <c r="J662" s="2" t="s">
        <v>4091</v>
      </c>
      <c r="K662" s="2" t="s">
        <v>122</v>
      </c>
      <c r="L662" s="2">
        <v>2</v>
      </c>
      <c r="M662" s="3">
        <v>138.96</v>
      </c>
      <c r="N662" s="2" t="s">
        <v>34</v>
      </c>
      <c r="O662" s="3">
        <v>0</v>
      </c>
      <c r="P662" s="3">
        <v>0</v>
      </c>
      <c r="Q662" s="3">
        <v>11.81</v>
      </c>
      <c r="R662" s="3">
        <v>150.77000000000001</v>
      </c>
      <c r="S662" s="2" t="s">
        <v>123</v>
      </c>
      <c r="T662" s="2" t="s">
        <v>50</v>
      </c>
      <c r="U662" s="2" t="s">
        <v>66</v>
      </c>
      <c r="V662" s="2" t="s">
        <v>984</v>
      </c>
      <c r="W662" s="3">
        <v>0</v>
      </c>
      <c r="X662" t="str">
        <f t="shared" si="30"/>
        <v>May</v>
      </c>
      <c r="Y662" t="str">
        <f t="shared" si="31"/>
        <v>Q2</v>
      </c>
      <c r="Z662" s="7">
        <f t="shared" si="32"/>
        <v>138.96</v>
      </c>
    </row>
    <row r="663" spans="1:26" x14ac:dyDescent="0.3">
      <c r="A663" s="4" t="s">
        <v>4092</v>
      </c>
      <c r="B663" s="9" t="s">
        <v>2222</v>
      </c>
      <c r="C663" s="4" t="s">
        <v>4093</v>
      </c>
      <c r="D663" s="4" t="s">
        <v>4094</v>
      </c>
      <c r="E663" s="4" t="s">
        <v>4095</v>
      </c>
      <c r="F663" s="4" t="s">
        <v>4096</v>
      </c>
      <c r="G663" s="4" t="s">
        <v>676</v>
      </c>
      <c r="H663" s="4" t="s">
        <v>677</v>
      </c>
      <c r="I663" s="4" t="s">
        <v>31</v>
      </c>
      <c r="J663" s="4" t="s">
        <v>371</v>
      </c>
      <c r="K663" s="4" t="s">
        <v>122</v>
      </c>
      <c r="L663" s="4">
        <v>1</v>
      </c>
      <c r="M663" s="5">
        <v>109.99</v>
      </c>
      <c r="N663" s="4" t="s">
        <v>34</v>
      </c>
      <c r="O663" s="5">
        <v>0</v>
      </c>
      <c r="P663" s="5">
        <v>0</v>
      </c>
      <c r="Q663" s="5">
        <v>9.9</v>
      </c>
      <c r="R663" s="5">
        <v>119.89</v>
      </c>
      <c r="S663" s="4" t="s">
        <v>35</v>
      </c>
      <c r="T663" s="4" t="s">
        <v>36</v>
      </c>
      <c r="U663" s="4" t="s">
        <v>100</v>
      </c>
      <c r="V663" s="4"/>
      <c r="W663" s="5">
        <v>0</v>
      </c>
      <c r="X663" t="str">
        <f t="shared" si="30"/>
        <v>December</v>
      </c>
      <c r="Y663" t="str">
        <f t="shared" si="31"/>
        <v>Q4</v>
      </c>
      <c r="Z663" s="7">
        <f t="shared" si="32"/>
        <v>109.99</v>
      </c>
    </row>
    <row r="664" spans="1:26" x14ac:dyDescent="0.3">
      <c r="A664" s="2" t="s">
        <v>4097</v>
      </c>
      <c r="B664" s="8" t="s">
        <v>342</v>
      </c>
      <c r="C664" s="2" t="s">
        <v>4098</v>
      </c>
      <c r="D664" s="2" t="s">
        <v>2299</v>
      </c>
      <c r="E664" s="2" t="s">
        <v>4099</v>
      </c>
      <c r="F664" s="2" t="s">
        <v>4100</v>
      </c>
      <c r="G664" s="2" t="s">
        <v>676</v>
      </c>
      <c r="H664" s="2" t="s">
        <v>677</v>
      </c>
      <c r="I664" s="2" t="s">
        <v>31</v>
      </c>
      <c r="J664" s="2" t="s">
        <v>4101</v>
      </c>
      <c r="K664" s="2" t="s">
        <v>143</v>
      </c>
      <c r="L664" s="2">
        <v>2</v>
      </c>
      <c r="M664" s="3">
        <v>279.97000000000003</v>
      </c>
      <c r="N664" s="2" t="s">
        <v>63</v>
      </c>
      <c r="O664" s="3">
        <v>69.989999999999995</v>
      </c>
      <c r="P664" s="3">
        <v>0</v>
      </c>
      <c r="Q664" s="3">
        <v>12.6</v>
      </c>
      <c r="R664" s="3">
        <v>222.58</v>
      </c>
      <c r="S664" s="2" t="s">
        <v>35</v>
      </c>
      <c r="T664" s="2" t="s">
        <v>99</v>
      </c>
      <c r="U664" s="2" t="s">
        <v>66</v>
      </c>
      <c r="V664" s="2" t="s">
        <v>296</v>
      </c>
      <c r="W664" s="3">
        <v>0</v>
      </c>
      <c r="X664" t="str">
        <f t="shared" si="30"/>
        <v>August</v>
      </c>
      <c r="Y664" t="str">
        <f t="shared" si="31"/>
        <v>Q3</v>
      </c>
      <c r="Z664" s="7">
        <f t="shared" si="32"/>
        <v>209.98000000000002</v>
      </c>
    </row>
    <row r="665" spans="1:26" x14ac:dyDescent="0.3">
      <c r="A665" s="4" t="s">
        <v>4102</v>
      </c>
      <c r="B665" s="9" t="s">
        <v>1271</v>
      </c>
      <c r="C665" s="4" t="s">
        <v>4103</v>
      </c>
      <c r="D665" s="4" t="s">
        <v>4104</v>
      </c>
      <c r="E665" s="4" t="s">
        <v>4105</v>
      </c>
      <c r="F665" s="4" t="s">
        <v>4106</v>
      </c>
      <c r="G665" s="4" t="s">
        <v>45</v>
      </c>
      <c r="H665" s="4" t="s">
        <v>46</v>
      </c>
      <c r="I665" s="4" t="s">
        <v>31</v>
      </c>
      <c r="J665" s="4" t="s">
        <v>4107</v>
      </c>
      <c r="K665" s="4" t="s">
        <v>62</v>
      </c>
      <c r="L665" s="4">
        <v>2</v>
      </c>
      <c r="M665" s="5">
        <v>194.97</v>
      </c>
      <c r="N665" s="4" t="s">
        <v>78</v>
      </c>
      <c r="O665" s="5">
        <v>19.5</v>
      </c>
      <c r="P665" s="5">
        <v>0</v>
      </c>
      <c r="Q665" s="5">
        <v>17.55</v>
      </c>
      <c r="R665" s="5">
        <v>193.02</v>
      </c>
      <c r="S665" s="4" t="s">
        <v>111</v>
      </c>
      <c r="T665" s="4" t="s">
        <v>99</v>
      </c>
      <c r="U665" s="4" t="s">
        <v>66</v>
      </c>
      <c r="V665" s="4" t="s">
        <v>52</v>
      </c>
      <c r="W665" s="5">
        <v>0</v>
      </c>
      <c r="X665" t="str">
        <f t="shared" si="30"/>
        <v>November</v>
      </c>
      <c r="Y665" t="str">
        <f t="shared" si="31"/>
        <v>Q4</v>
      </c>
      <c r="Z665" s="7">
        <f t="shared" si="32"/>
        <v>175.47</v>
      </c>
    </row>
    <row r="666" spans="1:26" x14ac:dyDescent="0.3">
      <c r="A666" s="2" t="s">
        <v>4108</v>
      </c>
      <c r="B666" s="8" t="s">
        <v>617</v>
      </c>
      <c r="C666" s="2" t="s">
        <v>4109</v>
      </c>
      <c r="D666" s="2" t="s">
        <v>4110</v>
      </c>
      <c r="E666" s="2" t="s">
        <v>4111</v>
      </c>
      <c r="F666" s="2" t="s">
        <v>4112</v>
      </c>
      <c r="G666" s="2" t="s">
        <v>119</v>
      </c>
      <c r="H666" s="2" t="s">
        <v>120</v>
      </c>
      <c r="I666" s="2" t="s">
        <v>31</v>
      </c>
      <c r="J666" s="2" t="s">
        <v>4113</v>
      </c>
      <c r="K666" s="2" t="s">
        <v>209</v>
      </c>
      <c r="L666" s="2">
        <v>3</v>
      </c>
      <c r="M666" s="3">
        <v>265.97000000000003</v>
      </c>
      <c r="N666" s="2" t="s">
        <v>34</v>
      </c>
      <c r="O666" s="3">
        <v>0</v>
      </c>
      <c r="P666" s="3">
        <v>0</v>
      </c>
      <c r="Q666" s="3">
        <v>26.6</v>
      </c>
      <c r="R666" s="3">
        <v>292.57</v>
      </c>
      <c r="S666" s="2" t="s">
        <v>123</v>
      </c>
      <c r="T666" s="2" t="s">
        <v>99</v>
      </c>
      <c r="U666" s="2" t="s">
        <v>66</v>
      </c>
      <c r="V666" s="2" t="s">
        <v>2325</v>
      </c>
      <c r="W666" s="3">
        <v>0</v>
      </c>
      <c r="X666" t="str">
        <f t="shared" si="30"/>
        <v>November</v>
      </c>
      <c r="Y666" t="str">
        <f t="shared" si="31"/>
        <v>Q4</v>
      </c>
      <c r="Z666" s="7">
        <f t="shared" si="32"/>
        <v>265.97000000000003</v>
      </c>
    </row>
    <row r="667" spans="1:26" x14ac:dyDescent="0.3">
      <c r="A667" s="4" t="s">
        <v>4114</v>
      </c>
      <c r="B667" s="9" t="s">
        <v>133</v>
      </c>
      <c r="C667" s="4" t="s">
        <v>4115</v>
      </c>
      <c r="D667" s="4" t="s">
        <v>4116</v>
      </c>
      <c r="E667" s="4" t="s">
        <v>4117</v>
      </c>
      <c r="F667" s="4" t="s">
        <v>4118</v>
      </c>
      <c r="G667" s="4" t="s">
        <v>45</v>
      </c>
      <c r="H667" s="4" t="s">
        <v>46</v>
      </c>
      <c r="I667" s="4" t="s">
        <v>31</v>
      </c>
      <c r="J667" s="4" t="s">
        <v>4119</v>
      </c>
      <c r="K667" s="4" t="s">
        <v>209</v>
      </c>
      <c r="L667" s="4">
        <v>2</v>
      </c>
      <c r="M667" s="5">
        <v>89.97</v>
      </c>
      <c r="N667" s="4" t="s">
        <v>34</v>
      </c>
      <c r="O667" s="5">
        <v>0</v>
      </c>
      <c r="P667" s="5">
        <v>0</v>
      </c>
      <c r="Q667" s="5">
        <v>7.2</v>
      </c>
      <c r="R667" s="5">
        <v>97.17</v>
      </c>
      <c r="S667" s="4" t="s">
        <v>64</v>
      </c>
      <c r="T667" s="4" t="s">
        <v>50</v>
      </c>
      <c r="U667" s="4" t="s">
        <v>66</v>
      </c>
      <c r="V667" s="4" t="s">
        <v>470</v>
      </c>
      <c r="W667" s="5">
        <v>0</v>
      </c>
      <c r="X667" t="str">
        <f t="shared" si="30"/>
        <v>December</v>
      </c>
      <c r="Y667" t="str">
        <f t="shared" si="31"/>
        <v>Q4</v>
      </c>
      <c r="Z667" s="7">
        <f t="shared" si="32"/>
        <v>89.97</v>
      </c>
    </row>
    <row r="668" spans="1:26" x14ac:dyDescent="0.3">
      <c r="A668" s="2" t="s">
        <v>4120</v>
      </c>
      <c r="B668" s="8" t="s">
        <v>2210</v>
      </c>
      <c r="C668" s="2" t="s">
        <v>4121</v>
      </c>
      <c r="D668" s="2" t="s">
        <v>4122</v>
      </c>
      <c r="E668" s="2" t="s">
        <v>4123</v>
      </c>
      <c r="F668" s="2" t="s">
        <v>4124</v>
      </c>
      <c r="G668" s="2" t="s">
        <v>291</v>
      </c>
      <c r="H668" s="2" t="s">
        <v>292</v>
      </c>
      <c r="I668" s="2" t="s">
        <v>31</v>
      </c>
      <c r="J668" s="2" t="s">
        <v>4125</v>
      </c>
      <c r="K668" s="2" t="s">
        <v>62</v>
      </c>
      <c r="L668" s="2">
        <v>2</v>
      </c>
      <c r="M668" s="3">
        <v>139.97</v>
      </c>
      <c r="N668" s="2" t="s">
        <v>34</v>
      </c>
      <c r="O668" s="3">
        <v>0</v>
      </c>
      <c r="P668" s="3">
        <v>0</v>
      </c>
      <c r="Q668" s="3">
        <v>11.2</v>
      </c>
      <c r="R668" s="3">
        <v>151.16999999999999</v>
      </c>
      <c r="S668" s="2" t="s">
        <v>35</v>
      </c>
      <c r="T668" s="2" t="s">
        <v>144</v>
      </c>
      <c r="U668" s="2" t="s">
        <v>66</v>
      </c>
      <c r="V668" s="2" t="s">
        <v>1215</v>
      </c>
      <c r="W668" s="3">
        <v>0</v>
      </c>
      <c r="X668" t="str">
        <f t="shared" si="30"/>
        <v>September</v>
      </c>
      <c r="Y668" t="str">
        <f t="shared" si="31"/>
        <v>Q3</v>
      </c>
      <c r="Z668" s="7">
        <f t="shared" si="32"/>
        <v>139.97</v>
      </c>
    </row>
    <row r="669" spans="1:26" x14ac:dyDescent="0.3">
      <c r="A669" s="4" t="s">
        <v>4126</v>
      </c>
      <c r="B669" s="9" t="s">
        <v>277</v>
      </c>
      <c r="C669" s="4" t="s">
        <v>4127</v>
      </c>
      <c r="D669" s="4" t="s">
        <v>42</v>
      </c>
      <c r="E669" s="4" t="s">
        <v>4128</v>
      </c>
      <c r="F669" s="4" t="s">
        <v>4129</v>
      </c>
      <c r="G669" s="4" t="s">
        <v>224</v>
      </c>
      <c r="H669" s="4" t="s">
        <v>225</v>
      </c>
      <c r="I669" s="4" t="s">
        <v>31</v>
      </c>
      <c r="J669" s="4" t="s">
        <v>1232</v>
      </c>
      <c r="K669" s="4" t="s">
        <v>77</v>
      </c>
      <c r="L669" s="4">
        <v>1</v>
      </c>
      <c r="M669" s="5">
        <v>34.99</v>
      </c>
      <c r="N669" s="4" t="s">
        <v>163</v>
      </c>
      <c r="O669" s="5">
        <v>7</v>
      </c>
      <c r="P669" s="5">
        <v>7.99</v>
      </c>
      <c r="Q669" s="5">
        <v>1.68</v>
      </c>
      <c r="R669" s="5">
        <v>37.659999999999997</v>
      </c>
      <c r="S669" s="4" t="s">
        <v>123</v>
      </c>
      <c r="T669" s="4" t="s">
        <v>36</v>
      </c>
      <c r="U669" s="4" t="s">
        <v>51</v>
      </c>
      <c r="V669" s="4" t="s">
        <v>366</v>
      </c>
      <c r="W669" s="5">
        <v>0</v>
      </c>
      <c r="X669" t="str">
        <f t="shared" si="30"/>
        <v>March</v>
      </c>
      <c r="Y669" t="str">
        <f t="shared" si="31"/>
        <v>Q1</v>
      </c>
      <c r="Z669" s="7">
        <f t="shared" si="32"/>
        <v>27.990000000000002</v>
      </c>
    </row>
    <row r="670" spans="1:26" x14ac:dyDescent="0.3">
      <c r="A670" s="2" t="s">
        <v>4130</v>
      </c>
      <c r="B670" s="8" t="s">
        <v>965</v>
      </c>
      <c r="C670" s="2" t="s">
        <v>4131</v>
      </c>
      <c r="D670" s="2" t="s">
        <v>2343</v>
      </c>
      <c r="E670" s="2" t="s">
        <v>4132</v>
      </c>
      <c r="F670" s="2" t="s">
        <v>4133</v>
      </c>
      <c r="G670" s="2" t="s">
        <v>171</v>
      </c>
      <c r="H670" s="2" t="s">
        <v>88</v>
      </c>
      <c r="I670" s="2" t="s">
        <v>31</v>
      </c>
      <c r="J670" s="2" t="s">
        <v>883</v>
      </c>
      <c r="K670" s="2" t="s">
        <v>110</v>
      </c>
      <c r="L670" s="2">
        <v>1</v>
      </c>
      <c r="M670" s="3">
        <v>65.98</v>
      </c>
      <c r="N670" s="2" t="s">
        <v>78</v>
      </c>
      <c r="O670" s="3">
        <v>6.6</v>
      </c>
      <c r="P670" s="3">
        <v>5.99</v>
      </c>
      <c r="Q670" s="3">
        <v>4.75</v>
      </c>
      <c r="R670" s="3">
        <v>70.12</v>
      </c>
      <c r="S670" s="2" t="s">
        <v>64</v>
      </c>
      <c r="T670" s="2" t="s">
        <v>173</v>
      </c>
      <c r="U670" s="2" t="s">
        <v>66</v>
      </c>
      <c r="V670" s="2" t="s">
        <v>3228</v>
      </c>
      <c r="W670" s="3">
        <v>0</v>
      </c>
      <c r="X670" t="str">
        <f t="shared" si="30"/>
        <v>September</v>
      </c>
      <c r="Y670" t="str">
        <f t="shared" si="31"/>
        <v>Q3</v>
      </c>
      <c r="Z670" s="7">
        <f t="shared" si="32"/>
        <v>59.38</v>
      </c>
    </row>
    <row r="671" spans="1:26" x14ac:dyDescent="0.3">
      <c r="A671" s="4" t="s">
        <v>4134</v>
      </c>
      <c r="B671" s="9" t="s">
        <v>1618</v>
      </c>
      <c r="C671" s="4" t="s">
        <v>4135</v>
      </c>
      <c r="D671" s="4" t="s">
        <v>4136</v>
      </c>
      <c r="E671" s="4" t="s">
        <v>4137</v>
      </c>
      <c r="F671" s="4" t="s">
        <v>4138</v>
      </c>
      <c r="G671" s="4" t="s">
        <v>45</v>
      </c>
      <c r="H671" s="4" t="s">
        <v>46</v>
      </c>
      <c r="I671" s="4" t="s">
        <v>31</v>
      </c>
      <c r="J671" s="4" t="s">
        <v>4139</v>
      </c>
      <c r="K671" s="4" t="s">
        <v>110</v>
      </c>
      <c r="L671" s="4">
        <v>2</v>
      </c>
      <c r="M671" s="5">
        <v>107.98</v>
      </c>
      <c r="N671" s="4" t="s">
        <v>78</v>
      </c>
      <c r="O671" s="5">
        <v>10.8</v>
      </c>
      <c r="P671" s="5">
        <v>0</v>
      </c>
      <c r="Q671" s="5">
        <v>7.77</v>
      </c>
      <c r="R671" s="5">
        <v>104.95</v>
      </c>
      <c r="S671" s="4" t="s">
        <v>64</v>
      </c>
      <c r="T671" s="4" t="s">
        <v>36</v>
      </c>
      <c r="U671" s="4" t="s">
        <v>66</v>
      </c>
      <c r="V671" s="4" t="s">
        <v>2176</v>
      </c>
      <c r="W671" s="5">
        <v>0</v>
      </c>
      <c r="X671" t="str">
        <f t="shared" si="30"/>
        <v>February</v>
      </c>
      <c r="Y671" t="str">
        <f t="shared" si="31"/>
        <v>Q1</v>
      </c>
      <c r="Z671" s="7">
        <f t="shared" si="32"/>
        <v>97.18</v>
      </c>
    </row>
    <row r="672" spans="1:26" x14ac:dyDescent="0.3">
      <c r="A672" s="2" t="s">
        <v>4140</v>
      </c>
      <c r="B672" s="8" t="s">
        <v>4141</v>
      </c>
      <c r="C672" s="2" t="s">
        <v>4142</v>
      </c>
      <c r="D672" s="2" t="s">
        <v>1266</v>
      </c>
      <c r="E672" s="2" t="s">
        <v>4143</v>
      </c>
      <c r="F672" s="2" t="s">
        <v>4144</v>
      </c>
      <c r="G672" s="2" t="s">
        <v>119</v>
      </c>
      <c r="H672" s="2" t="s">
        <v>120</v>
      </c>
      <c r="I672" s="2" t="s">
        <v>31</v>
      </c>
      <c r="J672" s="2" t="s">
        <v>4145</v>
      </c>
      <c r="K672" s="2" t="s">
        <v>122</v>
      </c>
      <c r="L672" s="2">
        <v>4</v>
      </c>
      <c r="M672" s="3">
        <v>190.95</v>
      </c>
      <c r="N672" s="2" t="s">
        <v>152</v>
      </c>
      <c r="O672" s="3">
        <v>9.5500000000000007</v>
      </c>
      <c r="P672" s="3">
        <v>0</v>
      </c>
      <c r="Q672" s="3">
        <v>15.42</v>
      </c>
      <c r="R672" s="3">
        <v>196.82</v>
      </c>
      <c r="S672" s="2" t="s">
        <v>64</v>
      </c>
      <c r="T672" s="2" t="s">
        <v>144</v>
      </c>
      <c r="U672" s="2" t="s">
        <v>317</v>
      </c>
      <c r="V672" s="2"/>
      <c r="W672" s="3">
        <v>0</v>
      </c>
      <c r="X672" t="str">
        <f t="shared" si="30"/>
        <v>September</v>
      </c>
      <c r="Y672" t="str">
        <f t="shared" si="31"/>
        <v>Q3</v>
      </c>
      <c r="Z672" s="7">
        <f t="shared" si="32"/>
        <v>181.39999999999998</v>
      </c>
    </row>
    <row r="673" spans="1:26" x14ac:dyDescent="0.3">
      <c r="A673" s="4" t="s">
        <v>4146</v>
      </c>
      <c r="B673" s="9" t="s">
        <v>562</v>
      </c>
      <c r="C673" s="4" t="s">
        <v>4147</v>
      </c>
      <c r="D673" s="4" t="s">
        <v>4148</v>
      </c>
      <c r="E673" s="4" t="s">
        <v>4149</v>
      </c>
      <c r="F673" s="4" t="s">
        <v>4150</v>
      </c>
      <c r="G673" s="4" t="s">
        <v>59</v>
      </c>
      <c r="H673" s="4" t="s">
        <v>60</v>
      </c>
      <c r="I673" s="4" t="s">
        <v>31</v>
      </c>
      <c r="J673" s="4" t="s">
        <v>234</v>
      </c>
      <c r="K673" s="4" t="s">
        <v>62</v>
      </c>
      <c r="L673" s="4">
        <v>1</v>
      </c>
      <c r="M673" s="5">
        <v>49.98</v>
      </c>
      <c r="N673" s="4" t="s">
        <v>63</v>
      </c>
      <c r="O673" s="5">
        <v>12.49</v>
      </c>
      <c r="P673" s="5">
        <v>4.99</v>
      </c>
      <c r="Q673" s="5">
        <v>3.19</v>
      </c>
      <c r="R673" s="5">
        <v>45.67</v>
      </c>
      <c r="S673" s="4" t="s">
        <v>123</v>
      </c>
      <c r="T673" s="4" t="s">
        <v>99</v>
      </c>
      <c r="U673" s="4" t="s">
        <v>317</v>
      </c>
      <c r="V673" s="4"/>
      <c r="W673" s="5">
        <v>0</v>
      </c>
      <c r="X673" t="str">
        <f t="shared" si="30"/>
        <v>June</v>
      </c>
      <c r="Y673" t="str">
        <f t="shared" si="31"/>
        <v>Q2</v>
      </c>
      <c r="Z673" s="7">
        <f t="shared" si="32"/>
        <v>37.489999999999995</v>
      </c>
    </row>
    <row r="674" spans="1:26" x14ac:dyDescent="0.3">
      <c r="A674" s="2" t="s">
        <v>4151</v>
      </c>
      <c r="B674" s="8" t="s">
        <v>2729</v>
      </c>
      <c r="C674" s="2" t="s">
        <v>4152</v>
      </c>
      <c r="D674" s="2" t="s">
        <v>4153</v>
      </c>
      <c r="E674" s="2" t="s">
        <v>4154</v>
      </c>
      <c r="F674" s="2" t="s">
        <v>4155</v>
      </c>
      <c r="G674" s="2" t="s">
        <v>207</v>
      </c>
      <c r="H674" s="2" t="s">
        <v>141</v>
      </c>
      <c r="I674" s="2" t="s">
        <v>31</v>
      </c>
      <c r="J674" s="2" t="s">
        <v>3676</v>
      </c>
      <c r="K674" s="2" t="s">
        <v>110</v>
      </c>
      <c r="L674" s="2">
        <v>1</v>
      </c>
      <c r="M674" s="3">
        <v>79.98</v>
      </c>
      <c r="N674" s="2" t="s">
        <v>34</v>
      </c>
      <c r="O674" s="3">
        <v>0</v>
      </c>
      <c r="P674" s="3">
        <v>0</v>
      </c>
      <c r="Q674" s="3">
        <v>8</v>
      </c>
      <c r="R674" s="3">
        <v>87.98</v>
      </c>
      <c r="S674" s="2" t="s">
        <v>35</v>
      </c>
      <c r="T674" s="2" t="s">
        <v>50</v>
      </c>
      <c r="U674" s="2" t="s">
        <v>66</v>
      </c>
      <c r="V674" s="2" t="s">
        <v>4156</v>
      </c>
      <c r="W674" s="3">
        <v>0</v>
      </c>
      <c r="X674" t="str">
        <f t="shared" si="30"/>
        <v>July</v>
      </c>
      <c r="Y674" t="str">
        <f t="shared" si="31"/>
        <v>Q3</v>
      </c>
      <c r="Z674" s="7">
        <f t="shared" si="32"/>
        <v>79.98</v>
      </c>
    </row>
    <row r="675" spans="1:26" x14ac:dyDescent="0.3">
      <c r="A675" s="4" t="s">
        <v>4157</v>
      </c>
      <c r="B675" s="9" t="s">
        <v>2149</v>
      </c>
      <c r="C675" s="4" t="s">
        <v>4158</v>
      </c>
      <c r="D675" s="4" t="s">
        <v>4159</v>
      </c>
      <c r="E675" s="4" t="s">
        <v>4160</v>
      </c>
      <c r="F675" s="4" t="s">
        <v>4161</v>
      </c>
      <c r="G675" s="4" t="s">
        <v>403</v>
      </c>
      <c r="H675" s="4" t="s">
        <v>404</v>
      </c>
      <c r="I675" s="4" t="s">
        <v>31</v>
      </c>
      <c r="J675" s="4" t="s">
        <v>1141</v>
      </c>
      <c r="K675" s="4" t="s">
        <v>122</v>
      </c>
      <c r="L675" s="4">
        <v>1</v>
      </c>
      <c r="M675" s="5">
        <v>74.989999999999995</v>
      </c>
      <c r="N675" s="4" t="s">
        <v>34</v>
      </c>
      <c r="O675" s="5">
        <v>0</v>
      </c>
      <c r="P675" s="5">
        <v>5.99</v>
      </c>
      <c r="Q675" s="5">
        <v>5.25</v>
      </c>
      <c r="R675" s="5">
        <v>86.23</v>
      </c>
      <c r="S675" s="4" t="s">
        <v>111</v>
      </c>
      <c r="T675" s="4" t="s">
        <v>173</v>
      </c>
      <c r="U675" s="4" t="s">
        <v>66</v>
      </c>
      <c r="V675" s="4" t="s">
        <v>789</v>
      </c>
      <c r="W675" s="5">
        <v>0</v>
      </c>
      <c r="X675" t="str">
        <f t="shared" si="30"/>
        <v>February</v>
      </c>
      <c r="Y675" t="str">
        <f t="shared" si="31"/>
        <v>Q1</v>
      </c>
      <c r="Z675" s="7">
        <f t="shared" si="32"/>
        <v>74.989999999999995</v>
      </c>
    </row>
    <row r="676" spans="1:26" x14ac:dyDescent="0.3">
      <c r="A676" s="2" t="s">
        <v>4162</v>
      </c>
      <c r="B676" s="8" t="s">
        <v>135</v>
      </c>
      <c r="C676" s="2" t="s">
        <v>4163</v>
      </c>
      <c r="D676" s="2" t="s">
        <v>4164</v>
      </c>
      <c r="E676" s="2" t="s">
        <v>4165</v>
      </c>
      <c r="F676" s="2" t="s">
        <v>4166</v>
      </c>
      <c r="G676" s="2" t="s">
        <v>403</v>
      </c>
      <c r="H676" s="2" t="s">
        <v>404</v>
      </c>
      <c r="I676" s="2" t="s">
        <v>31</v>
      </c>
      <c r="J676" s="2" t="s">
        <v>4167</v>
      </c>
      <c r="K676" s="2" t="s">
        <v>33</v>
      </c>
      <c r="L676" s="2">
        <v>2</v>
      </c>
      <c r="M676" s="3">
        <v>107.97</v>
      </c>
      <c r="N676" s="2" t="s">
        <v>163</v>
      </c>
      <c r="O676" s="3">
        <v>21.59</v>
      </c>
      <c r="P676" s="3">
        <v>0</v>
      </c>
      <c r="Q676" s="3">
        <v>8.64</v>
      </c>
      <c r="R676" s="3">
        <v>95.02</v>
      </c>
      <c r="S676" s="2" t="s">
        <v>35</v>
      </c>
      <c r="T676" s="2" t="s">
        <v>65</v>
      </c>
      <c r="U676" s="2" t="s">
        <v>317</v>
      </c>
      <c r="V676" s="2"/>
      <c r="W676" s="3">
        <v>0</v>
      </c>
      <c r="X676" t="str">
        <f t="shared" si="30"/>
        <v>August</v>
      </c>
      <c r="Y676" t="str">
        <f t="shared" si="31"/>
        <v>Q3</v>
      </c>
      <c r="Z676" s="7">
        <f t="shared" si="32"/>
        <v>86.38</v>
      </c>
    </row>
    <row r="677" spans="1:26" x14ac:dyDescent="0.3">
      <c r="A677" s="4" t="s">
        <v>4168</v>
      </c>
      <c r="B677" s="9" t="s">
        <v>534</v>
      </c>
      <c r="C677" s="4" t="s">
        <v>4169</v>
      </c>
      <c r="D677" s="4" t="s">
        <v>4170</v>
      </c>
      <c r="E677" s="4" t="s">
        <v>4171</v>
      </c>
      <c r="F677" s="4" t="s">
        <v>4172</v>
      </c>
      <c r="G677" s="4" t="s">
        <v>291</v>
      </c>
      <c r="H677" s="4" t="s">
        <v>292</v>
      </c>
      <c r="I677" s="4" t="s">
        <v>31</v>
      </c>
      <c r="J677" s="4" t="s">
        <v>4173</v>
      </c>
      <c r="K677" s="4" t="s">
        <v>143</v>
      </c>
      <c r="L677" s="4">
        <v>2</v>
      </c>
      <c r="M677" s="5">
        <v>84.98</v>
      </c>
      <c r="N677" s="4" t="s">
        <v>152</v>
      </c>
      <c r="O677" s="5">
        <v>4.25</v>
      </c>
      <c r="P677" s="5">
        <v>0</v>
      </c>
      <c r="Q677" s="5">
        <v>4.84</v>
      </c>
      <c r="R677" s="5">
        <v>85.57</v>
      </c>
      <c r="S677" s="4" t="s">
        <v>35</v>
      </c>
      <c r="T677" s="4" t="s">
        <v>36</v>
      </c>
      <c r="U677" s="4" t="s">
        <v>66</v>
      </c>
      <c r="V677" s="4" t="s">
        <v>431</v>
      </c>
      <c r="W677" s="5">
        <v>0</v>
      </c>
      <c r="X677" t="str">
        <f t="shared" si="30"/>
        <v>June</v>
      </c>
      <c r="Y677" t="str">
        <f t="shared" si="31"/>
        <v>Q2</v>
      </c>
      <c r="Z677" s="7">
        <f t="shared" si="32"/>
        <v>80.73</v>
      </c>
    </row>
    <row r="678" spans="1:26" x14ac:dyDescent="0.3">
      <c r="A678" s="2" t="s">
        <v>4174</v>
      </c>
      <c r="B678" s="8" t="s">
        <v>736</v>
      </c>
      <c r="C678" s="2" t="s">
        <v>4175</v>
      </c>
      <c r="D678" s="2" t="s">
        <v>4176</v>
      </c>
      <c r="E678" s="2" t="s">
        <v>4177</v>
      </c>
      <c r="F678" s="2" t="s">
        <v>4178</v>
      </c>
      <c r="G678" s="2" t="s">
        <v>59</v>
      </c>
      <c r="H678" s="2" t="s">
        <v>60</v>
      </c>
      <c r="I678" s="2" t="s">
        <v>31</v>
      </c>
      <c r="J678" s="2" t="s">
        <v>4179</v>
      </c>
      <c r="K678" s="2" t="s">
        <v>209</v>
      </c>
      <c r="L678" s="2">
        <v>2</v>
      </c>
      <c r="M678" s="3">
        <v>249.98</v>
      </c>
      <c r="N678" s="2" t="s">
        <v>49</v>
      </c>
      <c r="O678" s="3">
        <v>37.5</v>
      </c>
      <c r="P678" s="3">
        <v>0</v>
      </c>
      <c r="Q678" s="3">
        <v>12.75</v>
      </c>
      <c r="R678" s="3">
        <v>225.23</v>
      </c>
      <c r="S678" s="2" t="s">
        <v>35</v>
      </c>
      <c r="T678" s="2" t="s">
        <v>36</v>
      </c>
      <c r="U678" s="2" t="s">
        <v>317</v>
      </c>
      <c r="V678" s="2"/>
      <c r="W678" s="3">
        <v>0</v>
      </c>
      <c r="X678" t="str">
        <f t="shared" si="30"/>
        <v>January</v>
      </c>
      <c r="Y678" t="str">
        <f t="shared" si="31"/>
        <v>Q1</v>
      </c>
      <c r="Z678" s="7">
        <f t="shared" si="32"/>
        <v>212.48</v>
      </c>
    </row>
    <row r="679" spans="1:26" x14ac:dyDescent="0.3">
      <c r="A679" s="4" t="s">
        <v>4180</v>
      </c>
      <c r="B679" s="9" t="s">
        <v>849</v>
      </c>
      <c r="C679" s="4" t="s">
        <v>4181</v>
      </c>
      <c r="D679" s="4" t="s">
        <v>4182</v>
      </c>
      <c r="E679" s="4" t="s">
        <v>4183</v>
      </c>
      <c r="F679" s="4" t="s">
        <v>4184</v>
      </c>
      <c r="G679" s="4" t="s">
        <v>1730</v>
      </c>
      <c r="H679" s="4" t="s">
        <v>161</v>
      </c>
      <c r="I679" s="4" t="s">
        <v>31</v>
      </c>
      <c r="J679" s="4" t="s">
        <v>142</v>
      </c>
      <c r="K679" s="4" t="s">
        <v>143</v>
      </c>
      <c r="L679" s="4">
        <v>1</v>
      </c>
      <c r="M679" s="5">
        <v>159.97999999999999</v>
      </c>
      <c r="N679" s="4" t="s">
        <v>163</v>
      </c>
      <c r="O679" s="5">
        <v>32</v>
      </c>
      <c r="P679" s="5">
        <v>0</v>
      </c>
      <c r="Q679" s="5">
        <v>7.68</v>
      </c>
      <c r="R679" s="5">
        <v>135.66</v>
      </c>
      <c r="S679" s="4" t="s">
        <v>35</v>
      </c>
      <c r="T679" s="4" t="s">
        <v>144</v>
      </c>
      <c r="U679" s="4" t="s">
        <v>317</v>
      </c>
      <c r="V679" s="4"/>
      <c r="W679" s="5">
        <v>0</v>
      </c>
      <c r="X679" t="str">
        <f t="shared" si="30"/>
        <v>March</v>
      </c>
      <c r="Y679" t="str">
        <f t="shared" si="31"/>
        <v>Q1</v>
      </c>
      <c r="Z679" s="7">
        <f t="shared" si="32"/>
        <v>127.97999999999999</v>
      </c>
    </row>
    <row r="680" spans="1:26" x14ac:dyDescent="0.3">
      <c r="A680" s="2" t="s">
        <v>4185</v>
      </c>
      <c r="B680" s="8" t="s">
        <v>335</v>
      </c>
      <c r="C680" s="2" t="s">
        <v>4186</v>
      </c>
      <c r="D680" s="2" t="s">
        <v>4187</v>
      </c>
      <c r="E680" s="2" t="s">
        <v>4188</v>
      </c>
      <c r="F680" s="2" t="s">
        <v>4189</v>
      </c>
      <c r="G680" s="2" t="s">
        <v>640</v>
      </c>
      <c r="H680" s="2" t="s">
        <v>161</v>
      </c>
      <c r="I680" s="2" t="s">
        <v>31</v>
      </c>
      <c r="J680" s="2" t="s">
        <v>4190</v>
      </c>
      <c r="K680" s="2" t="s">
        <v>364</v>
      </c>
      <c r="L680" s="2">
        <v>4</v>
      </c>
      <c r="M680" s="3">
        <v>149.96</v>
      </c>
      <c r="N680" s="2" t="s">
        <v>163</v>
      </c>
      <c r="O680" s="3">
        <v>29.99</v>
      </c>
      <c r="P680" s="3">
        <v>0</v>
      </c>
      <c r="Q680" s="3">
        <v>10.8</v>
      </c>
      <c r="R680" s="3">
        <v>130.77000000000001</v>
      </c>
      <c r="S680" s="2" t="s">
        <v>123</v>
      </c>
      <c r="T680" s="2" t="s">
        <v>173</v>
      </c>
      <c r="U680" s="2" t="s">
        <v>51</v>
      </c>
      <c r="V680" s="2" t="s">
        <v>1573</v>
      </c>
      <c r="W680" s="3">
        <v>0</v>
      </c>
      <c r="X680" t="str">
        <f t="shared" si="30"/>
        <v>September</v>
      </c>
      <c r="Y680" t="str">
        <f t="shared" si="31"/>
        <v>Q3</v>
      </c>
      <c r="Z680" s="7">
        <f t="shared" si="32"/>
        <v>119.97000000000001</v>
      </c>
    </row>
    <row r="681" spans="1:26" x14ac:dyDescent="0.3">
      <c r="A681" s="4" t="s">
        <v>4191</v>
      </c>
      <c r="B681" s="9" t="s">
        <v>1830</v>
      </c>
      <c r="C681" s="4" t="s">
        <v>4192</v>
      </c>
      <c r="D681" s="4" t="s">
        <v>980</v>
      </c>
      <c r="E681" s="4" t="s">
        <v>4193</v>
      </c>
      <c r="F681" s="4" t="s">
        <v>4194</v>
      </c>
      <c r="G681" s="4" t="s">
        <v>347</v>
      </c>
      <c r="H681" s="4" t="s">
        <v>60</v>
      </c>
      <c r="I681" s="4" t="s">
        <v>31</v>
      </c>
      <c r="J681" s="4" t="s">
        <v>234</v>
      </c>
      <c r="K681" s="4" t="s">
        <v>62</v>
      </c>
      <c r="L681" s="4">
        <v>1</v>
      </c>
      <c r="M681" s="5">
        <v>49.98</v>
      </c>
      <c r="N681" s="4" t="s">
        <v>78</v>
      </c>
      <c r="O681" s="5">
        <v>5</v>
      </c>
      <c r="P681" s="5">
        <v>5.99</v>
      </c>
      <c r="Q681" s="5">
        <v>4.05</v>
      </c>
      <c r="R681" s="5">
        <v>55.02</v>
      </c>
      <c r="S681" s="4" t="s">
        <v>332</v>
      </c>
      <c r="T681" s="4" t="s">
        <v>144</v>
      </c>
      <c r="U681" s="4" t="s">
        <v>100</v>
      </c>
      <c r="V681" s="4"/>
      <c r="W681" s="5">
        <v>0</v>
      </c>
      <c r="X681" t="str">
        <f t="shared" si="30"/>
        <v>January</v>
      </c>
      <c r="Y681" t="str">
        <f t="shared" si="31"/>
        <v>Q1</v>
      </c>
      <c r="Z681" s="7">
        <f t="shared" si="32"/>
        <v>44.98</v>
      </c>
    </row>
    <row r="682" spans="1:26" x14ac:dyDescent="0.3">
      <c r="A682" s="2" t="s">
        <v>4195</v>
      </c>
      <c r="B682" s="8" t="s">
        <v>1122</v>
      </c>
      <c r="C682" s="2" t="s">
        <v>4196</v>
      </c>
      <c r="D682" s="2" t="s">
        <v>906</v>
      </c>
      <c r="E682" s="2" t="s">
        <v>4197</v>
      </c>
      <c r="F682" s="2" t="s">
        <v>4198</v>
      </c>
      <c r="G682" s="2" t="s">
        <v>802</v>
      </c>
      <c r="H682" s="2" t="s">
        <v>88</v>
      </c>
      <c r="I682" s="2" t="s">
        <v>31</v>
      </c>
      <c r="J682" s="2" t="s">
        <v>4199</v>
      </c>
      <c r="K682" s="2" t="s">
        <v>33</v>
      </c>
      <c r="L682" s="2">
        <v>4</v>
      </c>
      <c r="M682" s="3">
        <v>317.95</v>
      </c>
      <c r="N682" s="2" t="s">
        <v>34</v>
      </c>
      <c r="O682" s="3">
        <v>0</v>
      </c>
      <c r="P682" s="3">
        <v>0</v>
      </c>
      <c r="Q682" s="3">
        <v>25.44</v>
      </c>
      <c r="R682" s="3">
        <v>343.39</v>
      </c>
      <c r="S682" s="2" t="s">
        <v>123</v>
      </c>
      <c r="T682" s="2" t="s">
        <v>99</v>
      </c>
      <c r="U682" s="2" t="s">
        <v>51</v>
      </c>
      <c r="V682" s="2" t="s">
        <v>1446</v>
      </c>
      <c r="W682" s="3">
        <v>0</v>
      </c>
      <c r="X682" t="str">
        <f t="shared" si="30"/>
        <v>January</v>
      </c>
      <c r="Y682" t="str">
        <f t="shared" si="31"/>
        <v>Q1</v>
      </c>
      <c r="Z682" s="7">
        <f t="shared" si="32"/>
        <v>317.95</v>
      </c>
    </row>
    <row r="683" spans="1:26" x14ac:dyDescent="0.3">
      <c r="A683" s="4" t="s">
        <v>4200</v>
      </c>
      <c r="B683" s="9" t="s">
        <v>663</v>
      </c>
      <c r="C683" s="4" t="s">
        <v>4201</v>
      </c>
      <c r="D683" s="4" t="s">
        <v>4202</v>
      </c>
      <c r="E683" s="4" t="s">
        <v>4203</v>
      </c>
      <c r="F683" s="4" t="s">
        <v>4204</v>
      </c>
      <c r="G683" s="4" t="s">
        <v>428</v>
      </c>
      <c r="H683" s="4" t="s">
        <v>429</v>
      </c>
      <c r="I683" s="4" t="s">
        <v>31</v>
      </c>
      <c r="J683" s="4" t="s">
        <v>1238</v>
      </c>
      <c r="K683" s="4" t="s">
        <v>209</v>
      </c>
      <c r="L683" s="4">
        <v>1</v>
      </c>
      <c r="M683" s="5">
        <v>39.99</v>
      </c>
      <c r="N683" s="4" t="s">
        <v>34</v>
      </c>
      <c r="O683" s="5">
        <v>0</v>
      </c>
      <c r="P683" s="5">
        <v>9.99</v>
      </c>
      <c r="Q683" s="5">
        <v>3.4</v>
      </c>
      <c r="R683" s="5">
        <v>53.38</v>
      </c>
      <c r="S683" s="4" t="s">
        <v>111</v>
      </c>
      <c r="T683" s="4" t="s">
        <v>99</v>
      </c>
      <c r="U683" s="4" t="s">
        <v>100</v>
      </c>
      <c r="V683" s="4"/>
      <c r="W683" s="5">
        <v>0</v>
      </c>
      <c r="X683" t="str">
        <f t="shared" si="30"/>
        <v>March</v>
      </c>
      <c r="Y683" t="str">
        <f t="shared" si="31"/>
        <v>Q1</v>
      </c>
      <c r="Z683" s="7">
        <f t="shared" si="32"/>
        <v>39.99</v>
      </c>
    </row>
    <row r="684" spans="1:26" x14ac:dyDescent="0.3">
      <c r="A684" s="2" t="s">
        <v>4205</v>
      </c>
      <c r="B684" s="8" t="s">
        <v>957</v>
      </c>
      <c r="C684" s="2" t="s">
        <v>4206</v>
      </c>
      <c r="D684" s="2" t="s">
        <v>4207</v>
      </c>
      <c r="E684" s="2" t="s">
        <v>4208</v>
      </c>
      <c r="F684" s="2" t="s">
        <v>4209</v>
      </c>
      <c r="G684" s="2" t="s">
        <v>45</v>
      </c>
      <c r="H684" s="2" t="s">
        <v>46</v>
      </c>
      <c r="I684" s="2" t="s">
        <v>31</v>
      </c>
      <c r="J684" s="2" t="s">
        <v>109</v>
      </c>
      <c r="K684" s="2" t="s">
        <v>110</v>
      </c>
      <c r="L684" s="2">
        <v>1</v>
      </c>
      <c r="M684" s="3">
        <v>68.97</v>
      </c>
      <c r="N684" s="2" t="s">
        <v>34</v>
      </c>
      <c r="O684" s="3">
        <v>0</v>
      </c>
      <c r="P684" s="3">
        <v>9.99</v>
      </c>
      <c r="Q684" s="3">
        <v>6.21</v>
      </c>
      <c r="R684" s="3">
        <v>85.17</v>
      </c>
      <c r="S684" s="2" t="s">
        <v>98</v>
      </c>
      <c r="T684" s="2" t="s">
        <v>99</v>
      </c>
      <c r="U684" s="2" t="s">
        <v>66</v>
      </c>
      <c r="V684" s="2" t="s">
        <v>478</v>
      </c>
      <c r="W684" s="3">
        <v>0</v>
      </c>
      <c r="X684" t="str">
        <f t="shared" si="30"/>
        <v>May</v>
      </c>
      <c r="Y684" t="str">
        <f t="shared" si="31"/>
        <v>Q2</v>
      </c>
      <c r="Z684" s="7">
        <f t="shared" si="32"/>
        <v>68.97</v>
      </c>
    </row>
    <row r="685" spans="1:26" x14ac:dyDescent="0.3">
      <c r="A685" s="4" t="s">
        <v>4210</v>
      </c>
      <c r="B685" s="9" t="s">
        <v>1086</v>
      </c>
      <c r="C685" s="4" t="s">
        <v>4211</v>
      </c>
      <c r="D685" s="4" t="s">
        <v>4212</v>
      </c>
      <c r="E685" s="4" t="s">
        <v>4213</v>
      </c>
      <c r="F685" s="4" t="s">
        <v>4214</v>
      </c>
      <c r="G685" s="4" t="s">
        <v>224</v>
      </c>
      <c r="H685" s="4" t="s">
        <v>225</v>
      </c>
      <c r="I685" s="4" t="s">
        <v>31</v>
      </c>
      <c r="J685" s="4" t="s">
        <v>1232</v>
      </c>
      <c r="K685" s="4" t="s">
        <v>77</v>
      </c>
      <c r="L685" s="4">
        <v>1</v>
      </c>
      <c r="M685" s="5">
        <v>34.99</v>
      </c>
      <c r="N685" s="4" t="s">
        <v>63</v>
      </c>
      <c r="O685" s="5">
        <v>8.75</v>
      </c>
      <c r="P685" s="5">
        <v>5.99</v>
      </c>
      <c r="Q685" s="5">
        <v>2.62</v>
      </c>
      <c r="R685" s="5">
        <v>34.85</v>
      </c>
      <c r="S685" s="4" t="s">
        <v>332</v>
      </c>
      <c r="T685" s="4" t="s">
        <v>99</v>
      </c>
      <c r="U685" s="4" t="s">
        <v>100</v>
      </c>
      <c r="V685" s="4"/>
      <c r="W685" s="5">
        <v>0</v>
      </c>
      <c r="X685" t="str">
        <f t="shared" si="30"/>
        <v>August</v>
      </c>
      <c r="Y685" t="str">
        <f t="shared" si="31"/>
        <v>Q3</v>
      </c>
      <c r="Z685" s="7">
        <f t="shared" si="32"/>
        <v>26.240000000000002</v>
      </c>
    </row>
    <row r="686" spans="1:26" x14ac:dyDescent="0.3">
      <c r="A686" s="2" t="s">
        <v>4215</v>
      </c>
      <c r="B686" s="8" t="s">
        <v>2222</v>
      </c>
      <c r="C686" s="2" t="s">
        <v>4216</v>
      </c>
      <c r="D686" s="2" t="s">
        <v>4217</v>
      </c>
      <c r="E686" s="2" t="s">
        <v>4218</v>
      </c>
      <c r="F686" s="2" t="s">
        <v>4219</v>
      </c>
      <c r="G686" s="2" t="s">
        <v>87</v>
      </c>
      <c r="H686" s="2" t="s">
        <v>88</v>
      </c>
      <c r="I686" s="2" t="s">
        <v>31</v>
      </c>
      <c r="J686" s="2" t="s">
        <v>1232</v>
      </c>
      <c r="K686" s="2" t="s">
        <v>77</v>
      </c>
      <c r="L686" s="2">
        <v>1</v>
      </c>
      <c r="M686" s="3">
        <v>34.99</v>
      </c>
      <c r="N686" s="2" t="s">
        <v>49</v>
      </c>
      <c r="O686" s="3">
        <v>5.25</v>
      </c>
      <c r="P686" s="3">
        <v>5.99</v>
      </c>
      <c r="Q686" s="3">
        <v>1.78</v>
      </c>
      <c r="R686" s="3">
        <v>37.51</v>
      </c>
      <c r="S686" s="2" t="s">
        <v>332</v>
      </c>
      <c r="T686" s="2" t="s">
        <v>36</v>
      </c>
      <c r="U686" s="2" t="s">
        <v>66</v>
      </c>
      <c r="V686" s="2" t="s">
        <v>3851</v>
      </c>
      <c r="W686" s="3">
        <v>0</v>
      </c>
      <c r="X686" t="str">
        <f t="shared" si="30"/>
        <v>December</v>
      </c>
      <c r="Y686" t="str">
        <f t="shared" si="31"/>
        <v>Q4</v>
      </c>
      <c r="Z686" s="7">
        <f t="shared" si="32"/>
        <v>29.740000000000002</v>
      </c>
    </row>
    <row r="687" spans="1:26" x14ac:dyDescent="0.3">
      <c r="A687" s="4" t="s">
        <v>4220</v>
      </c>
      <c r="B687" s="9" t="s">
        <v>296</v>
      </c>
      <c r="C687" s="4" t="s">
        <v>4221</v>
      </c>
      <c r="D687" s="4" t="s">
        <v>545</v>
      </c>
      <c r="E687" s="4" t="s">
        <v>4222</v>
      </c>
      <c r="F687" s="4" t="s">
        <v>4223</v>
      </c>
      <c r="G687" s="4" t="s">
        <v>160</v>
      </c>
      <c r="H687" s="4" t="s">
        <v>161</v>
      </c>
      <c r="I687" s="4" t="s">
        <v>31</v>
      </c>
      <c r="J687" s="4" t="s">
        <v>1148</v>
      </c>
      <c r="K687" s="4" t="s">
        <v>33</v>
      </c>
      <c r="L687" s="4">
        <v>1</v>
      </c>
      <c r="M687" s="5">
        <v>18.989999999999998</v>
      </c>
      <c r="N687" s="4" t="s">
        <v>163</v>
      </c>
      <c r="O687" s="5">
        <v>3.8</v>
      </c>
      <c r="P687" s="5">
        <v>9.99</v>
      </c>
      <c r="Q687" s="5">
        <v>1.52</v>
      </c>
      <c r="R687" s="5">
        <v>26.7</v>
      </c>
      <c r="S687" s="4" t="s">
        <v>64</v>
      </c>
      <c r="T687" s="4" t="s">
        <v>173</v>
      </c>
      <c r="U687" s="4" t="s">
        <v>100</v>
      </c>
      <c r="V687" s="4"/>
      <c r="W687" s="5">
        <v>0</v>
      </c>
      <c r="X687" t="str">
        <f t="shared" si="30"/>
        <v>August</v>
      </c>
      <c r="Y687" t="str">
        <f t="shared" si="31"/>
        <v>Q3</v>
      </c>
      <c r="Z687" s="7">
        <f t="shared" si="32"/>
        <v>15.189999999999998</v>
      </c>
    </row>
    <row r="688" spans="1:26" x14ac:dyDescent="0.3">
      <c r="A688" s="2" t="s">
        <v>4224</v>
      </c>
      <c r="B688" s="8" t="s">
        <v>1873</v>
      </c>
      <c r="C688" s="2" t="s">
        <v>4225</v>
      </c>
      <c r="D688" s="2" t="s">
        <v>3935</v>
      </c>
      <c r="E688" s="2" t="s">
        <v>4226</v>
      </c>
      <c r="F688" s="2" t="s">
        <v>4227</v>
      </c>
      <c r="G688" s="2" t="s">
        <v>394</v>
      </c>
      <c r="H688" s="2" t="s">
        <v>395</v>
      </c>
      <c r="I688" s="2" t="s">
        <v>31</v>
      </c>
      <c r="J688" s="2" t="s">
        <v>4228</v>
      </c>
      <c r="K688" s="2" t="s">
        <v>122</v>
      </c>
      <c r="L688" s="2">
        <v>3</v>
      </c>
      <c r="M688" s="3">
        <v>143.97</v>
      </c>
      <c r="N688" s="2" t="s">
        <v>152</v>
      </c>
      <c r="O688" s="3">
        <v>7.2</v>
      </c>
      <c r="P688" s="3">
        <v>0</v>
      </c>
      <c r="Q688" s="3">
        <v>8.2100000000000009</v>
      </c>
      <c r="R688" s="3">
        <v>144.97999999999999</v>
      </c>
      <c r="S688" s="2" t="s">
        <v>64</v>
      </c>
      <c r="T688" s="2" t="s">
        <v>36</v>
      </c>
      <c r="U688" s="2" t="s">
        <v>51</v>
      </c>
      <c r="V688" s="2" t="s">
        <v>2532</v>
      </c>
      <c r="W688" s="3">
        <v>0</v>
      </c>
      <c r="X688" t="str">
        <f t="shared" si="30"/>
        <v>November</v>
      </c>
      <c r="Y688" t="str">
        <f t="shared" si="31"/>
        <v>Q4</v>
      </c>
      <c r="Z688" s="7">
        <f t="shared" si="32"/>
        <v>136.77000000000001</v>
      </c>
    </row>
    <row r="689" spans="1:26" x14ac:dyDescent="0.3">
      <c r="A689" s="4" t="s">
        <v>4229</v>
      </c>
      <c r="B689" s="9" t="s">
        <v>2004</v>
      </c>
      <c r="C689" s="4" t="s">
        <v>4230</v>
      </c>
      <c r="D689" s="4" t="s">
        <v>4231</v>
      </c>
      <c r="E689" s="4" t="s">
        <v>4232</v>
      </c>
      <c r="F689" s="4" t="s">
        <v>4233</v>
      </c>
      <c r="G689" s="4" t="s">
        <v>190</v>
      </c>
      <c r="H689" s="4" t="s">
        <v>161</v>
      </c>
      <c r="I689" s="4" t="s">
        <v>31</v>
      </c>
      <c r="J689" s="4" t="s">
        <v>4234</v>
      </c>
      <c r="K689" s="4" t="s">
        <v>209</v>
      </c>
      <c r="L689" s="4">
        <v>2</v>
      </c>
      <c r="M689" s="5">
        <v>142.97999999999999</v>
      </c>
      <c r="N689" s="4" t="s">
        <v>152</v>
      </c>
      <c r="O689" s="5">
        <v>7.15</v>
      </c>
      <c r="P689" s="5">
        <v>0</v>
      </c>
      <c r="Q689" s="5">
        <v>11.55</v>
      </c>
      <c r="R689" s="5">
        <v>147.38</v>
      </c>
      <c r="S689" s="4" t="s">
        <v>123</v>
      </c>
      <c r="T689" s="4" t="s">
        <v>144</v>
      </c>
      <c r="U689" s="4" t="s">
        <v>66</v>
      </c>
      <c r="V689" s="4" t="s">
        <v>1529</v>
      </c>
      <c r="W689" s="5">
        <v>0</v>
      </c>
      <c r="X689" t="str">
        <f t="shared" si="30"/>
        <v>September</v>
      </c>
      <c r="Y689" t="str">
        <f t="shared" si="31"/>
        <v>Q3</v>
      </c>
      <c r="Z689" s="7">
        <f t="shared" si="32"/>
        <v>135.82999999999998</v>
      </c>
    </row>
    <row r="690" spans="1:26" x14ac:dyDescent="0.3">
      <c r="A690" s="2" t="s">
        <v>4235</v>
      </c>
      <c r="B690" s="8" t="s">
        <v>1043</v>
      </c>
      <c r="C690" s="2" t="s">
        <v>4236</v>
      </c>
      <c r="D690" s="2" t="s">
        <v>4237</v>
      </c>
      <c r="E690" s="2" t="s">
        <v>4238</v>
      </c>
      <c r="F690" s="2" t="s">
        <v>4239</v>
      </c>
      <c r="G690" s="2" t="s">
        <v>140</v>
      </c>
      <c r="H690" s="2" t="s">
        <v>141</v>
      </c>
      <c r="I690" s="2" t="s">
        <v>31</v>
      </c>
      <c r="J690" s="2" t="s">
        <v>983</v>
      </c>
      <c r="K690" s="2" t="s">
        <v>122</v>
      </c>
      <c r="L690" s="2">
        <v>1</v>
      </c>
      <c r="M690" s="3">
        <v>209.97</v>
      </c>
      <c r="N690" s="2" t="s">
        <v>152</v>
      </c>
      <c r="O690" s="3">
        <v>10.5</v>
      </c>
      <c r="P690" s="3">
        <v>0</v>
      </c>
      <c r="Q690" s="3">
        <v>15.96</v>
      </c>
      <c r="R690" s="3">
        <v>215.43</v>
      </c>
      <c r="S690" s="2" t="s">
        <v>35</v>
      </c>
      <c r="T690" s="2" t="s">
        <v>99</v>
      </c>
      <c r="U690" s="2" t="s">
        <v>317</v>
      </c>
      <c r="V690" s="2"/>
      <c r="W690" s="3">
        <v>0</v>
      </c>
      <c r="X690" t="str">
        <f t="shared" si="30"/>
        <v>February</v>
      </c>
      <c r="Y690" t="str">
        <f t="shared" si="31"/>
        <v>Q1</v>
      </c>
      <c r="Z690" s="7">
        <f t="shared" si="32"/>
        <v>199.47</v>
      </c>
    </row>
    <row r="691" spans="1:26" x14ac:dyDescent="0.3">
      <c r="A691" s="4" t="s">
        <v>4240</v>
      </c>
      <c r="B691" s="9" t="s">
        <v>2805</v>
      </c>
      <c r="C691" s="4" t="s">
        <v>4241</v>
      </c>
      <c r="D691" s="4" t="s">
        <v>4242</v>
      </c>
      <c r="E691" s="4" t="s">
        <v>4243</v>
      </c>
      <c r="F691" s="4" t="s">
        <v>4244</v>
      </c>
      <c r="G691" s="4" t="s">
        <v>291</v>
      </c>
      <c r="H691" s="4" t="s">
        <v>292</v>
      </c>
      <c r="I691" s="4" t="s">
        <v>31</v>
      </c>
      <c r="J691" s="4" t="s">
        <v>1238</v>
      </c>
      <c r="K691" s="4" t="s">
        <v>209</v>
      </c>
      <c r="L691" s="4">
        <v>1</v>
      </c>
      <c r="M691" s="5">
        <v>39.99</v>
      </c>
      <c r="N691" s="4" t="s">
        <v>78</v>
      </c>
      <c r="O691" s="5">
        <v>4</v>
      </c>
      <c r="P691" s="5">
        <v>9.99</v>
      </c>
      <c r="Q691" s="5">
        <v>2.52</v>
      </c>
      <c r="R691" s="5">
        <v>48.5</v>
      </c>
      <c r="S691" s="4" t="s">
        <v>111</v>
      </c>
      <c r="T691" s="4" t="s">
        <v>173</v>
      </c>
      <c r="U691" s="4" t="s">
        <v>100</v>
      </c>
      <c r="V691" s="4"/>
      <c r="W691" s="5">
        <v>0</v>
      </c>
      <c r="X691" t="str">
        <f t="shared" si="30"/>
        <v>October</v>
      </c>
      <c r="Y691" t="str">
        <f t="shared" si="31"/>
        <v>Q4</v>
      </c>
      <c r="Z691" s="7">
        <f t="shared" si="32"/>
        <v>35.99</v>
      </c>
    </row>
    <row r="692" spans="1:26" x14ac:dyDescent="0.3">
      <c r="A692" s="2" t="s">
        <v>4245</v>
      </c>
      <c r="B692" s="8" t="s">
        <v>1178</v>
      </c>
      <c r="C692" s="2" t="s">
        <v>4246</v>
      </c>
      <c r="D692" s="2" t="s">
        <v>3615</v>
      </c>
      <c r="E692" s="2" t="s">
        <v>4247</v>
      </c>
      <c r="F692" s="2" t="s">
        <v>4248</v>
      </c>
      <c r="G692" s="2" t="s">
        <v>171</v>
      </c>
      <c r="H692" s="2" t="s">
        <v>88</v>
      </c>
      <c r="I692" s="2" t="s">
        <v>31</v>
      </c>
      <c r="J692" s="2" t="s">
        <v>678</v>
      </c>
      <c r="K692" s="2" t="s">
        <v>679</v>
      </c>
      <c r="L692" s="2">
        <v>1</v>
      </c>
      <c r="M692" s="3">
        <v>14.99</v>
      </c>
      <c r="N692" s="2" t="s">
        <v>34</v>
      </c>
      <c r="O692" s="3">
        <v>0</v>
      </c>
      <c r="P692" s="3">
        <v>9.99</v>
      </c>
      <c r="Q692" s="3">
        <v>1.35</v>
      </c>
      <c r="R692" s="3">
        <v>26.33</v>
      </c>
      <c r="S692" s="2" t="s">
        <v>64</v>
      </c>
      <c r="T692" s="2" t="s">
        <v>325</v>
      </c>
      <c r="U692" s="2" t="s">
        <v>317</v>
      </c>
      <c r="V692" s="2"/>
      <c r="W692" s="3">
        <v>0</v>
      </c>
      <c r="X692" t="str">
        <f t="shared" si="30"/>
        <v>November</v>
      </c>
      <c r="Y692" t="str">
        <f t="shared" si="31"/>
        <v>Q4</v>
      </c>
      <c r="Z692" s="7">
        <f t="shared" si="32"/>
        <v>14.99</v>
      </c>
    </row>
    <row r="693" spans="1:26" x14ac:dyDescent="0.3">
      <c r="A693" s="4" t="s">
        <v>4249</v>
      </c>
      <c r="B693" s="9" t="s">
        <v>1976</v>
      </c>
      <c r="C693" s="4" t="s">
        <v>4250</v>
      </c>
      <c r="D693" s="4" t="s">
        <v>2132</v>
      </c>
      <c r="E693" s="4" t="s">
        <v>4251</v>
      </c>
      <c r="F693" s="4" t="s">
        <v>4252</v>
      </c>
      <c r="G693" s="4" t="s">
        <v>140</v>
      </c>
      <c r="H693" s="4" t="s">
        <v>141</v>
      </c>
      <c r="I693" s="4" t="s">
        <v>31</v>
      </c>
      <c r="J693" s="4" t="s">
        <v>4253</v>
      </c>
      <c r="K693" s="4" t="s">
        <v>364</v>
      </c>
      <c r="L693" s="4">
        <v>2</v>
      </c>
      <c r="M693" s="5">
        <v>109.98</v>
      </c>
      <c r="N693" s="4" t="s">
        <v>152</v>
      </c>
      <c r="O693" s="5">
        <v>5.5</v>
      </c>
      <c r="P693" s="5">
        <v>0</v>
      </c>
      <c r="Q693" s="5">
        <v>10.45</v>
      </c>
      <c r="R693" s="5">
        <v>114.93</v>
      </c>
      <c r="S693" s="4" t="s">
        <v>123</v>
      </c>
      <c r="T693" s="4" t="s">
        <v>99</v>
      </c>
      <c r="U693" s="4" t="s">
        <v>51</v>
      </c>
      <c r="V693" s="4" t="s">
        <v>865</v>
      </c>
      <c r="W693" s="5">
        <v>0</v>
      </c>
      <c r="X693" t="str">
        <f t="shared" si="30"/>
        <v>August</v>
      </c>
      <c r="Y693" t="str">
        <f t="shared" si="31"/>
        <v>Q3</v>
      </c>
      <c r="Z693" s="7">
        <f t="shared" si="32"/>
        <v>104.48</v>
      </c>
    </row>
    <row r="694" spans="1:26" x14ac:dyDescent="0.3">
      <c r="A694" s="2" t="s">
        <v>4254</v>
      </c>
      <c r="B694" s="8" t="s">
        <v>2412</v>
      </c>
      <c r="C694" s="2" t="s">
        <v>4255</v>
      </c>
      <c r="D694" s="2" t="s">
        <v>4256</v>
      </c>
      <c r="E694" s="2" t="s">
        <v>4257</v>
      </c>
      <c r="F694" s="2" t="s">
        <v>4258</v>
      </c>
      <c r="G694" s="2" t="s">
        <v>74</v>
      </c>
      <c r="H694" s="2" t="s">
        <v>75</v>
      </c>
      <c r="I694" s="2" t="s">
        <v>31</v>
      </c>
      <c r="J694" s="2" t="s">
        <v>4259</v>
      </c>
      <c r="K694" s="2" t="s">
        <v>122</v>
      </c>
      <c r="L694" s="2">
        <v>2</v>
      </c>
      <c r="M694" s="3">
        <v>209.97</v>
      </c>
      <c r="N694" s="2" t="s">
        <v>34</v>
      </c>
      <c r="O694" s="3">
        <v>0</v>
      </c>
      <c r="P694" s="3">
        <v>0</v>
      </c>
      <c r="Q694" s="3">
        <v>16.8</v>
      </c>
      <c r="R694" s="3">
        <v>226.77</v>
      </c>
      <c r="S694" s="2" t="s">
        <v>35</v>
      </c>
      <c r="T694" s="2" t="s">
        <v>99</v>
      </c>
      <c r="U694" s="2" t="s">
        <v>66</v>
      </c>
      <c r="V694" s="2" t="s">
        <v>498</v>
      </c>
      <c r="W694" s="3">
        <v>0</v>
      </c>
      <c r="X694" t="str">
        <f t="shared" si="30"/>
        <v>May</v>
      </c>
      <c r="Y694" t="str">
        <f t="shared" si="31"/>
        <v>Q2</v>
      </c>
      <c r="Z694" s="7">
        <f t="shared" si="32"/>
        <v>209.97</v>
      </c>
    </row>
    <row r="695" spans="1:26" x14ac:dyDescent="0.3">
      <c r="A695" s="4" t="s">
        <v>4260</v>
      </c>
      <c r="B695" s="9" t="s">
        <v>380</v>
      </c>
      <c r="C695" s="4" t="s">
        <v>4261</v>
      </c>
      <c r="D695" s="4" t="s">
        <v>954</v>
      </c>
      <c r="E695" s="4" t="s">
        <v>4262</v>
      </c>
      <c r="F695" s="4" t="s">
        <v>4263</v>
      </c>
      <c r="G695" s="4" t="s">
        <v>45</v>
      </c>
      <c r="H695" s="4" t="s">
        <v>46</v>
      </c>
      <c r="I695" s="4" t="s">
        <v>31</v>
      </c>
      <c r="J695" s="4" t="s">
        <v>4264</v>
      </c>
      <c r="K695" s="4" t="s">
        <v>48</v>
      </c>
      <c r="L695" s="4">
        <v>2</v>
      </c>
      <c r="M695" s="5">
        <v>131.96</v>
      </c>
      <c r="N695" s="4" t="s">
        <v>34</v>
      </c>
      <c r="O695" s="5">
        <v>0</v>
      </c>
      <c r="P695" s="5">
        <v>0</v>
      </c>
      <c r="Q695" s="5">
        <v>9.24</v>
      </c>
      <c r="R695" s="5">
        <v>141.19999999999999</v>
      </c>
      <c r="S695" s="4" t="s">
        <v>123</v>
      </c>
      <c r="T695" s="4" t="s">
        <v>50</v>
      </c>
      <c r="U695" s="4" t="s">
        <v>66</v>
      </c>
      <c r="V695" s="4" t="s">
        <v>2481</v>
      </c>
      <c r="W695" s="5">
        <v>0</v>
      </c>
      <c r="X695" t="str">
        <f t="shared" si="30"/>
        <v>July</v>
      </c>
      <c r="Y695" t="str">
        <f t="shared" si="31"/>
        <v>Q3</v>
      </c>
      <c r="Z695" s="7">
        <f t="shared" si="32"/>
        <v>131.96</v>
      </c>
    </row>
    <row r="696" spans="1:26" x14ac:dyDescent="0.3">
      <c r="A696" s="2" t="s">
        <v>4265</v>
      </c>
      <c r="B696" s="8" t="s">
        <v>421</v>
      </c>
      <c r="C696" s="2" t="s">
        <v>4266</v>
      </c>
      <c r="D696" s="2" t="s">
        <v>4267</v>
      </c>
      <c r="E696" s="2" t="s">
        <v>4268</v>
      </c>
      <c r="F696" s="2" t="s">
        <v>4269</v>
      </c>
      <c r="G696" s="2" t="s">
        <v>74</v>
      </c>
      <c r="H696" s="2" t="s">
        <v>75</v>
      </c>
      <c r="I696" s="2" t="s">
        <v>31</v>
      </c>
      <c r="J696" s="2" t="s">
        <v>4270</v>
      </c>
      <c r="K696" s="2" t="s">
        <v>62</v>
      </c>
      <c r="L696" s="2">
        <v>4</v>
      </c>
      <c r="M696" s="3">
        <v>323.92</v>
      </c>
      <c r="N696" s="2" t="s">
        <v>163</v>
      </c>
      <c r="O696" s="3">
        <v>64.78</v>
      </c>
      <c r="P696" s="3">
        <v>0</v>
      </c>
      <c r="Q696" s="3">
        <v>22.03</v>
      </c>
      <c r="R696" s="3">
        <v>281.17</v>
      </c>
      <c r="S696" s="2" t="s">
        <v>332</v>
      </c>
      <c r="T696" s="2" t="s">
        <v>99</v>
      </c>
      <c r="U696" s="2" t="s">
        <v>317</v>
      </c>
      <c r="V696" s="2"/>
      <c r="W696" s="3">
        <v>0</v>
      </c>
      <c r="X696" t="str">
        <f t="shared" si="30"/>
        <v>June</v>
      </c>
      <c r="Y696" t="str">
        <f t="shared" si="31"/>
        <v>Q2</v>
      </c>
      <c r="Z696" s="7">
        <f t="shared" si="32"/>
        <v>259.14</v>
      </c>
    </row>
    <row r="697" spans="1:26" x14ac:dyDescent="0.3">
      <c r="A697" s="4" t="s">
        <v>4271</v>
      </c>
      <c r="B697" s="9" t="s">
        <v>1787</v>
      </c>
      <c r="C697" s="4" t="s">
        <v>4272</v>
      </c>
      <c r="D697" s="4" t="s">
        <v>1721</v>
      </c>
      <c r="E697" s="4" t="s">
        <v>4273</v>
      </c>
      <c r="F697" s="4" t="s">
        <v>4274</v>
      </c>
      <c r="G697" s="4" t="s">
        <v>692</v>
      </c>
      <c r="H697" s="4" t="s">
        <v>693</v>
      </c>
      <c r="I697" s="4" t="s">
        <v>31</v>
      </c>
      <c r="J697" s="4" t="s">
        <v>533</v>
      </c>
      <c r="K697" s="4" t="s">
        <v>209</v>
      </c>
      <c r="L697" s="4">
        <v>1</v>
      </c>
      <c r="M697" s="5">
        <v>239.98</v>
      </c>
      <c r="N697" s="4" t="s">
        <v>152</v>
      </c>
      <c r="O697" s="5">
        <v>12</v>
      </c>
      <c r="P697" s="5">
        <v>0</v>
      </c>
      <c r="Q697" s="5">
        <v>13.68</v>
      </c>
      <c r="R697" s="5">
        <v>241.66</v>
      </c>
      <c r="S697" s="4" t="s">
        <v>64</v>
      </c>
      <c r="T697" s="4" t="s">
        <v>99</v>
      </c>
      <c r="U697" s="4" t="s">
        <v>51</v>
      </c>
      <c r="V697" s="4" t="s">
        <v>1823</v>
      </c>
      <c r="W697" s="5">
        <v>0</v>
      </c>
      <c r="X697" t="str">
        <f t="shared" si="30"/>
        <v>November</v>
      </c>
      <c r="Y697" t="str">
        <f t="shared" si="31"/>
        <v>Q4</v>
      </c>
      <c r="Z697" s="7">
        <f t="shared" si="32"/>
        <v>227.98</v>
      </c>
    </row>
    <row r="698" spans="1:26" x14ac:dyDescent="0.3">
      <c r="A698" s="2" t="s">
        <v>4275</v>
      </c>
      <c r="B698" s="8" t="s">
        <v>797</v>
      </c>
      <c r="C698" s="2" t="s">
        <v>4276</v>
      </c>
      <c r="D698" s="2" t="s">
        <v>4277</v>
      </c>
      <c r="E698" s="2" t="s">
        <v>4278</v>
      </c>
      <c r="F698" s="2" t="s">
        <v>4279</v>
      </c>
      <c r="G698" s="2" t="s">
        <v>802</v>
      </c>
      <c r="H698" s="2" t="s">
        <v>88</v>
      </c>
      <c r="I698" s="2" t="s">
        <v>31</v>
      </c>
      <c r="J698" s="2" t="s">
        <v>4280</v>
      </c>
      <c r="K698" s="2" t="s">
        <v>48</v>
      </c>
      <c r="L698" s="2">
        <v>2</v>
      </c>
      <c r="M698" s="3">
        <v>129.97</v>
      </c>
      <c r="N698" s="2" t="s">
        <v>163</v>
      </c>
      <c r="O698" s="3">
        <v>25.99</v>
      </c>
      <c r="P698" s="3">
        <v>0</v>
      </c>
      <c r="Q698" s="3">
        <v>8.32</v>
      </c>
      <c r="R698" s="3">
        <v>112.3</v>
      </c>
      <c r="S698" s="2" t="s">
        <v>332</v>
      </c>
      <c r="T698" s="2" t="s">
        <v>144</v>
      </c>
      <c r="U698" s="2" t="s">
        <v>66</v>
      </c>
      <c r="V698" s="2" t="s">
        <v>2902</v>
      </c>
      <c r="W698" s="3">
        <v>0</v>
      </c>
      <c r="X698" t="str">
        <f t="shared" si="30"/>
        <v>December</v>
      </c>
      <c r="Y698" t="str">
        <f t="shared" si="31"/>
        <v>Q4</v>
      </c>
      <c r="Z698" s="7">
        <f t="shared" si="32"/>
        <v>103.98</v>
      </c>
    </row>
    <row r="699" spans="1:26" x14ac:dyDescent="0.3">
      <c r="A699" s="4" t="s">
        <v>4281</v>
      </c>
      <c r="B699" s="9" t="s">
        <v>957</v>
      </c>
      <c r="C699" s="4" t="s">
        <v>4282</v>
      </c>
      <c r="D699" s="4" t="s">
        <v>3203</v>
      </c>
      <c r="E699" s="4" t="s">
        <v>4283</v>
      </c>
      <c r="F699" s="4" t="s">
        <v>4284</v>
      </c>
      <c r="G699" s="4" t="s">
        <v>190</v>
      </c>
      <c r="H699" s="4" t="s">
        <v>161</v>
      </c>
      <c r="I699" s="4" t="s">
        <v>31</v>
      </c>
      <c r="J699" s="4" t="s">
        <v>4285</v>
      </c>
      <c r="K699" s="4" t="s">
        <v>33</v>
      </c>
      <c r="L699" s="4">
        <v>2</v>
      </c>
      <c r="M699" s="5">
        <v>88.97</v>
      </c>
      <c r="N699" s="4" t="s">
        <v>152</v>
      </c>
      <c r="O699" s="5">
        <v>4.45</v>
      </c>
      <c r="P699" s="5">
        <v>0</v>
      </c>
      <c r="Q699" s="5">
        <v>8.4499999999999993</v>
      </c>
      <c r="R699" s="5">
        <v>92.97</v>
      </c>
      <c r="S699" s="4" t="s">
        <v>35</v>
      </c>
      <c r="T699" s="4" t="s">
        <v>144</v>
      </c>
      <c r="U699" s="4" t="s">
        <v>66</v>
      </c>
      <c r="V699" s="4" t="s">
        <v>3475</v>
      </c>
      <c r="W699" s="5">
        <v>0</v>
      </c>
      <c r="X699" t="str">
        <f t="shared" si="30"/>
        <v>May</v>
      </c>
      <c r="Y699" t="str">
        <f t="shared" si="31"/>
        <v>Q2</v>
      </c>
      <c r="Z699" s="7">
        <f t="shared" si="32"/>
        <v>84.52</v>
      </c>
    </row>
    <row r="700" spans="1:26" x14ac:dyDescent="0.3">
      <c r="A700" s="2" t="s">
        <v>4286</v>
      </c>
      <c r="B700" s="8" t="s">
        <v>641</v>
      </c>
      <c r="C700" s="2" t="s">
        <v>4287</v>
      </c>
      <c r="D700" s="2" t="s">
        <v>4288</v>
      </c>
      <c r="E700" s="2" t="s">
        <v>4289</v>
      </c>
      <c r="F700" s="2" t="s">
        <v>4290</v>
      </c>
      <c r="G700" s="2" t="s">
        <v>190</v>
      </c>
      <c r="H700" s="2" t="s">
        <v>161</v>
      </c>
      <c r="I700" s="2" t="s">
        <v>31</v>
      </c>
      <c r="J700" s="2" t="s">
        <v>172</v>
      </c>
      <c r="K700" s="2" t="s">
        <v>122</v>
      </c>
      <c r="L700" s="2">
        <v>1</v>
      </c>
      <c r="M700" s="3">
        <v>69.989999999999995</v>
      </c>
      <c r="N700" s="2" t="s">
        <v>34</v>
      </c>
      <c r="O700" s="3">
        <v>0</v>
      </c>
      <c r="P700" s="3">
        <v>4.99</v>
      </c>
      <c r="Q700" s="3">
        <v>5.6</v>
      </c>
      <c r="R700" s="3">
        <v>80.58</v>
      </c>
      <c r="S700" s="2" t="s">
        <v>123</v>
      </c>
      <c r="T700" s="2" t="s">
        <v>173</v>
      </c>
      <c r="U700" s="2" t="s">
        <v>37</v>
      </c>
      <c r="V700" s="2" t="s">
        <v>915</v>
      </c>
      <c r="W700" s="3">
        <v>80.58</v>
      </c>
      <c r="X700" t="str">
        <f t="shared" si="30"/>
        <v>March</v>
      </c>
      <c r="Y700" t="str">
        <f t="shared" si="31"/>
        <v>Q1</v>
      </c>
      <c r="Z700" s="7">
        <f t="shared" si="32"/>
        <v>69.989999999999995</v>
      </c>
    </row>
    <row r="701" spans="1:26" x14ac:dyDescent="0.3">
      <c r="A701" s="4" t="s">
        <v>4291</v>
      </c>
      <c r="B701" s="9" t="s">
        <v>498</v>
      </c>
      <c r="C701" s="4" t="s">
        <v>4292</v>
      </c>
      <c r="D701" s="4" t="s">
        <v>4293</v>
      </c>
      <c r="E701" s="4" t="s">
        <v>4294</v>
      </c>
      <c r="F701" s="4" t="s">
        <v>4295</v>
      </c>
      <c r="G701" s="4" t="s">
        <v>676</v>
      </c>
      <c r="H701" s="4" t="s">
        <v>677</v>
      </c>
      <c r="I701" s="4" t="s">
        <v>31</v>
      </c>
      <c r="J701" s="4" t="s">
        <v>61</v>
      </c>
      <c r="K701" s="4" t="s">
        <v>62</v>
      </c>
      <c r="L701" s="4">
        <v>1</v>
      </c>
      <c r="M701" s="5">
        <v>24.99</v>
      </c>
      <c r="N701" s="4" t="s">
        <v>34</v>
      </c>
      <c r="O701" s="5">
        <v>0</v>
      </c>
      <c r="P701" s="5">
        <v>9.99</v>
      </c>
      <c r="Q701" s="5">
        <v>1.75</v>
      </c>
      <c r="R701" s="5">
        <v>36.729999999999997</v>
      </c>
      <c r="S701" s="4" t="s">
        <v>123</v>
      </c>
      <c r="T701" s="4" t="s">
        <v>99</v>
      </c>
      <c r="U701" s="4" t="s">
        <v>66</v>
      </c>
      <c r="V701" s="4" t="s">
        <v>478</v>
      </c>
      <c r="W701" s="5">
        <v>0</v>
      </c>
      <c r="X701" t="str">
        <f t="shared" si="30"/>
        <v>May</v>
      </c>
      <c r="Y701" t="str">
        <f t="shared" si="31"/>
        <v>Q2</v>
      </c>
      <c r="Z701" s="7">
        <f t="shared" si="32"/>
        <v>24.99</v>
      </c>
    </row>
    <row r="702" spans="1:26" x14ac:dyDescent="0.3">
      <c r="A702" s="2" t="s">
        <v>4296</v>
      </c>
      <c r="B702" s="8" t="s">
        <v>922</v>
      </c>
      <c r="C702" s="2" t="s">
        <v>4297</v>
      </c>
      <c r="D702" s="2" t="s">
        <v>4298</v>
      </c>
      <c r="E702" s="2" t="s">
        <v>4299</v>
      </c>
      <c r="F702" s="2" t="s">
        <v>4300</v>
      </c>
      <c r="G702" s="2" t="s">
        <v>87</v>
      </c>
      <c r="H702" s="2" t="s">
        <v>88</v>
      </c>
      <c r="I702" s="2" t="s">
        <v>31</v>
      </c>
      <c r="J702" s="2" t="s">
        <v>1997</v>
      </c>
      <c r="K702" s="2" t="s">
        <v>143</v>
      </c>
      <c r="L702" s="2">
        <v>1</v>
      </c>
      <c r="M702" s="3">
        <v>129.99</v>
      </c>
      <c r="N702" s="2" t="s">
        <v>34</v>
      </c>
      <c r="O702" s="3">
        <v>0</v>
      </c>
      <c r="P702" s="3">
        <v>0</v>
      </c>
      <c r="Q702" s="3">
        <v>13</v>
      </c>
      <c r="R702" s="3">
        <v>142.99</v>
      </c>
      <c r="S702" s="2" t="s">
        <v>111</v>
      </c>
      <c r="T702" s="2" t="s">
        <v>183</v>
      </c>
      <c r="U702" s="2" t="s">
        <v>37</v>
      </c>
      <c r="V702" s="2" t="s">
        <v>1683</v>
      </c>
      <c r="W702" s="3">
        <v>142.99</v>
      </c>
      <c r="X702" t="str">
        <f t="shared" si="30"/>
        <v>September</v>
      </c>
      <c r="Y702" t="str">
        <f t="shared" si="31"/>
        <v>Q3</v>
      </c>
      <c r="Z702" s="7">
        <f t="shared" si="32"/>
        <v>129.99</v>
      </c>
    </row>
    <row r="703" spans="1:26" x14ac:dyDescent="0.3">
      <c r="A703" s="4" t="s">
        <v>4301</v>
      </c>
      <c r="B703" s="9" t="s">
        <v>303</v>
      </c>
      <c r="C703" s="4" t="s">
        <v>4302</v>
      </c>
      <c r="D703" s="4" t="s">
        <v>926</v>
      </c>
      <c r="E703" s="4" t="s">
        <v>4303</v>
      </c>
      <c r="F703" s="4" t="s">
        <v>4304</v>
      </c>
      <c r="G703" s="4" t="s">
        <v>107</v>
      </c>
      <c r="H703" s="4" t="s">
        <v>108</v>
      </c>
      <c r="I703" s="4" t="s">
        <v>31</v>
      </c>
      <c r="J703" s="4" t="s">
        <v>4305</v>
      </c>
      <c r="K703" s="4" t="s">
        <v>143</v>
      </c>
      <c r="L703" s="4">
        <v>2</v>
      </c>
      <c r="M703" s="5">
        <v>219.96</v>
      </c>
      <c r="N703" s="4" t="s">
        <v>34</v>
      </c>
      <c r="O703" s="5">
        <v>0</v>
      </c>
      <c r="P703" s="5">
        <v>0</v>
      </c>
      <c r="Q703" s="5">
        <v>18.7</v>
      </c>
      <c r="R703" s="5">
        <v>238.66</v>
      </c>
      <c r="S703" s="4" t="s">
        <v>64</v>
      </c>
      <c r="T703" s="4" t="s">
        <v>99</v>
      </c>
      <c r="U703" s="4" t="s">
        <v>66</v>
      </c>
      <c r="V703" s="4" t="s">
        <v>1471</v>
      </c>
      <c r="W703" s="5">
        <v>0</v>
      </c>
      <c r="X703" t="str">
        <f t="shared" si="30"/>
        <v>April</v>
      </c>
      <c r="Y703" t="str">
        <f t="shared" si="31"/>
        <v>Q2</v>
      </c>
      <c r="Z703" s="7">
        <f t="shared" si="32"/>
        <v>219.96</v>
      </c>
    </row>
    <row r="704" spans="1:26" x14ac:dyDescent="0.3">
      <c r="A704" s="2" t="s">
        <v>4306</v>
      </c>
      <c r="B704" s="8" t="s">
        <v>1471</v>
      </c>
      <c r="C704" s="2" t="s">
        <v>4307</v>
      </c>
      <c r="D704" s="2" t="s">
        <v>4308</v>
      </c>
      <c r="E704" s="2" t="s">
        <v>4309</v>
      </c>
      <c r="F704" s="2" t="s">
        <v>4310</v>
      </c>
      <c r="G704" s="2" t="s">
        <v>403</v>
      </c>
      <c r="H704" s="2" t="s">
        <v>404</v>
      </c>
      <c r="I704" s="2" t="s">
        <v>31</v>
      </c>
      <c r="J704" s="2" t="s">
        <v>741</v>
      </c>
      <c r="K704" s="2" t="s">
        <v>122</v>
      </c>
      <c r="L704" s="2">
        <v>1</v>
      </c>
      <c r="M704" s="3">
        <v>139.97999999999999</v>
      </c>
      <c r="N704" s="2" t="s">
        <v>34</v>
      </c>
      <c r="O704" s="3">
        <v>0</v>
      </c>
      <c r="P704" s="3">
        <v>0</v>
      </c>
      <c r="Q704" s="3">
        <v>9.8000000000000007</v>
      </c>
      <c r="R704" s="3">
        <v>149.78</v>
      </c>
      <c r="S704" s="2" t="s">
        <v>123</v>
      </c>
      <c r="T704" s="2" t="s">
        <v>99</v>
      </c>
      <c r="U704" s="2" t="s">
        <v>66</v>
      </c>
      <c r="V704" s="2" t="s">
        <v>2915</v>
      </c>
      <c r="W704" s="3">
        <v>0</v>
      </c>
      <c r="X704" t="str">
        <f t="shared" si="30"/>
        <v>April</v>
      </c>
      <c r="Y704" t="str">
        <f t="shared" si="31"/>
        <v>Q2</v>
      </c>
      <c r="Z704" s="7">
        <f t="shared" si="32"/>
        <v>139.97999999999999</v>
      </c>
    </row>
    <row r="705" spans="1:26" x14ac:dyDescent="0.3">
      <c r="A705" s="4" t="s">
        <v>4311</v>
      </c>
      <c r="B705" s="9" t="s">
        <v>3421</v>
      </c>
      <c r="C705" s="4" t="s">
        <v>4312</v>
      </c>
      <c r="D705" s="4" t="s">
        <v>1097</v>
      </c>
      <c r="E705" s="4" t="s">
        <v>4313</v>
      </c>
      <c r="F705" s="4" t="s">
        <v>4314</v>
      </c>
      <c r="G705" s="4" t="s">
        <v>428</v>
      </c>
      <c r="H705" s="4" t="s">
        <v>429</v>
      </c>
      <c r="I705" s="4" t="s">
        <v>31</v>
      </c>
      <c r="J705" s="4" t="s">
        <v>1997</v>
      </c>
      <c r="K705" s="4" t="s">
        <v>143</v>
      </c>
      <c r="L705" s="4">
        <v>1</v>
      </c>
      <c r="M705" s="5">
        <v>129.99</v>
      </c>
      <c r="N705" s="4" t="s">
        <v>34</v>
      </c>
      <c r="O705" s="5">
        <v>0</v>
      </c>
      <c r="P705" s="5">
        <v>0</v>
      </c>
      <c r="Q705" s="5">
        <v>11.05</v>
      </c>
      <c r="R705" s="5">
        <v>141.04</v>
      </c>
      <c r="S705" s="4" t="s">
        <v>35</v>
      </c>
      <c r="T705" s="4" t="s">
        <v>173</v>
      </c>
      <c r="U705" s="4" t="s">
        <v>66</v>
      </c>
      <c r="V705" s="4" t="s">
        <v>4141</v>
      </c>
      <c r="W705" s="5">
        <v>0</v>
      </c>
      <c r="X705" t="str">
        <f t="shared" si="30"/>
        <v>September</v>
      </c>
      <c r="Y705" t="str">
        <f t="shared" si="31"/>
        <v>Q3</v>
      </c>
      <c r="Z705" s="7">
        <f t="shared" si="32"/>
        <v>129.99</v>
      </c>
    </row>
    <row r="706" spans="1:26" x14ac:dyDescent="0.3">
      <c r="A706" s="2" t="s">
        <v>4315</v>
      </c>
      <c r="B706" s="8" t="s">
        <v>1527</v>
      </c>
      <c r="C706" s="2" t="s">
        <v>4316</v>
      </c>
      <c r="D706" s="2" t="s">
        <v>4317</v>
      </c>
      <c r="E706" s="2" t="s">
        <v>4318</v>
      </c>
      <c r="F706" s="2" t="s">
        <v>4319</v>
      </c>
      <c r="G706" s="2" t="s">
        <v>74</v>
      </c>
      <c r="H706" s="2" t="s">
        <v>75</v>
      </c>
      <c r="I706" s="2" t="s">
        <v>31</v>
      </c>
      <c r="J706" s="2" t="s">
        <v>47</v>
      </c>
      <c r="K706" s="2" t="s">
        <v>48</v>
      </c>
      <c r="L706" s="2">
        <v>1</v>
      </c>
      <c r="M706" s="3">
        <v>42.99</v>
      </c>
      <c r="N706" s="2" t="s">
        <v>163</v>
      </c>
      <c r="O706" s="3">
        <v>8.6</v>
      </c>
      <c r="P706" s="3">
        <v>4.99</v>
      </c>
      <c r="Q706" s="3">
        <v>2.75</v>
      </c>
      <c r="R706" s="3">
        <v>42.13</v>
      </c>
      <c r="S706" s="2" t="s">
        <v>332</v>
      </c>
      <c r="T706" s="2" t="s">
        <v>36</v>
      </c>
      <c r="U706" s="2" t="s">
        <v>100</v>
      </c>
      <c r="V706" s="2"/>
      <c r="W706" s="3">
        <v>0</v>
      </c>
      <c r="X706" t="str">
        <f t="shared" si="30"/>
        <v>September</v>
      </c>
      <c r="Y706" t="str">
        <f t="shared" si="31"/>
        <v>Q3</v>
      </c>
      <c r="Z706" s="7">
        <f t="shared" si="32"/>
        <v>34.39</v>
      </c>
    </row>
    <row r="707" spans="1:26" x14ac:dyDescent="0.3">
      <c r="A707" s="4" t="s">
        <v>4320</v>
      </c>
      <c r="B707" s="9" t="s">
        <v>1194</v>
      </c>
      <c r="C707" s="4" t="s">
        <v>4321</v>
      </c>
      <c r="D707" s="4" t="s">
        <v>4322</v>
      </c>
      <c r="E707" s="4" t="s">
        <v>4323</v>
      </c>
      <c r="F707" s="4" t="s">
        <v>4324</v>
      </c>
      <c r="G707" s="4" t="s">
        <v>640</v>
      </c>
      <c r="H707" s="4" t="s">
        <v>161</v>
      </c>
      <c r="I707" s="4" t="s">
        <v>31</v>
      </c>
      <c r="J707" s="4" t="s">
        <v>4325</v>
      </c>
      <c r="K707" s="4" t="s">
        <v>77</v>
      </c>
      <c r="L707" s="4">
        <v>2</v>
      </c>
      <c r="M707" s="5">
        <v>134.97999999999999</v>
      </c>
      <c r="N707" s="4" t="s">
        <v>163</v>
      </c>
      <c r="O707" s="5">
        <v>27</v>
      </c>
      <c r="P707" s="5">
        <v>0</v>
      </c>
      <c r="Q707" s="5">
        <v>6.48</v>
      </c>
      <c r="R707" s="5">
        <v>114.46</v>
      </c>
      <c r="S707" s="4" t="s">
        <v>437</v>
      </c>
      <c r="T707" s="4" t="s">
        <v>50</v>
      </c>
      <c r="U707" s="4" t="s">
        <v>100</v>
      </c>
      <c r="V707" s="4"/>
      <c r="W707" s="5">
        <v>0</v>
      </c>
      <c r="X707" t="str">
        <f t="shared" ref="X707:X770" si="33">TEXT(B707,"MMMM")</f>
        <v>December</v>
      </c>
      <c r="Y707" t="str">
        <f t="shared" ref="Y707:Y770" si="34">IF(MONTH(B707)&lt;=3,"Q1",IF(MONTH(B707)&lt;=6,"Q2",IF(MONTH(B707)&lt;=9,"Q3","Q4")))</f>
        <v>Q4</v>
      </c>
      <c r="Z707" s="7">
        <f t="shared" ref="Z707:Z770" si="35">M707-O707</f>
        <v>107.97999999999999</v>
      </c>
    </row>
    <row r="708" spans="1:26" x14ac:dyDescent="0.3">
      <c r="A708" s="2" t="s">
        <v>4326</v>
      </c>
      <c r="B708" s="8" t="s">
        <v>431</v>
      </c>
      <c r="C708" s="2" t="s">
        <v>4327</v>
      </c>
      <c r="D708" s="2" t="s">
        <v>4328</v>
      </c>
      <c r="E708" s="2" t="s">
        <v>4329</v>
      </c>
      <c r="F708" s="2" t="s">
        <v>4330</v>
      </c>
      <c r="G708" s="2" t="s">
        <v>403</v>
      </c>
      <c r="H708" s="2" t="s">
        <v>404</v>
      </c>
      <c r="I708" s="2" t="s">
        <v>31</v>
      </c>
      <c r="J708" s="2" t="s">
        <v>4331</v>
      </c>
      <c r="K708" s="2" t="s">
        <v>209</v>
      </c>
      <c r="L708" s="2">
        <v>2</v>
      </c>
      <c r="M708" s="3">
        <v>104.97</v>
      </c>
      <c r="N708" s="2" t="s">
        <v>63</v>
      </c>
      <c r="O708" s="3">
        <v>26.24</v>
      </c>
      <c r="P708" s="3">
        <v>0</v>
      </c>
      <c r="Q708" s="3">
        <v>5.51</v>
      </c>
      <c r="R708" s="3">
        <v>84.24</v>
      </c>
      <c r="S708" s="2" t="s">
        <v>35</v>
      </c>
      <c r="T708" s="2" t="s">
        <v>99</v>
      </c>
      <c r="U708" s="2" t="s">
        <v>66</v>
      </c>
      <c r="V708" s="2" t="s">
        <v>1149</v>
      </c>
      <c r="W708" s="3">
        <v>0</v>
      </c>
      <c r="X708" t="str">
        <f t="shared" si="33"/>
        <v>June</v>
      </c>
      <c r="Y708" t="str">
        <f t="shared" si="34"/>
        <v>Q2</v>
      </c>
      <c r="Z708" s="7">
        <f t="shared" si="35"/>
        <v>78.73</v>
      </c>
    </row>
    <row r="709" spans="1:26" x14ac:dyDescent="0.3">
      <c r="A709" s="4" t="s">
        <v>4332</v>
      </c>
      <c r="B709" s="9" t="s">
        <v>284</v>
      </c>
      <c r="C709" s="4" t="s">
        <v>4333</v>
      </c>
      <c r="D709" s="4" t="s">
        <v>4334</v>
      </c>
      <c r="E709" s="4" t="s">
        <v>4335</v>
      </c>
      <c r="F709" s="4" t="s">
        <v>4336</v>
      </c>
      <c r="G709" s="4" t="s">
        <v>323</v>
      </c>
      <c r="H709" s="4" t="s">
        <v>324</v>
      </c>
      <c r="I709" s="4" t="s">
        <v>31</v>
      </c>
      <c r="J709" s="4" t="s">
        <v>4337</v>
      </c>
      <c r="K709" s="4" t="s">
        <v>209</v>
      </c>
      <c r="L709" s="4">
        <v>2</v>
      </c>
      <c r="M709" s="5">
        <v>169.97</v>
      </c>
      <c r="N709" s="4" t="s">
        <v>34</v>
      </c>
      <c r="O709" s="5">
        <v>0</v>
      </c>
      <c r="P709" s="5">
        <v>0</v>
      </c>
      <c r="Q709" s="5">
        <v>11.9</v>
      </c>
      <c r="R709" s="5">
        <v>181.87</v>
      </c>
      <c r="S709" s="4" t="s">
        <v>64</v>
      </c>
      <c r="T709" s="4" t="s">
        <v>99</v>
      </c>
      <c r="U709" s="4" t="s">
        <v>37</v>
      </c>
      <c r="V709" s="4" t="s">
        <v>635</v>
      </c>
      <c r="W709" s="5">
        <v>181.87</v>
      </c>
      <c r="X709" t="str">
        <f t="shared" si="33"/>
        <v>March</v>
      </c>
      <c r="Y709" t="str">
        <f t="shared" si="34"/>
        <v>Q1</v>
      </c>
      <c r="Z709" s="7">
        <f t="shared" si="35"/>
        <v>169.97</v>
      </c>
    </row>
    <row r="710" spans="1:26" x14ac:dyDescent="0.3">
      <c r="A710" s="2" t="s">
        <v>4338</v>
      </c>
      <c r="B710" s="8" t="s">
        <v>2532</v>
      </c>
      <c r="C710" s="2" t="s">
        <v>4339</v>
      </c>
      <c r="D710" s="2" t="s">
        <v>3705</v>
      </c>
      <c r="E710" s="2" t="s">
        <v>4340</v>
      </c>
      <c r="F710" s="2" t="s">
        <v>4341</v>
      </c>
      <c r="G710" s="2" t="s">
        <v>207</v>
      </c>
      <c r="H710" s="2" t="s">
        <v>141</v>
      </c>
      <c r="I710" s="2" t="s">
        <v>31</v>
      </c>
      <c r="J710" s="2" t="s">
        <v>4342</v>
      </c>
      <c r="K710" s="2" t="s">
        <v>77</v>
      </c>
      <c r="L710" s="2">
        <v>3</v>
      </c>
      <c r="M710" s="3">
        <v>217.96</v>
      </c>
      <c r="N710" s="2" t="s">
        <v>163</v>
      </c>
      <c r="O710" s="3">
        <v>43.59</v>
      </c>
      <c r="P710" s="3">
        <v>0</v>
      </c>
      <c r="Q710" s="3">
        <v>13.95</v>
      </c>
      <c r="R710" s="3">
        <v>188.32</v>
      </c>
      <c r="S710" s="2" t="s">
        <v>123</v>
      </c>
      <c r="T710" s="2" t="s">
        <v>99</v>
      </c>
      <c r="U710" s="2" t="s">
        <v>317</v>
      </c>
      <c r="V710" s="2"/>
      <c r="W710" s="3">
        <v>0</v>
      </c>
      <c r="X710" t="str">
        <f t="shared" si="33"/>
        <v>November</v>
      </c>
      <c r="Y710" t="str">
        <f t="shared" si="34"/>
        <v>Q4</v>
      </c>
      <c r="Z710" s="7">
        <f t="shared" si="35"/>
        <v>174.37</v>
      </c>
    </row>
    <row r="711" spans="1:26" x14ac:dyDescent="0.3">
      <c r="A711" s="4" t="s">
        <v>4343</v>
      </c>
      <c r="B711" s="9" t="s">
        <v>1417</v>
      </c>
      <c r="C711" s="4" t="s">
        <v>4344</v>
      </c>
      <c r="D711" s="4" t="s">
        <v>4345</v>
      </c>
      <c r="E711" s="4" t="s">
        <v>4346</v>
      </c>
      <c r="F711" s="4" t="s">
        <v>4347</v>
      </c>
      <c r="G711" s="4" t="s">
        <v>394</v>
      </c>
      <c r="H711" s="4" t="s">
        <v>395</v>
      </c>
      <c r="I711" s="4" t="s">
        <v>31</v>
      </c>
      <c r="J711" s="4" t="s">
        <v>132</v>
      </c>
      <c r="K711" s="4" t="s">
        <v>48</v>
      </c>
      <c r="L711" s="4">
        <v>1</v>
      </c>
      <c r="M711" s="5">
        <v>129.97999999999999</v>
      </c>
      <c r="N711" s="4" t="s">
        <v>34</v>
      </c>
      <c r="O711" s="5">
        <v>0</v>
      </c>
      <c r="P711" s="5">
        <v>0</v>
      </c>
      <c r="Q711" s="5">
        <v>13</v>
      </c>
      <c r="R711" s="5">
        <v>142.97999999999999</v>
      </c>
      <c r="S711" s="4" t="s">
        <v>64</v>
      </c>
      <c r="T711" s="4" t="s">
        <v>99</v>
      </c>
      <c r="U711" s="4" t="s">
        <v>51</v>
      </c>
      <c r="V711" s="4" t="s">
        <v>1055</v>
      </c>
      <c r="W711" s="5">
        <v>0</v>
      </c>
      <c r="X711" t="str">
        <f t="shared" si="33"/>
        <v>October</v>
      </c>
      <c r="Y711" t="str">
        <f t="shared" si="34"/>
        <v>Q4</v>
      </c>
      <c r="Z711" s="7">
        <f t="shared" si="35"/>
        <v>129.97999999999999</v>
      </c>
    </row>
    <row r="712" spans="1:26" x14ac:dyDescent="0.3">
      <c r="A712" s="2" t="s">
        <v>4348</v>
      </c>
      <c r="B712" s="8" t="s">
        <v>2616</v>
      </c>
      <c r="C712" s="2" t="s">
        <v>4349</v>
      </c>
      <c r="D712" s="2" t="s">
        <v>4350</v>
      </c>
      <c r="E712" s="2" t="s">
        <v>4351</v>
      </c>
      <c r="F712" s="2" t="s">
        <v>4352</v>
      </c>
      <c r="G712" s="2" t="s">
        <v>428</v>
      </c>
      <c r="H712" s="2" t="s">
        <v>429</v>
      </c>
      <c r="I712" s="2" t="s">
        <v>31</v>
      </c>
      <c r="J712" s="2" t="s">
        <v>4353</v>
      </c>
      <c r="K712" s="2" t="s">
        <v>679</v>
      </c>
      <c r="L712" s="2">
        <v>2</v>
      </c>
      <c r="M712" s="3">
        <v>69.98</v>
      </c>
      <c r="N712" s="2" t="s">
        <v>34</v>
      </c>
      <c r="O712" s="3">
        <v>0</v>
      </c>
      <c r="P712" s="3">
        <v>7.99</v>
      </c>
      <c r="Q712" s="3">
        <v>7</v>
      </c>
      <c r="R712" s="3">
        <v>84.97</v>
      </c>
      <c r="S712" s="2" t="s">
        <v>123</v>
      </c>
      <c r="T712" s="2" t="s">
        <v>144</v>
      </c>
      <c r="U712" s="2" t="s">
        <v>100</v>
      </c>
      <c r="V712" s="2"/>
      <c r="W712" s="3">
        <v>0</v>
      </c>
      <c r="X712" t="str">
        <f t="shared" si="33"/>
        <v>March</v>
      </c>
      <c r="Y712" t="str">
        <f t="shared" si="34"/>
        <v>Q1</v>
      </c>
      <c r="Z712" s="7">
        <f t="shared" si="35"/>
        <v>69.98</v>
      </c>
    </row>
    <row r="713" spans="1:26" x14ac:dyDescent="0.3">
      <c r="A713" s="4" t="s">
        <v>4354</v>
      </c>
      <c r="B713" s="9" t="s">
        <v>959</v>
      </c>
      <c r="C713" s="4" t="s">
        <v>4355</v>
      </c>
      <c r="D713" s="4" t="s">
        <v>4356</v>
      </c>
      <c r="E713" s="4" t="s">
        <v>4357</v>
      </c>
      <c r="F713" s="4" t="s">
        <v>4358</v>
      </c>
      <c r="G713" s="4" t="s">
        <v>87</v>
      </c>
      <c r="H713" s="4" t="s">
        <v>88</v>
      </c>
      <c r="I713" s="4" t="s">
        <v>31</v>
      </c>
      <c r="J713" s="4" t="s">
        <v>4359</v>
      </c>
      <c r="K713" s="4" t="s">
        <v>122</v>
      </c>
      <c r="L713" s="4">
        <v>2</v>
      </c>
      <c r="M713" s="5">
        <v>274.95999999999998</v>
      </c>
      <c r="N713" s="4" t="s">
        <v>34</v>
      </c>
      <c r="O713" s="5">
        <v>0</v>
      </c>
      <c r="P713" s="5">
        <v>0</v>
      </c>
      <c r="Q713" s="5">
        <v>23.37</v>
      </c>
      <c r="R713" s="5">
        <v>298.33</v>
      </c>
      <c r="S713" s="4" t="s">
        <v>35</v>
      </c>
      <c r="T713" s="4" t="s">
        <v>144</v>
      </c>
      <c r="U713" s="4" t="s">
        <v>51</v>
      </c>
      <c r="V713" s="4" t="s">
        <v>153</v>
      </c>
      <c r="W713" s="5">
        <v>0</v>
      </c>
      <c r="X713" t="str">
        <f t="shared" si="33"/>
        <v>January</v>
      </c>
      <c r="Y713" t="str">
        <f t="shared" si="34"/>
        <v>Q1</v>
      </c>
      <c r="Z713" s="7">
        <f t="shared" si="35"/>
        <v>274.95999999999998</v>
      </c>
    </row>
    <row r="714" spans="1:26" x14ac:dyDescent="0.3">
      <c r="A714" s="2" t="s">
        <v>4360</v>
      </c>
      <c r="B714" s="8" t="s">
        <v>90</v>
      </c>
      <c r="C714" s="2" t="s">
        <v>4361</v>
      </c>
      <c r="D714" s="2" t="s">
        <v>4065</v>
      </c>
      <c r="E714" s="2" t="s">
        <v>4362</v>
      </c>
      <c r="F714" s="2" t="s">
        <v>4363</v>
      </c>
      <c r="G714" s="2" t="s">
        <v>676</v>
      </c>
      <c r="H714" s="2" t="s">
        <v>677</v>
      </c>
      <c r="I714" s="2" t="s">
        <v>31</v>
      </c>
      <c r="J714" s="2" t="s">
        <v>4364</v>
      </c>
      <c r="K714" s="2" t="s">
        <v>48</v>
      </c>
      <c r="L714" s="2">
        <v>2</v>
      </c>
      <c r="M714" s="3">
        <v>84.98</v>
      </c>
      <c r="N714" s="2" t="s">
        <v>78</v>
      </c>
      <c r="O714" s="3">
        <v>8.5</v>
      </c>
      <c r="P714" s="3">
        <v>0</v>
      </c>
      <c r="Q714" s="3">
        <v>7.65</v>
      </c>
      <c r="R714" s="3">
        <v>84.13</v>
      </c>
      <c r="S714" s="2" t="s">
        <v>35</v>
      </c>
      <c r="T714" s="2" t="s">
        <v>183</v>
      </c>
      <c r="U714" s="2" t="s">
        <v>66</v>
      </c>
      <c r="V714" s="2" t="s">
        <v>254</v>
      </c>
      <c r="W714" s="3">
        <v>0</v>
      </c>
      <c r="X714" t="str">
        <f t="shared" si="33"/>
        <v>May</v>
      </c>
      <c r="Y714" t="str">
        <f t="shared" si="34"/>
        <v>Q2</v>
      </c>
      <c r="Z714" s="7">
        <f t="shared" si="35"/>
        <v>76.48</v>
      </c>
    </row>
    <row r="715" spans="1:26" x14ac:dyDescent="0.3">
      <c r="A715" s="4" t="s">
        <v>4365</v>
      </c>
      <c r="B715" s="9" t="s">
        <v>952</v>
      </c>
      <c r="C715" s="4" t="s">
        <v>4366</v>
      </c>
      <c r="D715" s="4" t="s">
        <v>3401</v>
      </c>
      <c r="E715" s="4" t="s">
        <v>4367</v>
      </c>
      <c r="F715" s="4" t="s">
        <v>4368</v>
      </c>
      <c r="G715" s="4" t="s">
        <v>131</v>
      </c>
      <c r="H715" s="4" t="s">
        <v>88</v>
      </c>
      <c r="I715" s="4" t="s">
        <v>31</v>
      </c>
      <c r="J715" s="4" t="s">
        <v>4369</v>
      </c>
      <c r="K715" s="4" t="s">
        <v>33</v>
      </c>
      <c r="L715" s="4">
        <v>1</v>
      </c>
      <c r="M715" s="5">
        <v>149.97</v>
      </c>
      <c r="N715" s="4" t="s">
        <v>78</v>
      </c>
      <c r="O715" s="5">
        <v>15</v>
      </c>
      <c r="P715" s="5">
        <v>0</v>
      </c>
      <c r="Q715" s="5">
        <v>10.8</v>
      </c>
      <c r="R715" s="5">
        <v>145.77000000000001</v>
      </c>
      <c r="S715" s="4" t="s">
        <v>64</v>
      </c>
      <c r="T715" s="4" t="s">
        <v>50</v>
      </c>
      <c r="U715" s="4" t="s">
        <v>66</v>
      </c>
      <c r="V715" s="4" t="s">
        <v>2406</v>
      </c>
      <c r="W715" s="5">
        <v>0</v>
      </c>
      <c r="X715" t="str">
        <f t="shared" si="33"/>
        <v>May</v>
      </c>
      <c r="Y715" t="str">
        <f t="shared" si="34"/>
        <v>Q2</v>
      </c>
      <c r="Z715" s="7">
        <f t="shared" si="35"/>
        <v>134.97</v>
      </c>
    </row>
    <row r="716" spans="1:26" x14ac:dyDescent="0.3">
      <c r="A716" s="2" t="s">
        <v>4370</v>
      </c>
      <c r="B716" s="8" t="s">
        <v>877</v>
      </c>
      <c r="C716" s="2" t="s">
        <v>4371</v>
      </c>
      <c r="D716" s="2" t="s">
        <v>4372</v>
      </c>
      <c r="E716" s="2" t="s">
        <v>4373</v>
      </c>
      <c r="F716" s="2" t="s">
        <v>4374</v>
      </c>
      <c r="G716" s="2" t="s">
        <v>242</v>
      </c>
      <c r="H716" s="2" t="s">
        <v>243</v>
      </c>
      <c r="I716" s="2" t="s">
        <v>31</v>
      </c>
      <c r="J716" s="2" t="s">
        <v>151</v>
      </c>
      <c r="K716" s="2" t="s">
        <v>110</v>
      </c>
      <c r="L716" s="2">
        <v>1</v>
      </c>
      <c r="M716" s="3">
        <v>39.99</v>
      </c>
      <c r="N716" s="2" t="s">
        <v>34</v>
      </c>
      <c r="O716" s="3">
        <v>0</v>
      </c>
      <c r="P716" s="3">
        <v>7.99</v>
      </c>
      <c r="Q716" s="3">
        <v>3.6</v>
      </c>
      <c r="R716" s="3">
        <v>51.58</v>
      </c>
      <c r="S716" s="2" t="s">
        <v>123</v>
      </c>
      <c r="T716" s="2" t="s">
        <v>36</v>
      </c>
      <c r="U716" s="2" t="s">
        <v>66</v>
      </c>
      <c r="V716" s="2" t="s">
        <v>2247</v>
      </c>
      <c r="W716" s="3">
        <v>0</v>
      </c>
      <c r="X716" t="str">
        <f t="shared" si="33"/>
        <v>July</v>
      </c>
      <c r="Y716" t="str">
        <f t="shared" si="34"/>
        <v>Q3</v>
      </c>
      <c r="Z716" s="7">
        <f t="shared" si="35"/>
        <v>39.99</v>
      </c>
    </row>
    <row r="717" spans="1:26" x14ac:dyDescent="0.3">
      <c r="A717" s="4" t="s">
        <v>4375</v>
      </c>
      <c r="B717" s="9" t="s">
        <v>609</v>
      </c>
      <c r="C717" s="4" t="s">
        <v>4376</v>
      </c>
      <c r="D717" s="4" t="s">
        <v>4377</v>
      </c>
      <c r="E717" s="4" t="s">
        <v>4378</v>
      </c>
      <c r="F717" s="4" t="s">
        <v>4379</v>
      </c>
      <c r="G717" s="4" t="s">
        <v>242</v>
      </c>
      <c r="H717" s="4" t="s">
        <v>243</v>
      </c>
      <c r="I717" s="4" t="s">
        <v>31</v>
      </c>
      <c r="J717" s="4" t="s">
        <v>4380</v>
      </c>
      <c r="K717" s="4" t="s">
        <v>110</v>
      </c>
      <c r="L717" s="4">
        <v>2</v>
      </c>
      <c r="M717" s="5">
        <v>205.96</v>
      </c>
      <c r="N717" s="4" t="s">
        <v>49</v>
      </c>
      <c r="O717" s="5">
        <v>30.89</v>
      </c>
      <c r="P717" s="5">
        <v>0</v>
      </c>
      <c r="Q717" s="5">
        <v>14.01</v>
      </c>
      <c r="R717" s="5">
        <v>189.08</v>
      </c>
      <c r="S717" s="4" t="s">
        <v>123</v>
      </c>
      <c r="T717" s="4" t="s">
        <v>65</v>
      </c>
      <c r="U717" s="4" t="s">
        <v>66</v>
      </c>
      <c r="V717" s="4" t="s">
        <v>133</v>
      </c>
      <c r="W717" s="5">
        <v>0</v>
      </c>
      <c r="X717" t="str">
        <f t="shared" si="33"/>
        <v>December</v>
      </c>
      <c r="Y717" t="str">
        <f t="shared" si="34"/>
        <v>Q4</v>
      </c>
      <c r="Z717" s="7">
        <f t="shared" si="35"/>
        <v>175.07</v>
      </c>
    </row>
    <row r="718" spans="1:26" x14ac:dyDescent="0.3">
      <c r="A718" s="2" t="s">
        <v>4381</v>
      </c>
      <c r="B718" s="8" t="s">
        <v>1246</v>
      </c>
      <c r="C718" s="2" t="s">
        <v>4382</v>
      </c>
      <c r="D718" s="2" t="s">
        <v>4383</v>
      </c>
      <c r="E718" s="2" t="s">
        <v>4384</v>
      </c>
      <c r="F718" s="2" t="s">
        <v>4385</v>
      </c>
      <c r="G718" s="2" t="s">
        <v>347</v>
      </c>
      <c r="H718" s="2" t="s">
        <v>60</v>
      </c>
      <c r="I718" s="2" t="s">
        <v>31</v>
      </c>
      <c r="J718" s="2" t="s">
        <v>151</v>
      </c>
      <c r="K718" s="2" t="s">
        <v>110</v>
      </c>
      <c r="L718" s="2">
        <v>1</v>
      </c>
      <c r="M718" s="3">
        <v>39.99</v>
      </c>
      <c r="N718" s="2" t="s">
        <v>152</v>
      </c>
      <c r="O718" s="3">
        <v>2</v>
      </c>
      <c r="P718" s="3">
        <v>9.99</v>
      </c>
      <c r="Q718" s="3">
        <v>2.2799999999999998</v>
      </c>
      <c r="R718" s="3">
        <v>50.26</v>
      </c>
      <c r="S718" s="2" t="s">
        <v>35</v>
      </c>
      <c r="T718" s="2" t="s">
        <v>99</v>
      </c>
      <c r="U718" s="2" t="s">
        <v>66</v>
      </c>
      <c r="V718" s="2" t="s">
        <v>1596</v>
      </c>
      <c r="W718" s="3">
        <v>0</v>
      </c>
      <c r="X718" t="str">
        <f t="shared" si="33"/>
        <v>December</v>
      </c>
      <c r="Y718" t="str">
        <f t="shared" si="34"/>
        <v>Q4</v>
      </c>
      <c r="Z718" s="7">
        <f t="shared" si="35"/>
        <v>37.99</v>
      </c>
    </row>
    <row r="719" spans="1:26" x14ac:dyDescent="0.3">
      <c r="A719" s="4" t="s">
        <v>4386</v>
      </c>
      <c r="B719" s="9" t="s">
        <v>1377</v>
      </c>
      <c r="C719" s="4" t="s">
        <v>4387</v>
      </c>
      <c r="D719" s="4" t="s">
        <v>313</v>
      </c>
      <c r="E719" s="4" t="s">
        <v>4388</v>
      </c>
      <c r="F719" s="4" t="s">
        <v>4389</v>
      </c>
      <c r="G719" s="4" t="s">
        <v>107</v>
      </c>
      <c r="H719" s="4" t="s">
        <v>108</v>
      </c>
      <c r="I719" s="4" t="s">
        <v>31</v>
      </c>
      <c r="J719" s="4" t="s">
        <v>4390</v>
      </c>
      <c r="K719" s="4" t="s">
        <v>77</v>
      </c>
      <c r="L719" s="4">
        <v>2</v>
      </c>
      <c r="M719" s="5">
        <v>115.96</v>
      </c>
      <c r="N719" s="4" t="s">
        <v>34</v>
      </c>
      <c r="O719" s="5">
        <v>0</v>
      </c>
      <c r="P719" s="5">
        <v>0</v>
      </c>
      <c r="Q719" s="5">
        <v>8.1199999999999992</v>
      </c>
      <c r="R719" s="5">
        <v>124.08</v>
      </c>
      <c r="S719" s="4" t="s">
        <v>332</v>
      </c>
      <c r="T719" s="4" t="s">
        <v>99</v>
      </c>
      <c r="U719" s="4" t="s">
        <v>66</v>
      </c>
      <c r="V719" s="4" t="s">
        <v>617</v>
      </c>
      <c r="W719" s="5">
        <v>0</v>
      </c>
      <c r="X719" t="str">
        <f t="shared" si="33"/>
        <v>November</v>
      </c>
      <c r="Y719" t="str">
        <f t="shared" si="34"/>
        <v>Q4</v>
      </c>
      <c r="Z719" s="7">
        <f t="shared" si="35"/>
        <v>115.96</v>
      </c>
    </row>
    <row r="720" spans="1:26" x14ac:dyDescent="0.3">
      <c r="A720" s="2" t="s">
        <v>4391</v>
      </c>
      <c r="B720" s="8" t="s">
        <v>447</v>
      </c>
      <c r="C720" s="2" t="s">
        <v>4392</v>
      </c>
      <c r="D720" s="2" t="s">
        <v>3054</v>
      </c>
      <c r="E720" s="2" t="s">
        <v>4393</v>
      </c>
      <c r="F720" s="2" t="s">
        <v>4394</v>
      </c>
      <c r="G720" s="2" t="s">
        <v>394</v>
      </c>
      <c r="H720" s="2" t="s">
        <v>395</v>
      </c>
      <c r="I720" s="2" t="s">
        <v>31</v>
      </c>
      <c r="J720" s="2" t="s">
        <v>4395</v>
      </c>
      <c r="K720" s="2" t="s">
        <v>33</v>
      </c>
      <c r="L720" s="2">
        <v>4</v>
      </c>
      <c r="M720" s="3">
        <v>299.94</v>
      </c>
      <c r="N720" s="2" t="s">
        <v>78</v>
      </c>
      <c r="O720" s="3">
        <v>29.99</v>
      </c>
      <c r="P720" s="3">
        <v>0</v>
      </c>
      <c r="Q720" s="3">
        <v>16.2</v>
      </c>
      <c r="R720" s="3">
        <v>286.14999999999998</v>
      </c>
      <c r="S720" s="2" t="s">
        <v>35</v>
      </c>
      <c r="T720" s="2" t="s">
        <v>65</v>
      </c>
      <c r="U720" s="2" t="s">
        <v>100</v>
      </c>
      <c r="V720" s="2"/>
      <c r="W720" s="3">
        <v>0</v>
      </c>
      <c r="X720" t="str">
        <f t="shared" si="33"/>
        <v>May</v>
      </c>
      <c r="Y720" t="str">
        <f t="shared" si="34"/>
        <v>Q2</v>
      </c>
      <c r="Z720" s="7">
        <f t="shared" si="35"/>
        <v>269.95</v>
      </c>
    </row>
    <row r="721" spans="1:26" x14ac:dyDescent="0.3">
      <c r="A721" s="4" t="s">
        <v>4396</v>
      </c>
      <c r="B721" s="9" t="s">
        <v>1122</v>
      </c>
      <c r="C721" s="4" t="s">
        <v>4397</v>
      </c>
      <c r="D721" s="4" t="s">
        <v>4398</v>
      </c>
      <c r="E721" s="4" t="s">
        <v>4399</v>
      </c>
      <c r="F721" s="4" t="s">
        <v>4400</v>
      </c>
      <c r="G721" s="4" t="s">
        <v>74</v>
      </c>
      <c r="H721" s="4" t="s">
        <v>75</v>
      </c>
      <c r="I721" s="4" t="s">
        <v>31</v>
      </c>
      <c r="J721" s="4" t="s">
        <v>1054</v>
      </c>
      <c r="K721" s="4" t="s">
        <v>364</v>
      </c>
      <c r="L721" s="4">
        <v>1</v>
      </c>
      <c r="M721" s="5">
        <v>44.99</v>
      </c>
      <c r="N721" s="4" t="s">
        <v>49</v>
      </c>
      <c r="O721" s="5">
        <v>6.75</v>
      </c>
      <c r="P721" s="5">
        <v>4.99</v>
      </c>
      <c r="Q721" s="5">
        <v>2.29</v>
      </c>
      <c r="R721" s="5">
        <v>45.52</v>
      </c>
      <c r="S721" s="4" t="s">
        <v>437</v>
      </c>
      <c r="T721" s="4" t="s">
        <v>173</v>
      </c>
      <c r="U721" s="4" t="s">
        <v>37</v>
      </c>
      <c r="V721" s="4" t="s">
        <v>572</v>
      </c>
      <c r="W721" s="5">
        <v>45.52</v>
      </c>
      <c r="X721" t="str">
        <f t="shared" si="33"/>
        <v>January</v>
      </c>
      <c r="Y721" t="str">
        <f t="shared" si="34"/>
        <v>Q1</v>
      </c>
      <c r="Z721" s="7">
        <f t="shared" si="35"/>
        <v>38.24</v>
      </c>
    </row>
    <row r="722" spans="1:26" x14ac:dyDescent="0.3">
      <c r="A722" s="2" t="s">
        <v>4401</v>
      </c>
      <c r="B722" s="8" t="s">
        <v>601</v>
      </c>
      <c r="C722" s="2" t="s">
        <v>4402</v>
      </c>
      <c r="D722" s="2" t="s">
        <v>4403</v>
      </c>
      <c r="E722" s="2" t="s">
        <v>4404</v>
      </c>
      <c r="F722" s="2" t="s">
        <v>4405</v>
      </c>
      <c r="G722" s="2" t="s">
        <v>29</v>
      </c>
      <c r="H722" s="2" t="s">
        <v>30</v>
      </c>
      <c r="I722" s="2" t="s">
        <v>31</v>
      </c>
      <c r="J722" s="2" t="s">
        <v>983</v>
      </c>
      <c r="K722" s="2" t="s">
        <v>122</v>
      </c>
      <c r="L722" s="2">
        <v>1</v>
      </c>
      <c r="M722" s="3">
        <v>209.97</v>
      </c>
      <c r="N722" s="2" t="s">
        <v>63</v>
      </c>
      <c r="O722" s="3">
        <v>52.49</v>
      </c>
      <c r="P722" s="3">
        <v>0</v>
      </c>
      <c r="Q722" s="3">
        <v>12.6</v>
      </c>
      <c r="R722" s="3">
        <v>170.08</v>
      </c>
      <c r="S722" s="2" t="s">
        <v>123</v>
      </c>
      <c r="T722" s="2" t="s">
        <v>173</v>
      </c>
      <c r="U722" s="2" t="s">
        <v>100</v>
      </c>
      <c r="V722" s="2"/>
      <c r="W722" s="3">
        <v>0</v>
      </c>
      <c r="X722" t="str">
        <f t="shared" si="33"/>
        <v>May</v>
      </c>
      <c r="Y722" t="str">
        <f t="shared" si="34"/>
        <v>Q2</v>
      </c>
      <c r="Z722" s="7">
        <f t="shared" si="35"/>
        <v>157.47999999999999</v>
      </c>
    </row>
    <row r="723" spans="1:26" x14ac:dyDescent="0.3">
      <c r="A723" s="4" t="s">
        <v>4406</v>
      </c>
      <c r="B723" s="9" t="s">
        <v>764</v>
      </c>
      <c r="C723" s="4" t="s">
        <v>4407</v>
      </c>
      <c r="D723" s="4" t="s">
        <v>4408</v>
      </c>
      <c r="E723" s="4" t="s">
        <v>4409</v>
      </c>
      <c r="F723" s="4" t="s">
        <v>4410</v>
      </c>
      <c r="G723" s="4" t="s">
        <v>74</v>
      </c>
      <c r="H723" s="4" t="s">
        <v>75</v>
      </c>
      <c r="I723" s="4" t="s">
        <v>31</v>
      </c>
      <c r="J723" s="4" t="s">
        <v>4411</v>
      </c>
      <c r="K723" s="4" t="s">
        <v>364</v>
      </c>
      <c r="L723" s="4">
        <v>3</v>
      </c>
      <c r="M723" s="5">
        <v>217.95</v>
      </c>
      <c r="N723" s="4" t="s">
        <v>49</v>
      </c>
      <c r="O723" s="5">
        <v>32.69</v>
      </c>
      <c r="P723" s="5">
        <v>0</v>
      </c>
      <c r="Q723" s="5">
        <v>15.75</v>
      </c>
      <c r="R723" s="5">
        <v>201.01</v>
      </c>
      <c r="S723" s="4" t="s">
        <v>35</v>
      </c>
      <c r="T723" s="4" t="s">
        <v>50</v>
      </c>
      <c r="U723" s="4" t="s">
        <v>51</v>
      </c>
      <c r="V723" s="4" t="s">
        <v>595</v>
      </c>
      <c r="W723" s="5">
        <v>0</v>
      </c>
      <c r="X723" t="str">
        <f t="shared" si="33"/>
        <v>April</v>
      </c>
      <c r="Y723" t="str">
        <f t="shared" si="34"/>
        <v>Q2</v>
      </c>
      <c r="Z723" s="7">
        <f t="shared" si="35"/>
        <v>185.26</v>
      </c>
    </row>
    <row r="724" spans="1:26" x14ac:dyDescent="0.3">
      <c r="A724" s="2" t="s">
        <v>4412</v>
      </c>
      <c r="B724" s="8" t="s">
        <v>851</v>
      </c>
      <c r="C724" s="2" t="s">
        <v>4413</v>
      </c>
      <c r="D724" s="2" t="s">
        <v>4414</v>
      </c>
      <c r="E724" s="2" t="s">
        <v>4415</v>
      </c>
      <c r="F724" s="2" t="s">
        <v>4416</v>
      </c>
      <c r="G724" s="2" t="s">
        <v>251</v>
      </c>
      <c r="H724" s="2" t="s">
        <v>252</v>
      </c>
      <c r="I724" s="2" t="s">
        <v>31</v>
      </c>
      <c r="J724" s="2" t="s">
        <v>4417</v>
      </c>
      <c r="K724" s="2" t="s">
        <v>209</v>
      </c>
      <c r="L724" s="2">
        <v>3</v>
      </c>
      <c r="M724" s="3">
        <v>138.96</v>
      </c>
      <c r="N724" s="2" t="s">
        <v>152</v>
      </c>
      <c r="O724" s="3">
        <v>6.95</v>
      </c>
      <c r="P724" s="3">
        <v>0</v>
      </c>
      <c r="Q724" s="3">
        <v>11.22</v>
      </c>
      <c r="R724" s="3">
        <v>143.22999999999999</v>
      </c>
      <c r="S724" s="2" t="s">
        <v>332</v>
      </c>
      <c r="T724" s="2" t="s">
        <v>173</v>
      </c>
      <c r="U724" s="2" t="s">
        <v>66</v>
      </c>
      <c r="V724" s="2" t="s">
        <v>2565</v>
      </c>
      <c r="W724" s="3">
        <v>0</v>
      </c>
      <c r="X724" t="str">
        <f t="shared" si="33"/>
        <v>July</v>
      </c>
      <c r="Y724" t="str">
        <f t="shared" si="34"/>
        <v>Q3</v>
      </c>
      <c r="Z724" s="7">
        <f t="shared" si="35"/>
        <v>132.01000000000002</v>
      </c>
    </row>
    <row r="725" spans="1:26" x14ac:dyDescent="0.3">
      <c r="A725" s="4" t="s">
        <v>4418</v>
      </c>
      <c r="B725" s="9" t="s">
        <v>1539</v>
      </c>
      <c r="C725" s="4" t="s">
        <v>4419</v>
      </c>
      <c r="D725" s="4" t="s">
        <v>4420</v>
      </c>
      <c r="E725" s="4" t="s">
        <v>4421</v>
      </c>
      <c r="F725" s="4" t="s">
        <v>4422</v>
      </c>
      <c r="G725" s="4" t="s">
        <v>242</v>
      </c>
      <c r="H725" s="4" t="s">
        <v>243</v>
      </c>
      <c r="I725" s="4" t="s">
        <v>31</v>
      </c>
      <c r="J725" s="4" t="s">
        <v>526</v>
      </c>
      <c r="K725" s="4" t="s">
        <v>110</v>
      </c>
      <c r="L725" s="4">
        <v>1</v>
      </c>
      <c r="M725" s="5">
        <v>32.99</v>
      </c>
      <c r="N725" s="4" t="s">
        <v>78</v>
      </c>
      <c r="O725" s="5">
        <v>3.3</v>
      </c>
      <c r="P725" s="5">
        <v>7.99</v>
      </c>
      <c r="Q725" s="5">
        <v>1.78</v>
      </c>
      <c r="R725" s="5">
        <v>39.46</v>
      </c>
      <c r="S725" s="4" t="s">
        <v>332</v>
      </c>
      <c r="T725" s="4" t="s">
        <v>99</v>
      </c>
      <c r="U725" s="4" t="s">
        <v>100</v>
      </c>
      <c r="V725" s="4"/>
      <c r="W725" s="5">
        <v>0</v>
      </c>
      <c r="X725" t="str">
        <f t="shared" si="33"/>
        <v>March</v>
      </c>
      <c r="Y725" t="str">
        <f t="shared" si="34"/>
        <v>Q1</v>
      </c>
      <c r="Z725" s="7">
        <f t="shared" si="35"/>
        <v>29.69</v>
      </c>
    </row>
    <row r="726" spans="1:26" x14ac:dyDescent="0.3">
      <c r="A726" s="2" t="s">
        <v>4423</v>
      </c>
      <c r="B726" s="8" t="s">
        <v>3092</v>
      </c>
      <c r="C726" s="2" t="s">
        <v>4424</v>
      </c>
      <c r="D726" s="2" t="s">
        <v>4425</v>
      </c>
      <c r="E726" s="2" t="s">
        <v>4426</v>
      </c>
      <c r="F726" s="2" t="s">
        <v>4427</v>
      </c>
      <c r="G726" s="2" t="s">
        <v>428</v>
      </c>
      <c r="H726" s="2" t="s">
        <v>429</v>
      </c>
      <c r="I726" s="2" t="s">
        <v>31</v>
      </c>
      <c r="J726" s="2" t="s">
        <v>379</v>
      </c>
      <c r="K726" s="2" t="s">
        <v>209</v>
      </c>
      <c r="L726" s="2">
        <v>1</v>
      </c>
      <c r="M726" s="3">
        <v>89.99</v>
      </c>
      <c r="N726" s="2" t="s">
        <v>34</v>
      </c>
      <c r="O726" s="3">
        <v>0</v>
      </c>
      <c r="P726" s="3">
        <v>0</v>
      </c>
      <c r="Q726" s="3">
        <v>5.4</v>
      </c>
      <c r="R726" s="3">
        <v>95.39</v>
      </c>
      <c r="S726" s="2" t="s">
        <v>123</v>
      </c>
      <c r="T726" s="2" t="s">
        <v>99</v>
      </c>
      <c r="U726" s="2" t="s">
        <v>100</v>
      </c>
      <c r="V726" s="2"/>
      <c r="W726" s="3">
        <v>0</v>
      </c>
      <c r="X726" t="str">
        <f t="shared" si="33"/>
        <v>March</v>
      </c>
      <c r="Y726" t="str">
        <f t="shared" si="34"/>
        <v>Q1</v>
      </c>
      <c r="Z726" s="7">
        <f t="shared" si="35"/>
        <v>89.99</v>
      </c>
    </row>
    <row r="727" spans="1:26" x14ac:dyDescent="0.3">
      <c r="A727" s="4" t="s">
        <v>4428</v>
      </c>
      <c r="B727" s="9" t="s">
        <v>2296</v>
      </c>
      <c r="C727" s="4" t="s">
        <v>4429</v>
      </c>
      <c r="D727" s="4" t="s">
        <v>1614</v>
      </c>
      <c r="E727" s="4" t="s">
        <v>4430</v>
      </c>
      <c r="F727" s="4" t="s">
        <v>4431</v>
      </c>
      <c r="G727" s="4" t="s">
        <v>74</v>
      </c>
      <c r="H727" s="4" t="s">
        <v>75</v>
      </c>
      <c r="I727" s="4" t="s">
        <v>31</v>
      </c>
      <c r="J727" s="4" t="s">
        <v>4432</v>
      </c>
      <c r="K727" s="4" t="s">
        <v>62</v>
      </c>
      <c r="L727" s="4">
        <v>2</v>
      </c>
      <c r="M727" s="5">
        <v>139.97999999999999</v>
      </c>
      <c r="N727" s="4" t="s">
        <v>78</v>
      </c>
      <c r="O727" s="5">
        <v>14</v>
      </c>
      <c r="P727" s="5">
        <v>0</v>
      </c>
      <c r="Q727" s="5">
        <v>11.34</v>
      </c>
      <c r="R727" s="5">
        <v>137.32</v>
      </c>
      <c r="S727" s="4" t="s">
        <v>64</v>
      </c>
      <c r="T727" s="4" t="s">
        <v>99</v>
      </c>
      <c r="U727" s="4" t="s">
        <v>100</v>
      </c>
      <c r="V727" s="4"/>
      <c r="W727" s="5">
        <v>0</v>
      </c>
      <c r="X727" t="str">
        <f t="shared" si="33"/>
        <v>July</v>
      </c>
      <c r="Y727" t="str">
        <f t="shared" si="34"/>
        <v>Q3</v>
      </c>
      <c r="Z727" s="7">
        <f t="shared" si="35"/>
        <v>125.97999999999999</v>
      </c>
    </row>
    <row r="728" spans="1:26" x14ac:dyDescent="0.3">
      <c r="A728" s="2" t="s">
        <v>4433</v>
      </c>
      <c r="B728" s="8" t="s">
        <v>1567</v>
      </c>
      <c r="C728" s="2" t="s">
        <v>4434</v>
      </c>
      <c r="D728" s="2" t="s">
        <v>4435</v>
      </c>
      <c r="E728" s="2" t="s">
        <v>4436</v>
      </c>
      <c r="F728" s="2" t="s">
        <v>4437</v>
      </c>
      <c r="G728" s="2" t="s">
        <v>640</v>
      </c>
      <c r="H728" s="2" t="s">
        <v>161</v>
      </c>
      <c r="I728" s="2" t="s">
        <v>31</v>
      </c>
      <c r="J728" s="2" t="s">
        <v>2792</v>
      </c>
      <c r="K728" s="2" t="s">
        <v>209</v>
      </c>
      <c r="L728" s="2">
        <v>1</v>
      </c>
      <c r="M728" s="3">
        <v>79.98</v>
      </c>
      <c r="N728" s="2" t="s">
        <v>78</v>
      </c>
      <c r="O728" s="3">
        <v>8</v>
      </c>
      <c r="P728" s="3">
        <v>0</v>
      </c>
      <c r="Q728" s="3">
        <v>6.48</v>
      </c>
      <c r="R728" s="3">
        <v>78.459999999999994</v>
      </c>
      <c r="S728" s="2" t="s">
        <v>35</v>
      </c>
      <c r="T728" s="2" t="s">
        <v>99</v>
      </c>
      <c r="U728" s="2" t="s">
        <v>66</v>
      </c>
      <c r="V728" s="2" t="s">
        <v>1805</v>
      </c>
      <c r="W728" s="3">
        <v>0</v>
      </c>
      <c r="X728" t="str">
        <f t="shared" si="33"/>
        <v>September</v>
      </c>
      <c r="Y728" t="str">
        <f t="shared" si="34"/>
        <v>Q3</v>
      </c>
      <c r="Z728" s="7">
        <f t="shared" si="35"/>
        <v>71.98</v>
      </c>
    </row>
    <row r="729" spans="1:26" x14ac:dyDescent="0.3">
      <c r="A729" s="4" t="s">
        <v>4438</v>
      </c>
      <c r="B729" s="9" t="s">
        <v>797</v>
      </c>
      <c r="C729" s="4" t="s">
        <v>4439</v>
      </c>
      <c r="D729" s="4" t="s">
        <v>1875</v>
      </c>
      <c r="E729" s="4" t="s">
        <v>4440</v>
      </c>
      <c r="F729" s="4" t="s">
        <v>4441</v>
      </c>
      <c r="G729" s="4" t="s">
        <v>640</v>
      </c>
      <c r="H729" s="4" t="s">
        <v>161</v>
      </c>
      <c r="I729" s="4" t="s">
        <v>31</v>
      </c>
      <c r="J729" s="4" t="s">
        <v>577</v>
      </c>
      <c r="K729" s="4" t="s">
        <v>364</v>
      </c>
      <c r="L729" s="4">
        <v>1</v>
      </c>
      <c r="M729" s="5">
        <v>19.989999999999998</v>
      </c>
      <c r="N729" s="4" t="s">
        <v>34</v>
      </c>
      <c r="O729" s="5">
        <v>0</v>
      </c>
      <c r="P729" s="5">
        <v>4.99</v>
      </c>
      <c r="Q729" s="5">
        <v>2</v>
      </c>
      <c r="R729" s="5">
        <v>26.98</v>
      </c>
      <c r="S729" s="4" t="s">
        <v>79</v>
      </c>
      <c r="T729" s="4" t="s">
        <v>99</v>
      </c>
      <c r="U729" s="4" t="s">
        <v>66</v>
      </c>
      <c r="V729" s="4" t="s">
        <v>1063</v>
      </c>
      <c r="W729" s="5">
        <v>0</v>
      </c>
      <c r="X729" t="str">
        <f t="shared" si="33"/>
        <v>December</v>
      </c>
      <c r="Y729" t="str">
        <f t="shared" si="34"/>
        <v>Q4</v>
      </c>
      <c r="Z729" s="7">
        <f t="shared" si="35"/>
        <v>19.989999999999998</v>
      </c>
    </row>
    <row r="730" spans="1:26" x14ac:dyDescent="0.3">
      <c r="A730" s="2" t="s">
        <v>4442</v>
      </c>
      <c r="B730" s="8" t="s">
        <v>2584</v>
      </c>
      <c r="C730" s="2" t="s">
        <v>4443</v>
      </c>
      <c r="D730" s="2" t="s">
        <v>689</v>
      </c>
      <c r="E730" s="2" t="s">
        <v>4444</v>
      </c>
      <c r="F730" s="2" t="s">
        <v>4445</v>
      </c>
      <c r="G730" s="2" t="s">
        <v>403</v>
      </c>
      <c r="H730" s="2" t="s">
        <v>404</v>
      </c>
      <c r="I730" s="2" t="s">
        <v>31</v>
      </c>
      <c r="J730" s="2" t="s">
        <v>4446</v>
      </c>
      <c r="K730" s="2" t="s">
        <v>62</v>
      </c>
      <c r="L730" s="2">
        <v>2</v>
      </c>
      <c r="M730" s="3">
        <v>110.97</v>
      </c>
      <c r="N730" s="2" t="s">
        <v>152</v>
      </c>
      <c r="O730" s="3">
        <v>5.55</v>
      </c>
      <c r="P730" s="3">
        <v>0</v>
      </c>
      <c r="Q730" s="3">
        <v>8.9600000000000009</v>
      </c>
      <c r="R730" s="3">
        <v>114.38</v>
      </c>
      <c r="S730" s="2" t="s">
        <v>123</v>
      </c>
      <c r="T730" s="2" t="s">
        <v>99</v>
      </c>
      <c r="U730" s="2" t="s">
        <v>66</v>
      </c>
      <c r="V730" s="2" t="s">
        <v>439</v>
      </c>
      <c r="W730" s="3">
        <v>0</v>
      </c>
      <c r="X730" t="str">
        <f t="shared" si="33"/>
        <v>August</v>
      </c>
      <c r="Y730" t="str">
        <f t="shared" si="34"/>
        <v>Q3</v>
      </c>
      <c r="Z730" s="7">
        <f t="shared" si="35"/>
        <v>105.42</v>
      </c>
    </row>
    <row r="731" spans="1:26" x14ac:dyDescent="0.3">
      <c r="A731" s="4" t="s">
        <v>4447</v>
      </c>
      <c r="B731" s="9" t="s">
        <v>3927</v>
      </c>
      <c r="C731" s="4" t="s">
        <v>4448</v>
      </c>
      <c r="D731" s="4" t="s">
        <v>4449</v>
      </c>
      <c r="E731" s="4" t="s">
        <v>4450</v>
      </c>
      <c r="F731" s="4" t="s">
        <v>4451</v>
      </c>
      <c r="G731" s="4" t="s">
        <v>131</v>
      </c>
      <c r="H731" s="4" t="s">
        <v>88</v>
      </c>
      <c r="I731" s="4" t="s">
        <v>31</v>
      </c>
      <c r="J731" s="4" t="s">
        <v>4452</v>
      </c>
      <c r="K731" s="4" t="s">
        <v>48</v>
      </c>
      <c r="L731" s="4">
        <v>3</v>
      </c>
      <c r="M731" s="5">
        <v>104.97</v>
      </c>
      <c r="N731" s="4" t="s">
        <v>63</v>
      </c>
      <c r="O731" s="5">
        <v>26.24</v>
      </c>
      <c r="P731" s="5">
        <v>0</v>
      </c>
      <c r="Q731" s="5">
        <v>6.3</v>
      </c>
      <c r="R731" s="5">
        <v>85.03</v>
      </c>
      <c r="S731" s="4" t="s">
        <v>35</v>
      </c>
      <c r="T731" s="4" t="s">
        <v>99</v>
      </c>
      <c r="U731" s="4" t="s">
        <v>66</v>
      </c>
      <c r="V731" s="4" t="s">
        <v>2205</v>
      </c>
      <c r="W731" s="5">
        <v>0</v>
      </c>
      <c r="X731" t="str">
        <f t="shared" si="33"/>
        <v>November</v>
      </c>
      <c r="Y731" t="str">
        <f t="shared" si="34"/>
        <v>Q4</v>
      </c>
      <c r="Z731" s="7">
        <f t="shared" si="35"/>
        <v>78.73</v>
      </c>
    </row>
    <row r="732" spans="1:26" x14ac:dyDescent="0.3">
      <c r="A732" s="2" t="s">
        <v>4453</v>
      </c>
      <c r="B732" s="8" t="s">
        <v>1653</v>
      </c>
      <c r="C732" s="2" t="s">
        <v>4454</v>
      </c>
      <c r="D732" s="2" t="s">
        <v>4455</v>
      </c>
      <c r="E732" s="2" t="s">
        <v>4456</v>
      </c>
      <c r="F732" s="2" t="s">
        <v>4457</v>
      </c>
      <c r="G732" s="2" t="s">
        <v>802</v>
      </c>
      <c r="H732" s="2" t="s">
        <v>88</v>
      </c>
      <c r="I732" s="2" t="s">
        <v>31</v>
      </c>
      <c r="J732" s="2" t="s">
        <v>577</v>
      </c>
      <c r="K732" s="2" t="s">
        <v>364</v>
      </c>
      <c r="L732" s="2">
        <v>1</v>
      </c>
      <c r="M732" s="3">
        <v>19.989999999999998</v>
      </c>
      <c r="N732" s="2" t="s">
        <v>34</v>
      </c>
      <c r="O732" s="3">
        <v>0</v>
      </c>
      <c r="P732" s="3">
        <v>5.99</v>
      </c>
      <c r="Q732" s="3">
        <v>1.7</v>
      </c>
      <c r="R732" s="3">
        <v>27.68</v>
      </c>
      <c r="S732" s="2" t="s">
        <v>332</v>
      </c>
      <c r="T732" s="2" t="s">
        <v>65</v>
      </c>
      <c r="U732" s="2" t="s">
        <v>37</v>
      </c>
      <c r="V732" s="2" t="s">
        <v>891</v>
      </c>
      <c r="W732" s="3">
        <v>27.68</v>
      </c>
      <c r="X732" t="str">
        <f t="shared" si="33"/>
        <v>May</v>
      </c>
      <c r="Y732" t="str">
        <f t="shared" si="34"/>
        <v>Q2</v>
      </c>
      <c r="Z732" s="7">
        <f t="shared" si="35"/>
        <v>19.989999999999998</v>
      </c>
    </row>
    <row r="733" spans="1:26" x14ac:dyDescent="0.3">
      <c r="A733" s="4" t="s">
        <v>4458</v>
      </c>
      <c r="B733" s="9" t="s">
        <v>865</v>
      </c>
      <c r="C733" s="4" t="s">
        <v>4459</v>
      </c>
      <c r="D733" s="4" t="s">
        <v>4460</v>
      </c>
      <c r="E733" s="4" t="s">
        <v>4461</v>
      </c>
      <c r="F733" s="4" t="s">
        <v>4462</v>
      </c>
      <c r="G733" s="4" t="s">
        <v>29</v>
      </c>
      <c r="H733" s="4" t="s">
        <v>30</v>
      </c>
      <c r="I733" s="4" t="s">
        <v>31</v>
      </c>
      <c r="J733" s="4" t="s">
        <v>4463</v>
      </c>
      <c r="K733" s="4" t="s">
        <v>110</v>
      </c>
      <c r="L733" s="4">
        <v>3</v>
      </c>
      <c r="M733" s="5">
        <v>229.96</v>
      </c>
      <c r="N733" s="4" t="s">
        <v>34</v>
      </c>
      <c r="O733" s="5">
        <v>0</v>
      </c>
      <c r="P733" s="5">
        <v>0</v>
      </c>
      <c r="Q733" s="5">
        <v>23</v>
      </c>
      <c r="R733" s="5">
        <v>252.96</v>
      </c>
      <c r="S733" s="4" t="s">
        <v>79</v>
      </c>
      <c r="T733" s="4" t="s">
        <v>173</v>
      </c>
      <c r="U733" s="4" t="s">
        <v>51</v>
      </c>
      <c r="V733" s="4" t="s">
        <v>342</v>
      </c>
      <c r="W733" s="5">
        <v>0</v>
      </c>
      <c r="X733" t="str">
        <f t="shared" si="33"/>
        <v>August</v>
      </c>
      <c r="Y733" t="str">
        <f t="shared" si="34"/>
        <v>Q3</v>
      </c>
      <c r="Z733" s="7">
        <f t="shared" si="35"/>
        <v>229.96</v>
      </c>
    </row>
    <row r="734" spans="1:26" x14ac:dyDescent="0.3">
      <c r="A734" s="2" t="s">
        <v>4464</v>
      </c>
      <c r="B734" s="8" t="s">
        <v>349</v>
      </c>
      <c r="C734" s="2" t="s">
        <v>4465</v>
      </c>
      <c r="D734" s="2" t="s">
        <v>2132</v>
      </c>
      <c r="E734" s="2" t="s">
        <v>4466</v>
      </c>
      <c r="F734" s="2" t="s">
        <v>4467</v>
      </c>
      <c r="G734" s="2" t="s">
        <v>224</v>
      </c>
      <c r="H734" s="2" t="s">
        <v>225</v>
      </c>
      <c r="I734" s="2" t="s">
        <v>31</v>
      </c>
      <c r="J734" s="2" t="s">
        <v>172</v>
      </c>
      <c r="K734" s="2" t="s">
        <v>122</v>
      </c>
      <c r="L734" s="2">
        <v>1</v>
      </c>
      <c r="M734" s="3">
        <v>69.989999999999995</v>
      </c>
      <c r="N734" s="2" t="s">
        <v>49</v>
      </c>
      <c r="O734" s="3">
        <v>10.5</v>
      </c>
      <c r="P734" s="3">
        <v>7.99</v>
      </c>
      <c r="Q734" s="3">
        <v>5.0599999999999996</v>
      </c>
      <c r="R734" s="3">
        <v>72.540000000000006</v>
      </c>
      <c r="S734" s="2" t="s">
        <v>79</v>
      </c>
      <c r="T734" s="2" t="s">
        <v>325</v>
      </c>
      <c r="U734" s="2" t="s">
        <v>100</v>
      </c>
      <c r="V734" s="2"/>
      <c r="W734" s="3">
        <v>0</v>
      </c>
      <c r="X734" t="str">
        <f t="shared" si="33"/>
        <v>August</v>
      </c>
      <c r="Y734" t="str">
        <f t="shared" si="34"/>
        <v>Q3</v>
      </c>
      <c r="Z734" s="7">
        <f t="shared" si="35"/>
        <v>59.489999999999995</v>
      </c>
    </row>
    <row r="735" spans="1:26" x14ac:dyDescent="0.3">
      <c r="A735" s="4" t="s">
        <v>4468</v>
      </c>
      <c r="B735" s="9" t="s">
        <v>284</v>
      </c>
      <c r="C735" s="4" t="s">
        <v>4469</v>
      </c>
      <c r="D735" s="4" t="s">
        <v>3038</v>
      </c>
      <c r="E735" s="4" t="s">
        <v>4470</v>
      </c>
      <c r="F735" s="4" t="s">
        <v>4471</v>
      </c>
      <c r="G735" s="4" t="s">
        <v>180</v>
      </c>
      <c r="H735" s="4" t="s">
        <v>181</v>
      </c>
      <c r="I735" s="4" t="s">
        <v>31</v>
      </c>
      <c r="J735" s="4" t="s">
        <v>4472</v>
      </c>
      <c r="K735" s="4" t="s">
        <v>110</v>
      </c>
      <c r="L735" s="4">
        <v>4</v>
      </c>
      <c r="M735" s="5">
        <v>222.94</v>
      </c>
      <c r="N735" s="4" t="s">
        <v>34</v>
      </c>
      <c r="O735" s="5">
        <v>0</v>
      </c>
      <c r="P735" s="5">
        <v>0</v>
      </c>
      <c r="Q735" s="5">
        <v>18.95</v>
      </c>
      <c r="R735" s="5">
        <v>241.89</v>
      </c>
      <c r="S735" s="4" t="s">
        <v>332</v>
      </c>
      <c r="T735" s="4" t="s">
        <v>36</v>
      </c>
      <c r="U735" s="4" t="s">
        <v>317</v>
      </c>
      <c r="V735" s="4"/>
      <c r="W735" s="5">
        <v>0</v>
      </c>
      <c r="X735" t="str">
        <f t="shared" si="33"/>
        <v>March</v>
      </c>
      <c r="Y735" t="str">
        <f t="shared" si="34"/>
        <v>Q1</v>
      </c>
      <c r="Z735" s="7">
        <f t="shared" si="35"/>
        <v>222.94</v>
      </c>
    </row>
    <row r="736" spans="1:26" x14ac:dyDescent="0.3">
      <c r="A736" s="2" t="s">
        <v>4473</v>
      </c>
      <c r="B736" s="8" t="s">
        <v>562</v>
      </c>
      <c r="C736" s="2" t="s">
        <v>4474</v>
      </c>
      <c r="D736" s="2" t="s">
        <v>3840</v>
      </c>
      <c r="E736" s="2" t="s">
        <v>4475</v>
      </c>
      <c r="F736" s="2" t="s">
        <v>4476</v>
      </c>
      <c r="G736" s="2" t="s">
        <v>160</v>
      </c>
      <c r="H736" s="2" t="s">
        <v>161</v>
      </c>
      <c r="I736" s="2" t="s">
        <v>31</v>
      </c>
      <c r="J736" s="2" t="s">
        <v>387</v>
      </c>
      <c r="K736" s="2" t="s">
        <v>33</v>
      </c>
      <c r="L736" s="2">
        <v>1</v>
      </c>
      <c r="M736" s="3">
        <v>35.99</v>
      </c>
      <c r="N736" s="2" t="s">
        <v>34</v>
      </c>
      <c r="O736" s="3">
        <v>0</v>
      </c>
      <c r="P736" s="3">
        <v>5.99</v>
      </c>
      <c r="Q736" s="3">
        <v>3.06</v>
      </c>
      <c r="R736" s="3">
        <v>45.04</v>
      </c>
      <c r="S736" s="2" t="s">
        <v>35</v>
      </c>
      <c r="T736" s="2" t="s">
        <v>99</v>
      </c>
      <c r="U736" s="2" t="s">
        <v>51</v>
      </c>
      <c r="V736" s="2" t="s">
        <v>1100</v>
      </c>
      <c r="W736" s="3">
        <v>0</v>
      </c>
      <c r="X736" t="str">
        <f t="shared" si="33"/>
        <v>June</v>
      </c>
      <c r="Y736" t="str">
        <f t="shared" si="34"/>
        <v>Q2</v>
      </c>
      <c r="Z736" s="7">
        <f t="shared" si="35"/>
        <v>35.99</v>
      </c>
    </row>
    <row r="737" spans="1:26" x14ac:dyDescent="0.3">
      <c r="A737" s="4" t="s">
        <v>4477</v>
      </c>
      <c r="B737" s="9" t="s">
        <v>1567</v>
      </c>
      <c r="C737" s="4" t="s">
        <v>4478</v>
      </c>
      <c r="D737" s="4" t="s">
        <v>4082</v>
      </c>
      <c r="E737" s="4" t="s">
        <v>4479</v>
      </c>
      <c r="F737" s="4" t="s">
        <v>4480</v>
      </c>
      <c r="G737" s="4" t="s">
        <v>802</v>
      </c>
      <c r="H737" s="4" t="s">
        <v>88</v>
      </c>
      <c r="I737" s="4" t="s">
        <v>31</v>
      </c>
      <c r="J737" s="4" t="s">
        <v>444</v>
      </c>
      <c r="K737" s="4" t="s">
        <v>48</v>
      </c>
      <c r="L737" s="4">
        <v>1</v>
      </c>
      <c r="M737" s="5">
        <v>64.989999999999995</v>
      </c>
      <c r="N737" s="4" t="s">
        <v>152</v>
      </c>
      <c r="O737" s="5">
        <v>3.25</v>
      </c>
      <c r="P737" s="5">
        <v>9.99</v>
      </c>
      <c r="Q737" s="5">
        <v>4.32</v>
      </c>
      <c r="R737" s="5">
        <v>76.05</v>
      </c>
      <c r="S737" s="4" t="s">
        <v>35</v>
      </c>
      <c r="T737" s="4" t="s">
        <v>325</v>
      </c>
      <c r="U737" s="4" t="s">
        <v>51</v>
      </c>
      <c r="V737" s="4" t="s">
        <v>1805</v>
      </c>
      <c r="W737" s="5">
        <v>0</v>
      </c>
      <c r="X737" t="str">
        <f t="shared" si="33"/>
        <v>September</v>
      </c>
      <c r="Y737" t="str">
        <f t="shared" si="34"/>
        <v>Q3</v>
      </c>
      <c r="Z737" s="7">
        <f t="shared" si="35"/>
        <v>61.739999999999995</v>
      </c>
    </row>
    <row r="738" spans="1:26" x14ac:dyDescent="0.3">
      <c r="A738" s="2" t="s">
        <v>4481</v>
      </c>
      <c r="B738" s="8" t="s">
        <v>2671</v>
      </c>
      <c r="C738" s="2" t="s">
        <v>4482</v>
      </c>
      <c r="D738" s="2" t="s">
        <v>2528</v>
      </c>
      <c r="E738" s="2" t="s">
        <v>4483</v>
      </c>
      <c r="F738" s="2" t="s">
        <v>4484</v>
      </c>
      <c r="G738" s="2" t="s">
        <v>119</v>
      </c>
      <c r="H738" s="2" t="s">
        <v>120</v>
      </c>
      <c r="I738" s="2" t="s">
        <v>31</v>
      </c>
      <c r="J738" s="2" t="s">
        <v>4485</v>
      </c>
      <c r="K738" s="2" t="s">
        <v>48</v>
      </c>
      <c r="L738" s="2">
        <v>2</v>
      </c>
      <c r="M738" s="3">
        <v>215.97</v>
      </c>
      <c r="N738" s="2" t="s">
        <v>34</v>
      </c>
      <c r="O738" s="3">
        <v>0</v>
      </c>
      <c r="P738" s="3">
        <v>0</v>
      </c>
      <c r="Q738" s="3">
        <v>12.96</v>
      </c>
      <c r="R738" s="3">
        <v>228.93</v>
      </c>
      <c r="S738" s="2" t="s">
        <v>98</v>
      </c>
      <c r="T738" s="2" t="s">
        <v>36</v>
      </c>
      <c r="U738" s="2" t="s">
        <v>51</v>
      </c>
      <c r="V738" s="2" t="s">
        <v>3233</v>
      </c>
      <c r="W738" s="3">
        <v>0</v>
      </c>
      <c r="X738" t="str">
        <f t="shared" si="33"/>
        <v>October</v>
      </c>
      <c r="Y738" t="str">
        <f t="shared" si="34"/>
        <v>Q4</v>
      </c>
      <c r="Z738" s="7">
        <f t="shared" si="35"/>
        <v>215.97</v>
      </c>
    </row>
    <row r="739" spans="1:26" x14ac:dyDescent="0.3">
      <c r="A739" s="4" t="s">
        <v>4486</v>
      </c>
      <c r="B739" s="9" t="s">
        <v>1640</v>
      </c>
      <c r="C739" s="4" t="s">
        <v>4487</v>
      </c>
      <c r="D739" s="4" t="s">
        <v>4488</v>
      </c>
      <c r="E739" s="4" t="s">
        <v>4489</v>
      </c>
      <c r="F739" s="4" t="s">
        <v>4490</v>
      </c>
      <c r="G739" s="4" t="s">
        <v>107</v>
      </c>
      <c r="H739" s="4" t="s">
        <v>108</v>
      </c>
      <c r="I739" s="4" t="s">
        <v>31</v>
      </c>
      <c r="J739" s="4" t="s">
        <v>4491</v>
      </c>
      <c r="K739" s="4" t="s">
        <v>62</v>
      </c>
      <c r="L739" s="4">
        <v>3</v>
      </c>
      <c r="M739" s="5">
        <v>205.96</v>
      </c>
      <c r="N739" s="4" t="s">
        <v>78</v>
      </c>
      <c r="O739" s="5">
        <v>20.6</v>
      </c>
      <c r="P739" s="5">
        <v>0</v>
      </c>
      <c r="Q739" s="5">
        <v>11.12</v>
      </c>
      <c r="R739" s="5">
        <v>196.48</v>
      </c>
      <c r="S739" s="4" t="s">
        <v>35</v>
      </c>
      <c r="T739" s="4" t="s">
        <v>144</v>
      </c>
      <c r="U739" s="4" t="s">
        <v>100</v>
      </c>
      <c r="V739" s="4"/>
      <c r="W739" s="5">
        <v>0</v>
      </c>
      <c r="X739" t="str">
        <f t="shared" si="33"/>
        <v>October</v>
      </c>
      <c r="Y739" t="str">
        <f t="shared" si="34"/>
        <v>Q4</v>
      </c>
      <c r="Z739" s="7">
        <f t="shared" si="35"/>
        <v>185.36</v>
      </c>
    </row>
    <row r="740" spans="1:26" x14ac:dyDescent="0.3">
      <c r="A740" s="2" t="s">
        <v>4492</v>
      </c>
      <c r="B740" s="8" t="s">
        <v>1294</v>
      </c>
      <c r="C740" s="2" t="s">
        <v>4493</v>
      </c>
      <c r="D740" s="2" t="s">
        <v>3016</v>
      </c>
      <c r="E740" s="2" t="s">
        <v>4494</v>
      </c>
      <c r="F740" s="2" t="s">
        <v>4495</v>
      </c>
      <c r="G740" s="2" t="s">
        <v>119</v>
      </c>
      <c r="H740" s="2" t="s">
        <v>120</v>
      </c>
      <c r="I740" s="2" t="s">
        <v>31</v>
      </c>
      <c r="J740" s="2" t="s">
        <v>4496</v>
      </c>
      <c r="K740" s="2" t="s">
        <v>143</v>
      </c>
      <c r="L740" s="2">
        <v>3</v>
      </c>
      <c r="M740" s="3">
        <v>337.96</v>
      </c>
      <c r="N740" s="2" t="s">
        <v>49</v>
      </c>
      <c r="O740" s="3">
        <v>50.69</v>
      </c>
      <c r="P740" s="3">
        <v>0</v>
      </c>
      <c r="Q740" s="3">
        <v>17.239999999999998</v>
      </c>
      <c r="R740" s="3">
        <v>304.51</v>
      </c>
      <c r="S740" s="2" t="s">
        <v>64</v>
      </c>
      <c r="T740" s="2" t="s">
        <v>36</v>
      </c>
      <c r="U740" s="2" t="s">
        <v>66</v>
      </c>
      <c r="V740" s="2" t="s">
        <v>2831</v>
      </c>
      <c r="W740" s="3">
        <v>0</v>
      </c>
      <c r="X740" t="str">
        <f t="shared" si="33"/>
        <v>October</v>
      </c>
      <c r="Y740" t="str">
        <f t="shared" si="34"/>
        <v>Q4</v>
      </c>
      <c r="Z740" s="7">
        <f t="shared" si="35"/>
        <v>287.27</v>
      </c>
    </row>
    <row r="741" spans="1:26" x14ac:dyDescent="0.3">
      <c r="A741" s="4" t="s">
        <v>4497</v>
      </c>
      <c r="B741" s="9" t="s">
        <v>482</v>
      </c>
      <c r="C741" s="4" t="s">
        <v>4498</v>
      </c>
      <c r="D741" s="4" t="s">
        <v>4499</v>
      </c>
      <c r="E741" s="4" t="s">
        <v>4500</v>
      </c>
      <c r="F741" s="4" t="s">
        <v>4501</v>
      </c>
      <c r="G741" s="4" t="s">
        <v>282</v>
      </c>
      <c r="H741" s="4" t="s">
        <v>88</v>
      </c>
      <c r="I741" s="4" t="s">
        <v>31</v>
      </c>
      <c r="J741" s="4" t="s">
        <v>2411</v>
      </c>
      <c r="K741" s="4" t="s">
        <v>209</v>
      </c>
      <c r="L741" s="4">
        <v>2</v>
      </c>
      <c r="M741" s="5">
        <v>77.98</v>
      </c>
      <c r="N741" s="4" t="s">
        <v>163</v>
      </c>
      <c r="O741" s="5">
        <v>15.6</v>
      </c>
      <c r="P741" s="5">
        <v>0</v>
      </c>
      <c r="Q741" s="5">
        <v>5.61</v>
      </c>
      <c r="R741" s="5">
        <v>67.989999999999995</v>
      </c>
      <c r="S741" s="4" t="s">
        <v>111</v>
      </c>
      <c r="T741" s="4" t="s">
        <v>99</v>
      </c>
      <c r="U741" s="4" t="s">
        <v>317</v>
      </c>
      <c r="V741" s="4"/>
      <c r="W741" s="5">
        <v>0</v>
      </c>
      <c r="X741" t="str">
        <f t="shared" si="33"/>
        <v>June</v>
      </c>
      <c r="Y741" t="str">
        <f t="shared" si="34"/>
        <v>Q2</v>
      </c>
      <c r="Z741" s="7">
        <f t="shared" si="35"/>
        <v>62.38</v>
      </c>
    </row>
    <row r="742" spans="1:26" x14ac:dyDescent="0.3">
      <c r="A742" s="2" t="s">
        <v>4502</v>
      </c>
      <c r="B742" s="8" t="s">
        <v>90</v>
      </c>
      <c r="C742" s="2" t="s">
        <v>4503</v>
      </c>
      <c r="D742" s="2" t="s">
        <v>4504</v>
      </c>
      <c r="E742" s="2" t="s">
        <v>4505</v>
      </c>
      <c r="F742" s="2" t="s">
        <v>4506</v>
      </c>
      <c r="G742" s="2" t="s">
        <v>676</v>
      </c>
      <c r="H742" s="2" t="s">
        <v>677</v>
      </c>
      <c r="I742" s="2" t="s">
        <v>31</v>
      </c>
      <c r="J742" s="2" t="s">
        <v>61</v>
      </c>
      <c r="K742" s="2" t="s">
        <v>62</v>
      </c>
      <c r="L742" s="2">
        <v>1</v>
      </c>
      <c r="M742" s="3">
        <v>24.99</v>
      </c>
      <c r="N742" s="2" t="s">
        <v>34</v>
      </c>
      <c r="O742" s="3">
        <v>0</v>
      </c>
      <c r="P742" s="3">
        <v>9.99</v>
      </c>
      <c r="Q742" s="3">
        <v>2</v>
      </c>
      <c r="R742" s="3">
        <v>36.979999999999997</v>
      </c>
      <c r="S742" s="2" t="s">
        <v>123</v>
      </c>
      <c r="T742" s="2" t="s">
        <v>144</v>
      </c>
      <c r="U742" s="2" t="s">
        <v>51</v>
      </c>
      <c r="V742" s="2" t="s">
        <v>219</v>
      </c>
      <c r="W742" s="3">
        <v>0</v>
      </c>
      <c r="X742" t="str">
        <f t="shared" si="33"/>
        <v>May</v>
      </c>
      <c r="Y742" t="str">
        <f t="shared" si="34"/>
        <v>Q2</v>
      </c>
      <c r="Z742" s="7">
        <f t="shared" si="35"/>
        <v>24.99</v>
      </c>
    </row>
    <row r="743" spans="1:26" x14ac:dyDescent="0.3">
      <c r="A743" s="4" t="s">
        <v>4507</v>
      </c>
      <c r="B743" s="9" t="s">
        <v>2831</v>
      </c>
      <c r="C743" s="4" t="s">
        <v>4508</v>
      </c>
      <c r="D743" s="4" t="s">
        <v>2641</v>
      </c>
      <c r="E743" s="4" t="s">
        <v>4509</v>
      </c>
      <c r="F743" s="4" t="s">
        <v>4510</v>
      </c>
      <c r="G743" s="4" t="s">
        <v>692</v>
      </c>
      <c r="H743" s="4" t="s">
        <v>693</v>
      </c>
      <c r="I743" s="4" t="s">
        <v>31</v>
      </c>
      <c r="J743" s="4" t="s">
        <v>4511</v>
      </c>
      <c r="K743" s="4" t="s">
        <v>143</v>
      </c>
      <c r="L743" s="4">
        <v>1</v>
      </c>
      <c r="M743" s="5">
        <v>109.98</v>
      </c>
      <c r="N743" s="4" t="s">
        <v>63</v>
      </c>
      <c r="O743" s="5">
        <v>27.5</v>
      </c>
      <c r="P743" s="5">
        <v>0</v>
      </c>
      <c r="Q743" s="5">
        <v>8.25</v>
      </c>
      <c r="R743" s="5">
        <v>90.73</v>
      </c>
      <c r="S743" s="4" t="s">
        <v>35</v>
      </c>
      <c r="T743" s="4" t="s">
        <v>173</v>
      </c>
      <c r="U743" s="4" t="s">
        <v>51</v>
      </c>
      <c r="V743" s="4" t="s">
        <v>2083</v>
      </c>
      <c r="W743" s="5">
        <v>0</v>
      </c>
      <c r="X743" t="str">
        <f t="shared" si="33"/>
        <v>November</v>
      </c>
      <c r="Y743" t="str">
        <f t="shared" si="34"/>
        <v>Q4</v>
      </c>
      <c r="Z743" s="7">
        <f t="shared" si="35"/>
        <v>82.48</v>
      </c>
    </row>
    <row r="744" spans="1:26" x14ac:dyDescent="0.3">
      <c r="A744" s="2" t="s">
        <v>4512</v>
      </c>
      <c r="B744" s="8" t="s">
        <v>641</v>
      </c>
      <c r="C744" s="2" t="s">
        <v>4513</v>
      </c>
      <c r="D744" s="2" t="s">
        <v>2000</v>
      </c>
      <c r="E744" s="2" t="s">
        <v>4514</v>
      </c>
      <c r="F744" s="2" t="s">
        <v>4515</v>
      </c>
      <c r="G744" s="2" t="s">
        <v>59</v>
      </c>
      <c r="H744" s="2" t="s">
        <v>60</v>
      </c>
      <c r="I744" s="2" t="s">
        <v>31</v>
      </c>
      <c r="J744" s="2" t="s">
        <v>1232</v>
      </c>
      <c r="K744" s="2" t="s">
        <v>77</v>
      </c>
      <c r="L744" s="2">
        <v>1</v>
      </c>
      <c r="M744" s="3">
        <v>34.99</v>
      </c>
      <c r="N744" s="2" t="s">
        <v>34</v>
      </c>
      <c r="O744" s="3">
        <v>0</v>
      </c>
      <c r="P744" s="3">
        <v>9.99</v>
      </c>
      <c r="Q744" s="3">
        <v>2.8</v>
      </c>
      <c r="R744" s="3">
        <v>47.78</v>
      </c>
      <c r="S744" s="2" t="s">
        <v>64</v>
      </c>
      <c r="T744" s="2" t="s">
        <v>36</v>
      </c>
      <c r="U744" s="2" t="s">
        <v>317</v>
      </c>
      <c r="V744" s="2"/>
      <c r="W744" s="3">
        <v>0</v>
      </c>
      <c r="X744" t="str">
        <f t="shared" si="33"/>
        <v>March</v>
      </c>
      <c r="Y744" t="str">
        <f t="shared" si="34"/>
        <v>Q1</v>
      </c>
      <c r="Z744" s="7">
        <f t="shared" si="35"/>
        <v>34.99</v>
      </c>
    </row>
    <row r="745" spans="1:26" x14ac:dyDescent="0.3">
      <c r="A745" s="4" t="s">
        <v>4516</v>
      </c>
      <c r="B745" s="9" t="s">
        <v>3092</v>
      </c>
      <c r="C745" s="4" t="s">
        <v>4517</v>
      </c>
      <c r="D745" s="4" t="s">
        <v>4518</v>
      </c>
      <c r="E745" s="4" t="s">
        <v>4519</v>
      </c>
      <c r="F745" s="4" t="s">
        <v>4520</v>
      </c>
      <c r="G745" s="4" t="s">
        <v>242</v>
      </c>
      <c r="H745" s="4" t="s">
        <v>243</v>
      </c>
      <c r="I745" s="4" t="s">
        <v>31</v>
      </c>
      <c r="J745" s="4" t="s">
        <v>1238</v>
      </c>
      <c r="K745" s="4" t="s">
        <v>209</v>
      </c>
      <c r="L745" s="4">
        <v>1</v>
      </c>
      <c r="M745" s="5">
        <v>39.99</v>
      </c>
      <c r="N745" s="4" t="s">
        <v>78</v>
      </c>
      <c r="O745" s="5">
        <v>4</v>
      </c>
      <c r="P745" s="5">
        <v>7.99</v>
      </c>
      <c r="Q745" s="5">
        <v>3.24</v>
      </c>
      <c r="R745" s="5">
        <v>47.22</v>
      </c>
      <c r="S745" s="4" t="s">
        <v>123</v>
      </c>
      <c r="T745" s="4" t="s">
        <v>99</v>
      </c>
      <c r="U745" s="4" t="s">
        <v>66</v>
      </c>
      <c r="V745" s="4" t="s">
        <v>1315</v>
      </c>
      <c r="W745" s="5">
        <v>0</v>
      </c>
      <c r="X745" t="str">
        <f t="shared" si="33"/>
        <v>March</v>
      </c>
      <c r="Y745" t="str">
        <f t="shared" si="34"/>
        <v>Q1</v>
      </c>
      <c r="Z745" s="7">
        <f t="shared" si="35"/>
        <v>35.99</v>
      </c>
    </row>
    <row r="746" spans="1:26" x14ac:dyDescent="0.3">
      <c r="A746" s="2" t="s">
        <v>4521</v>
      </c>
      <c r="B746" s="8" t="s">
        <v>4522</v>
      </c>
      <c r="C746" s="2" t="s">
        <v>4523</v>
      </c>
      <c r="D746" s="2" t="s">
        <v>4524</v>
      </c>
      <c r="E746" s="2" t="s">
        <v>4525</v>
      </c>
      <c r="F746" s="2" t="s">
        <v>4526</v>
      </c>
      <c r="G746" s="2" t="s">
        <v>692</v>
      </c>
      <c r="H746" s="2" t="s">
        <v>693</v>
      </c>
      <c r="I746" s="2" t="s">
        <v>31</v>
      </c>
      <c r="J746" s="2" t="s">
        <v>4527</v>
      </c>
      <c r="K746" s="2" t="s">
        <v>62</v>
      </c>
      <c r="L746" s="2">
        <v>1</v>
      </c>
      <c r="M746" s="3">
        <v>164.97</v>
      </c>
      <c r="N746" s="2" t="s">
        <v>78</v>
      </c>
      <c r="O746" s="3">
        <v>16.5</v>
      </c>
      <c r="P746" s="3">
        <v>0</v>
      </c>
      <c r="Q746" s="3">
        <v>13.36</v>
      </c>
      <c r="R746" s="3">
        <v>161.83000000000001</v>
      </c>
      <c r="S746" s="2" t="s">
        <v>64</v>
      </c>
      <c r="T746" s="2" t="s">
        <v>99</v>
      </c>
      <c r="U746" s="2" t="s">
        <v>66</v>
      </c>
      <c r="V746" s="2" t="s">
        <v>133</v>
      </c>
      <c r="W746" s="3">
        <v>0</v>
      </c>
      <c r="X746" t="str">
        <f t="shared" si="33"/>
        <v>December</v>
      </c>
      <c r="Y746" t="str">
        <f t="shared" si="34"/>
        <v>Q4</v>
      </c>
      <c r="Z746" s="7">
        <f t="shared" si="35"/>
        <v>148.47</v>
      </c>
    </row>
    <row r="747" spans="1:26" x14ac:dyDescent="0.3">
      <c r="A747" s="4" t="s">
        <v>4528</v>
      </c>
      <c r="B747" s="9" t="s">
        <v>1102</v>
      </c>
      <c r="C747" s="4" t="s">
        <v>4529</v>
      </c>
      <c r="D747" s="4" t="s">
        <v>2354</v>
      </c>
      <c r="E747" s="4" t="s">
        <v>4530</v>
      </c>
      <c r="F747" s="4" t="s">
        <v>4531</v>
      </c>
      <c r="G747" s="4" t="s">
        <v>251</v>
      </c>
      <c r="H747" s="4" t="s">
        <v>252</v>
      </c>
      <c r="I747" s="4" t="s">
        <v>31</v>
      </c>
      <c r="J747" s="4" t="s">
        <v>4532</v>
      </c>
      <c r="K747" s="4" t="s">
        <v>122</v>
      </c>
      <c r="L747" s="4">
        <v>5</v>
      </c>
      <c r="M747" s="5">
        <v>180.95</v>
      </c>
      <c r="N747" s="4" t="s">
        <v>163</v>
      </c>
      <c r="O747" s="5">
        <v>36.19</v>
      </c>
      <c r="P747" s="5">
        <v>0</v>
      </c>
      <c r="Q747" s="5">
        <v>12.3</v>
      </c>
      <c r="R747" s="5">
        <v>157.06</v>
      </c>
      <c r="S747" s="4" t="s">
        <v>64</v>
      </c>
      <c r="T747" s="4" t="s">
        <v>325</v>
      </c>
      <c r="U747" s="4" t="s">
        <v>66</v>
      </c>
      <c r="V747" s="4" t="s">
        <v>3228</v>
      </c>
      <c r="W747" s="5">
        <v>0</v>
      </c>
      <c r="X747" t="str">
        <f t="shared" si="33"/>
        <v>September</v>
      </c>
      <c r="Y747" t="str">
        <f t="shared" si="34"/>
        <v>Q3</v>
      </c>
      <c r="Z747" s="7">
        <f t="shared" si="35"/>
        <v>144.76</v>
      </c>
    </row>
    <row r="748" spans="1:26" x14ac:dyDescent="0.3">
      <c r="A748" s="2" t="s">
        <v>4533</v>
      </c>
      <c r="B748" s="8" t="s">
        <v>924</v>
      </c>
      <c r="C748" s="2" t="s">
        <v>4534</v>
      </c>
      <c r="D748" s="2" t="s">
        <v>4535</v>
      </c>
      <c r="E748" s="2" t="s">
        <v>4536</v>
      </c>
      <c r="F748" s="2" t="s">
        <v>4537</v>
      </c>
      <c r="G748" s="2" t="s">
        <v>107</v>
      </c>
      <c r="H748" s="2" t="s">
        <v>108</v>
      </c>
      <c r="I748" s="2" t="s">
        <v>31</v>
      </c>
      <c r="J748" s="2" t="s">
        <v>4538</v>
      </c>
      <c r="K748" s="2" t="s">
        <v>48</v>
      </c>
      <c r="L748" s="2">
        <v>1</v>
      </c>
      <c r="M748" s="3">
        <v>128.97</v>
      </c>
      <c r="N748" s="2" t="s">
        <v>78</v>
      </c>
      <c r="O748" s="3">
        <v>12.9</v>
      </c>
      <c r="P748" s="3">
        <v>0</v>
      </c>
      <c r="Q748" s="3">
        <v>9.8699999999999992</v>
      </c>
      <c r="R748" s="3">
        <v>125.94</v>
      </c>
      <c r="S748" s="2" t="s">
        <v>123</v>
      </c>
      <c r="T748" s="2" t="s">
        <v>65</v>
      </c>
      <c r="U748" s="2" t="s">
        <v>66</v>
      </c>
      <c r="V748" s="2" t="s">
        <v>943</v>
      </c>
      <c r="W748" s="3">
        <v>0</v>
      </c>
      <c r="X748" t="str">
        <f t="shared" si="33"/>
        <v>October</v>
      </c>
      <c r="Y748" t="str">
        <f t="shared" si="34"/>
        <v>Q4</v>
      </c>
      <c r="Z748" s="7">
        <f t="shared" si="35"/>
        <v>116.07</v>
      </c>
    </row>
    <row r="749" spans="1:26" x14ac:dyDescent="0.3">
      <c r="A749" s="4" t="s">
        <v>4539</v>
      </c>
      <c r="B749" s="9" t="s">
        <v>67</v>
      </c>
      <c r="C749" s="4" t="s">
        <v>4540</v>
      </c>
      <c r="D749" s="4" t="s">
        <v>2673</v>
      </c>
      <c r="E749" s="4" t="s">
        <v>4541</v>
      </c>
      <c r="F749" s="4" t="s">
        <v>4542</v>
      </c>
      <c r="G749" s="4" t="s">
        <v>74</v>
      </c>
      <c r="H749" s="4" t="s">
        <v>75</v>
      </c>
      <c r="I749" s="4" t="s">
        <v>31</v>
      </c>
      <c r="J749" s="4" t="s">
        <v>4331</v>
      </c>
      <c r="K749" s="4" t="s">
        <v>209</v>
      </c>
      <c r="L749" s="4">
        <v>2</v>
      </c>
      <c r="M749" s="5">
        <v>104.97</v>
      </c>
      <c r="N749" s="4" t="s">
        <v>163</v>
      </c>
      <c r="O749" s="5">
        <v>20.99</v>
      </c>
      <c r="P749" s="5">
        <v>0</v>
      </c>
      <c r="Q749" s="5">
        <v>7.56</v>
      </c>
      <c r="R749" s="5">
        <v>91.54</v>
      </c>
      <c r="S749" s="4" t="s">
        <v>35</v>
      </c>
      <c r="T749" s="4" t="s">
        <v>183</v>
      </c>
      <c r="U749" s="4" t="s">
        <v>66</v>
      </c>
      <c r="V749" s="4" t="s">
        <v>270</v>
      </c>
      <c r="W749" s="5">
        <v>0</v>
      </c>
      <c r="X749" t="str">
        <f t="shared" si="33"/>
        <v>July</v>
      </c>
      <c r="Y749" t="str">
        <f t="shared" si="34"/>
        <v>Q3</v>
      </c>
      <c r="Z749" s="7">
        <f t="shared" si="35"/>
        <v>83.98</v>
      </c>
    </row>
    <row r="750" spans="1:26" x14ac:dyDescent="0.3">
      <c r="A750" s="2" t="s">
        <v>4543</v>
      </c>
      <c r="B750" s="8" t="s">
        <v>2015</v>
      </c>
      <c r="C750" s="2" t="s">
        <v>4544</v>
      </c>
      <c r="D750" s="2" t="s">
        <v>1555</v>
      </c>
      <c r="E750" s="2" t="s">
        <v>4545</v>
      </c>
      <c r="F750" s="2" t="s">
        <v>4546</v>
      </c>
      <c r="G750" s="2" t="s">
        <v>676</v>
      </c>
      <c r="H750" s="2" t="s">
        <v>677</v>
      </c>
      <c r="I750" s="2" t="s">
        <v>31</v>
      </c>
      <c r="J750" s="2" t="s">
        <v>4547</v>
      </c>
      <c r="K750" s="2" t="s">
        <v>364</v>
      </c>
      <c r="L750" s="2">
        <v>2</v>
      </c>
      <c r="M750" s="3">
        <v>89.96</v>
      </c>
      <c r="N750" s="2" t="s">
        <v>63</v>
      </c>
      <c r="O750" s="3">
        <v>22.49</v>
      </c>
      <c r="P750" s="3">
        <v>0</v>
      </c>
      <c r="Q750" s="3">
        <v>5.73</v>
      </c>
      <c r="R750" s="3">
        <v>73.2</v>
      </c>
      <c r="S750" s="2" t="s">
        <v>64</v>
      </c>
      <c r="T750" s="2" t="s">
        <v>99</v>
      </c>
      <c r="U750" s="2" t="s">
        <v>51</v>
      </c>
      <c r="V750" s="2" t="s">
        <v>2435</v>
      </c>
      <c r="W750" s="3">
        <v>0</v>
      </c>
      <c r="X750" t="str">
        <f t="shared" si="33"/>
        <v>June</v>
      </c>
      <c r="Y750" t="str">
        <f t="shared" si="34"/>
        <v>Q2</v>
      </c>
      <c r="Z750" s="7">
        <f t="shared" si="35"/>
        <v>67.47</v>
      </c>
    </row>
    <row r="751" spans="1:26" x14ac:dyDescent="0.3">
      <c r="A751" s="4" t="s">
        <v>4548</v>
      </c>
      <c r="B751" s="9" t="s">
        <v>124</v>
      </c>
      <c r="C751" s="4" t="s">
        <v>4549</v>
      </c>
      <c r="D751" s="4" t="s">
        <v>3840</v>
      </c>
      <c r="E751" s="4" t="s">
        <v>4550</v>
      </c>
      <c r="F751" s="4" t="s">
        <v>4551</v>
      </c>
      <c r="G751" s="4" t="s">
        <v>29</v>
      </c>
      <c r="H751" s="4" t="s">
        <v>30</v>
      </c>
      <c r="I751" s="4" t="s">
        <v>31</v>
      </c>
      <c r="J751" s="4" t="s">
        <v>217</v>
      </c>
      <c r="K751" s="4" t="s">
        <v>110</v>
      </c>
      <c r="L751" s="4">
        <v>1</v>
      </c>
      <c r="M751" s="5">
        <v>22.99</v>
      </c>
      <c r="N751" s="4" t="s">
        <v>34</v>
      </c>
      <c r="O751" s="5">
        <v>0</v>
      </c>
      <c r="P751" s="5">
        <v>9.99</v>
      </c>
      <c r="Q751" s="5">
        <v>1.61</v>
      </c>
      <c r="R751" s="5">
        <v>34.590000000000003</v>
      </c>
      <c r="S751" s="4" t="s">
        <v>64</v>
      </c>
      <c r="T751" s="4" t="s">
        <v>99</v>
      </c>
      <c r="U751" s="4" t="s">
        <v>66</v>
      </c>
      <c r="V751" s="4" t="s">
        <v>2278</v>
      </c>
      <c r="W751" s="5">
        <v>0</v>
      </c>
      <c r="X751" t="str">
        <f t="shared" si="33"/>
        <v>October</v>
      </c>
      <c r="Y751" t="str">
        <f t="shared" si="34"/>
        <v>Q4</v>
      </c>
      <c r="Z751" s="7">
        <f t="shared" si="35"/>
        <v>22.99</v>
      </c>
    </row>
    <row r="752" spans="1:26" x14ac:dyDescent="0.3">
      <c r="A752" s="2" t="s">
        <v>4552</v>
      </c>
      <c r="B752" s="8" t="s">
        <v>406</v>
      </c>
      <c r="C752" s="2" t="s">
        <v>4553</v>
      </c>
      <c r="D752" s="2" t="s">
        <v>886</v>
      </c>
      <c r="E752" s="2" t="s">
        <v>4554</v>
      </c>
      <c r="F752" s="2" t="s">
        <v>4555</v>
      </c>
      <c r="G752" s="2" t="s">
        <v>347</v>
      </c>
      <c r="H752" s="2" t="s">
        <v>60</v>
      </c>
      <c r="I752" s="2" t="s">
        <v>31</v>
      </c>
      <c r="J752" s="2" t="s">
        <v>217</v>
      </c>
      <c r="K752" s="2" t="s">
        <v>110</v>
      </c>
      <c r="L752" s="2">
        <v>1</v>
      </c>
      <c r="M752" s="3">
        <v>22.99</v>
      </c>
      <c r="N752" s="2" t="s">
        <v>78</v>
      </c>
      <c r="O752" s="3">
        <v>2.2999999999999998</v>
      </c>
      <c r="P752" s="3">
        <v>4.99</v>
      </c>
      <c r="Q752" s="3">
        <v>1.24</v>
      </c>
      <c r="R752" s="3">
        <v>26.92</v>
      </c>
      <c r="S752" s="2" t="s">
        <v>64</v>
      </c>
      <c r="T752" s="2" t="s">
        <v>173</v>
      </c>
      <c r="U752" s="2" t="s">
        <v>66</v>
      </c>
      <c r="V752" s="2" t="s">
        <v>40</v>
      </c>
      <c r="W752" s="3">
        <v>0</v>
      </c>
      <c r="X752" t="str">
        <f t="shared" si="33"/>
        <v>December</v>
      </c>
      <c r="Y752" t="str">
        <f t="shared" si="34"/>
        <v>Q4</v>
      </c>
      <c r="Z752" s="7">
        <f t="shared" si="35"/>
        <v>20.689999999999998</v>
      </c>
    </row>
    <row r="753" spans="1:26" x14ac:dyDescent="0.3">
      <c r="A753" s="4" t="s">
        <v>4556</v>
      </c>
      <c r="B753" s="9" t="s">
        <v>2171</v>
      </c>
      <c r="C753" s="4" t="s">
        <v>4557</v>
      </c>
      <c r="D753" s="4" t="s">
        <v>4088</v>
      </c>
      <c r="E753" s="4" t="s">
        <v>4558</v>
      </c>
      <c r="F753" s="4" t="s">
        <v>4559</v>
      </c>
      <c r="G753" s="4" t="s">
        <v>107</v>
      </c>
      <c r="H753" s="4" t="s">
        <v>108</v>
      </c>
      <c r="I753" s="4" t="s">
        <v>31</v>
      </c>
      <c r="J753" s="4" t="s">
        <v>4560</v>
      </c>
      <c r="K753" s="4" t="s">
        <v>110</v>
      </c>
      <c r="L753" s="4">
        <v>4</v>
      </c>
      <c r="M753" s="5">
        <v>238.94</v>
      </c>
      <c r="N753" s="4" t="s">
        <v>34</v>
      </c>
      <c r="O753" s="5">
        <v>0</v>
      </c>
      <c r="P753" s="5">
        <v>0</v>
      </c>
      <c r="Q753" s="5">
        <v>14.34</v>
      </c>
      <c r="R753" s="5">
        <v>253.28</v>
      </c>
      <c r="S753" s="4" t="s">
        <v>35</v>
      </c>
      <c r="T753" s="4" t="s">
        <v>99</v>
      </c>
      <c r="U753" s="4" t="s">
        <v>317</v>
      </c>
      <c r="V753" s="4"/>
      <c r="W753" s="5">
        <v>0</v>
      </c>
      <c r="X753" t="str">
        <f t="shared" si="33"/>
        <v>February</v>
      </c>
      <c r="Y753" t="str">
        <f t="shared" si="34"/>
        <v>Q1</v>
      </c>
      <c r="Z753" s="7">
        <f t="shared" si="35"/>
        <v>238.94</v>
      </c>
    </row>
    <row r="754" spans="1:26" x14ac:dyDescent="0.3">
      <c r="A754" s="2" t="s">
        <v>4561</v>
      </c>
      <c r="B754" s="8" t="s">
        <v>4141</v>
      </c>
      <c r="C754" s="2" t="s">
        <v>4562</v>
      </c>
      <c r="D754" s="2" t="s">
        <v>4563</v>
      </c>
      <c r="E754" s="2" t="s">
        <v>4564</v>
      </c>
      <c r="F754" s="2" t="s">
        <v>4565</v>
      </c>
      <c r="G754" s="2" t="s">
        <v>171</v>
      </c>
      <c r="H754" s="2" t="s">
        <v>88</v>
      </c>
      <c r="I754" s="2" t="s">
        <v>31</v>
      </c>
      <c r="J754" s="2" t="s">
        <v>4566</v>
      </c>
      <c r="K754" s="2" t="s">
        <v>77</v>
      </c>
      <c r="L754" s="2">
        <v>2</v>
      </c>
      <c r="M754" s="3">
        <v>64.97</v>
      </c>
      <c r="N754" s="2" t="s">
        <v>34</v>
      </c>
      <c r="O754" s="3">
        <v>0</v>
      </c>
      <c r="P754" s="3">
        <v>4.99</v>
      </c>
      <c r="Q754" s="3">
        <v>5.85</v>
      </c>
      <c r="R754" s="3">
        <v>75.81</v>
      </c>
      <c r="S754" s="2" t="s">
        <v>35</v>
      </c>
      <c r="T754" s="2" t="s">
        <v>99</v>
      </c>
      <c r="U754" s="2" t="s">
        <v>66</v>
      </c>
      <c r="V754" s="2" t="s">
        <v>922</v>
      </c>
      <c r="W754" s="3">
        <v>0</v>
      </c>
      <c r="X754" t="str">
        <f t="shared" si="33"/>
        <v>September</v>
      </c>
      <c r="Y754" t="str">
        <f t="shared" si="34"/>
        <v>Q3</v>
      </c>
      <c r="Z754" s="7">
        <f t="shared" si="35"/>
        <v>64.97</v>
      </c>
    </row>
    <row r="755" spans="1:26" x14ac:dyDescent="0.3">
      <c r="A755" s="4" t="s">
        <v>4567</v>
      </c>
      <c r="B755" s="9" t="s">
        <v>498</v>
      </c>
      <c r="C755" s="4" t="s">
        <v>4568</v>
      </c>
      <c r="D755" s="4" t="s">
        <v>589</v>
      </c>
      <c r="E755" s="4" t="s">
        <v>4569</v>
      </c>
      <c r="F755" s="4" t="s">
        <v>4570</v>
      </c>
      <c r="G755" s="4" t="s">
        <v>190</v>
      </c>
      <c r="H755" s="4" t="s">
        <v>161</v>
      </c>
      <c r="I755" s="4" t="s">
        <v>31</v>
      </c>
      <c r="J755" s="4" t="s">
        <v>4571</v>
      </c>
      <c r="K755" s="4" t="s">
        <v>122</v>
      </c>
      <c r="L755" s="4">
        <v>3</v>
      </c>
      <c r="M755" s="5">
        <v>177.97</v>
      </c>
      <c r="N755" s="4" t="s">
        <v>78</v>
      </c>
      <c r="O755" s="5">
        <v>17.8</v>
      </c>
      <c r="P755" s="5">
        <v>0</v>
      </c>
      <c r="Q755" s="5">
        <v>9.61</v>
      </c>
      <c r="R755" s="5">
        <v>169.78</v>
      </c>
      <c r="S755" s="4" t="s">
        <v>111</v>
      </c>
      <c r="T755" s="4" t="s">
        <v>65</v>
      </c>
      <c r="U755" s="4" t="s">
        <v>51</v>
      </c>
      <c r="V755" s="4" t="s">
        <v>519</v>
      </c>
      <c r="W755" s="5">
        <v>0</v>
      </c>
      <c r="X755" t="str">
        <f t="shared" si="33"/>
        <v>May</v>
      </c>
      <c r="Y755" t="str">
        <f t="shared" si="34"/>
        <v>Q2</v>
      </c>
      <c r="Z755" s="7">
        <f t="shared" si="35"/>
        <v>160.16999999999999</v>
      </c>
    </row>
    <row r="756" spans="1:26" x14ac:dyDescent="0.3">
      <c r="A756" s="2" t="s">
        <v>4572</v>
      </c>
      <c r="B756" s="8" t="s">
        <v>2963</v>
      </c>
      <c r="C756" s="2" t="s">
        <v>4573</v>
      </c>
      <c r="D756" s="2" t="s">
        <v>3340</v>
      </c>
      <c r="E756" s="2" t="s">
        <v>4574</v>
      </c>
      <c r="F756" s="2" t="s">
        <v>4575</v>
      </c>
      <c r="G756" s="2" t="s">
        <v>224</v>
      </c>
      <c r="H756" s="2" t="s">
        <v>225</v>
      </c>
      <c r="I756" s="2" t="s">
        <v>31</v>
      </c>
      <c r="J756" s="2" t="s">
        <v>4576</v>
      </c>
      <c r="K756" s="2" t="s">
        <v>62</v>
      </c>
      <c r="L756" s="2">
        <v>4</v>
      </c>
      <c r="M756" s="3">
        <v>137.96</v>
      </c>
      <c r="N756" s="2" t="s">
        <v>63</v>
      </c>
      <c r="O756" s="3">
        <v>34.49</v>
      </c>
      <c r="P756" s="3">
        <v>0</v>
      </c>
      <c r="Q756" s="3">
        <v>7.24</v>
      </c>
      <c r="R756" s="3">
        <v>110.71</v>
      </c>
      <c r="S756" s="2" t="s">
        <v>79</v>
      </c>
      <c r="T756" s="2" t="s">
        <v>173</v>
      </c>
      <c r="U756" s="2" t="s">
        <v>66</v>
      </c>
      <c r="V756" s="2" t="s">
        <v>572</v>
      </c>
      <c r="W756" s="3">
        <v>0</v>
      </c>
      <c r="X756" t="str">
        <f t="shared" si="33"/>
        <v>January</v>
      </c>
      <c r="Y756" t="str">
        <f t="shared" si="34"/>
        <v>Q1</v>
      </c>
      <c r="Z756" s="7">
        <f t="shared" si="35"/>
        <v>103.47</v>
      </c>
    </row>
    <row r="757" spans="1:26" x14ac:dyDescent="0.3">
      <c r="A757" s="4" t="s">
        <v>4577</v>
      </c>
      <c r="B757" s="9" t="s">
        <v>897</v>
      </c>
      <c r="C757" s="4" t="s">
        <v>4578</v>
      </c>
      <c r="D757" s="4" t="s">
        <v>1385</v>
      </c>
      <c r="E757" s="4" t="s">
        <v>4579</v>
      </c>
      <c r="F757" s="4" t="s">
        <v>4580</v>
      </c>
      <c r="G757" s="4" t="s">
        <v>802</v>
      </c>
      <c r="H757" s="4" t="s">
        <v>88</v>
      </c>
      <c r="I757" s="4" t="s">
        <v>31</v>
      </c>
      <c r="J757" s="4" t="s">
        <v>444</v>
      </c>
      <c r="K757" s="4" t="s">
        <v>48</v>
      </c>
      <c r="L757" s="4">
        <v>1</v>
      </c>
      <c r="M757" s="5">
        <v>64.989999999999995</v>
      </c>
      <c r="N757" s="4" t="s">
        <v>49</v>
      </c>
      <c r="O757" s="5">
        <v>9.75</v>
      </c>
      <c r="P757" s="5">
        <v>4.99</v>
      </c>
      <c r="Q757" s="5">
        <v>4.42</v>
      </c>
      <c r="R757" s="5">
        <v>64.650000000000006</v>
      </c>
      <c r="S757" s="4" t="s">
        <v>35</v>
      </c>
      <c r="T757" s="4" t="s">
        <v>325</v>
      </c>
      <c r="U757" s="4" t="s">
        <v>100</v>
      </c>
      <c r="V757" s="4"/>
      <c r="W757" s="5">
        <v>0</v>
      </c>
      <c r="X757" t="str">
        <f t="shared" si="33"/>
        <v>May</v>
      </c>
      <c r="Y757" t="str">
        <f t="shared" si="34"/>
        <v>Q2</v>
      </c>
      <c r="Z757" s="7">
        <f t="shared" si="35"/>
        <v>55.239999999999995</v>
      </c>
    </row>
    <row r="758" spans="1:26" x14ac:dyDescent="0.3">
      <c r="A758" s="2" t="s">
        <v>4581</v>
      </c>
      <c r="B758" s="8" t="s">
        <v>413</v>
      </c>
      <c r="C758" s="2" t="s">
        <v>4582</v>
      </c>
      <c r="D758" s="2" t="s">
        <v>4583</v>
      </c>
      <c r="E758" s="2" t="s">
        <v>4584</v>
      </c>
      <c r="F758" s="2" t="s">
        <v>4585</v>
      </c>
      <c r="G758" s="2" t="s">
        <v>282</v>
      </c>
      <c r="H758" s="2" t="s">
        <v>88</v>
      </c>
      <c r="I758" s="2" t="s">
        <v>31</v>
      </c>
      <c r="J758" s="2" t="s">
        <v>4586</v>
      </c>
      <c r="K758" s="2" t="s">
        <v>33</v>
      </c>
      <c r="L758" s="2">
        <v>2</v>
      </c>
      <c r="M758" s="3">
        <v>128.97</v>
      </c>
      <c r="N758" s="2" t="s">
        <v>34</v>
      </c>
      <c r="O758" s="3">
        <v>0</v>
      </c>
      <c r="P758" s="3">
        <v>0</v>
      </c>
      <c r="Q758" s="3">
        <v>10.32</v>
      </c>
      <c r="R758" s="3">
        <v>139.29</v>
      </c>
      <c r="S758" s="2" t="s">
        <v>35</v>
      </c>
      <c r="T758" s="2" t="s">
        <v>173</v>
      </c>
      <c r="U758" s="2" t="s">
        <v>66</v>
      </c>
      <c r="V758" s="2" t="s">
        <v>489</v>
      </c>
      <c r="W758" s="3">
        <v>0</v>
      </c>
      <c r="X758" t="str">
        <f t="shared" si="33"/>
        <v>July</v>
      </c>
      <c r="Y758" t="str">
        <f t="shared" si="34"/>
        <v>Q3</v>
      </c>
      <c r="Z758" s="7">
        <f t="shared" si="35"/>
        <v>128.97</v>
      </c>
    </row>
    <row r="759" spans="1:26" x14ac:dyDescent="0.3">
      <c r="A759" s="4" t="s">
        <v>4587</v>
      </c>
      <c r="B759" s="9" t="s">
        <v>1488</v>
      </c>
      <c r="C759" s="4" t="s">
        <v>4588</v>
      </c>
      <c r="D759" s="4" t="s">
        <v>4589</v>
      </c>
      <c r="E759" s="4" t="s">
        <v>4590</v>
      </c>
      <c r="F759" s="4" t="s">
        <v>4591</v>
      </c>
      <c r="G759" s="4" t="s">
        <v>180</v>
      </c>
      <c r="H759" s="4" t="s">
        <v>181</v>
      </c>
      <c r="I759" s="4" t="s">
        <v>31</v>
      </c>
      <c r="J759" s="4" t="s">
        <v>1997</v>
      </c>
      <c r="K759" s="4" t="s">
        <v>143</v>
      </c>
      <c r="L759" s="4">
        <v>1</v>
      </c>
      <c r="M759" s="5">
        <v>129.99</v>
      </c>
      <c r="N759" s="4" t="s">
        <v>78</v>
      </c>
      <c r="O759" s="5">
        <v>13</v>
      </c>
      <c r="P759" s="5">
        <v>0</v>
      </c>
      <c r="Q759" s="5">
        <v>9.94</v>
      </c>
      <c r="R759" s="5">
        <v>126.93</v>
      </c>
      <c r="S759" s="4" t="s">
        <v>98</v>
      </c>
      <c r="T759" s="4" t="s">
        <v>183</v>
      </c>
      <c r="U759" s="4" t="s">
        <v>66</v>
      </c>
      <c r="V759" s="4" t="s">
        <v>1490</v>
      </c>
      <c r="W759" s="5">
        <v>0</v>
      </c>
      <c r="X759" t="str">
        <f t="shared" si="33"/>
        <v>February</v>
      </c>
      <c r="Y759" t="str">
        <f t="shared" si="34"/>
        <v>Q1</v>
      </c>
      <c r="Z759" s="7">
        <f t="shared" si="35"/>
        <v>116.99000000000001</v>
      </c>
    </row>
    <row r="760" spans="1:26" x14ac:dyDescent="0.3">
      <c r="A760" s="2" t="s">
        <v>4592</v>
      </c>
      <c r="B760" s="8" t="s">
        <v>619</v>
      </c>
      <c r="C760" s="2" t="s">
        <v>4593</v>
      </c>
      <c r="D760" s="2" t="s">
        <v>4594</v>
      </c>
      <c r="E760" s="2" t="s">
        <v>4595</v>
      </c>
      <c r="F760" s="2" t="s">
        <v>4596</v>
      </c>
      <c r="G760" s="2" t="s">
        <v>29</v>
      </c>
      <c r="H760" s="2" t="s">
        <v>30</v>
      </c>
      <c r="I760" s="2" t="s">
        <v>31</v>
      </c>
      <c r="J760" s="2" t="s">
        <v>379</v>
      </c>
      <c r="K760" s="2" t="s">
        <v>209</v>
      </c>
      <c r="L760" s="2">
        <v>1</v>
      </c>
      <c r="M760" s="3">
        <v>89.99</v>
      </c>
      <c r="N760" s="2" t="s">
        <v>78</v>
      </c>
      <c r="O760" s="3">
        <v>9</v>
      </c>
      <c r="P760" s="3">
        <v>0</v>
      </c>
      <c r="Q760" s="3">
        <v>6.88</v>
      </c>
      <c r="R760" s="3">
        <v>87.87</v>
      </c>
      <c r="S760" s="2" t="s">
        <v>35</v>
      </c>
      <c r="T760" s="2" t="s">
        <v>50</v>
      </c>
      <c r="U760" s="2" t="s">
        <v>66</v>
      </c>
      <c r="V760" s="2" t="s">
        <v>1625</v>
      </c>
      <c r="W760" s="3">
        <v>0</v>
      </c>
      <c r="X760" t="str">
        <f t="shared" si="33"/>
        <v>October</v>
      </c>
      <c r="Y760" t="str">
        <f t="shared" si="34"/>
        <v>Q4</v>
      </c>
      <c r="Z760" s="7">
        <f t="shared" si="35"/>
        <v>80.989999999999995</v>
      </c>
    </row>
    <row r="761" spans="1:26" x14ac:dyDescent="0.3">
      <c r="A761" s="4" t="s">
        <v>4597</v>
      </c>
      <c r="B761" s="9" t="s">
        <v>1341</v>
      </c>
      <c r="C761" s="4" t="s">
        <v>4598</v>
      </c>
      <c r="D761" s="4" t="s">
        <v>3952</v>
      </c>
      <c r="E761" s="4" t="s">
        <v>4599</v>
      </c>
      <c r="F761" s="4" t="s">
        <v>4600</v>
      </c>
      <c r="G761" s="4" t="s">
        <v>394</v>
      </c>
      <c r="H761" s="4" t="s">
        <v>395</v>
      </c>
      <c r="I761" s="4" t="s">
        <v>31</v>
      </c>
      <c r="J761" s="4" t="s">
        <v>4601</v>
      </c>
      <c r="K761" s="4" t="s">
        <v>122</v>
      </c>
      <c r="L761" s="4">
        <v>2</v>
      </c>
      <c r="M761" s="5">
        <v>104.98</v>
      </c>
      <c r="N761" s="4" t="s">
        <v>34</v>
      </c>
      <c r="O761" s="5">
        <v>0</v>
      </c>
      <c r="P761" s="5">
        <v>0</v>
      </c>
      <c r="Q761" s="5">
        <v>8.92</v>
      </c>
      <c r="R761" s="5">
        <v>113.9</v>
      </c>
      <c r="S761" s="4" t="s">
        <v>35</v>
      </c>
      <c r="T761" s="4" t="s">
        <v>36</v>
      </c>
      <c r="U761" s="4" t="s">
        <v>66</v>
      </c>
      <c r="V761" s="4" t="s">
        <v>2950</v>
      </c>
      <c r="W761" s="5">
        <v>0</v>
      </c>
      <c r="X761" t="str">
        <f t="shared" si="33"/>
        <v>February</v>
      </c>
      <c r="Y761" t="str">
        <f t="shared" si="34"/>
        <v>Q1</v>
      </c>
      <c r="Z761" s="7">
        <f t="shared" si="35"/>
        <v>104.98</v>
      </c>
    </row>
    <row r="762" spans="1:26" x14ac:dyDescent="0.3">
      <c r="A762" s="2" t="s">
        <v>4602</v>
      </c>
      <c r="B762" s="8" t="s">
        <v>1589</v>
      </c>
      <c r="C762" s="2" t="s">
        <v>4603</v>
      </c>
      <c r="D762" s="2" t="s">
        <v>4604</v>
      </c>
      <c r="E762" s="2" t="s">
        <v>4605</v>
      </c>
      <c r="F762" s="2" t="s">
        <v>4606</v>
      </c>
      <c r="G762" s="2" t="s">
        <v>291</v>
      </c>
      <c r="H762" s="2" t="s">
        <v>292</v>
      </c>
      <c r="I762" s="2" t="s">
        <v>31</v>
      </c>
      <c r="J762" s="2" t="s">
        <v>4607</v>
      </c>
      <c r="K762" s="2" t="s">
        <v>364</v>
      </c>
      <c r="L762" s="2">
        <v>5</v>
      </c>
      <c r="M762" s="3">
        <v>267.94</v>
      </c>
      <c r="N762" s="2" t="s">
        <v>49</v>
      </c>
      <c r="O762" s="3">
        <v>40.19</v>
      </c>
      <c r="P762" s="3">
        <v>0</v>
      </c>
      <c r="Q762" s="3">
        <v>22.78</v>
      </c>
      <c r="R762" s="3">
        <v>250.53</v>
      </c>
      <c r="S762" s="2" t="s">
        <v>64</v>
      </c>
      <c r="T762" s="2" t="s">
        <v>65</v>
      </c>
      <c r="U762" s="2" t="s">
        <v>66</v>
      </c>
      <c r="V762" s="2" t="s">
        <v>254</v>
      </c>
      <c r="W762" s="3">
        <v>0</v>
      </c>
      <c r="X762" t="str">
        <f t="shared" si="33"/>
        <v>May</v>
      </c>
      <c r="Y762" t="str">
        <f t="shared" si="34"/>
        <v>Q2</v>
      </c>
      <c r="Z762" s="7">
        <f t="shared" si="35"/>
        <v>227.75</v>
      </c>
    </row>
    <row r="763" spans="1:26" x14ac:dyDescent="0.3">
      <c r="A763" s="4" t="s">
        <v>4608</v>
      </c>
      <c r="B763" s="9" t="s">
        <v>4025</v>
      </c>
      <c r="C763" s="4" t="s">
        <v>4609</v>
      </c>
      <c r="D763" s="4" t="s">
        <v>2074</v>
      </c>
      <c r="E763" s="4" t="s">
        <v>4610</v>
      </c>
      <c r="F763" s="4" t="s">
        <v>4611</v>
      </c>
      <c r="G763" s="4" t="s">
        <v>119</v>
      </c>
      <c r="H763" s="4" t="s">
        <v>120</v>
      </c>
      <c r="I763" s="4" t="s">
        <v>31</v>
      </c>
      <c r="J763" s="4" t="s">
        <v>4612</v>
      </c>
      <c r="K763" s="4" t="s">
        <v>48</v>
      </c>
      <c r="L763" s="4">
        <v>4</v>
      </c>
      <c r="M763" s="5">
        <v>339.96</v>
      </c>
      <c r="N763" s="4" t="s">
        <v>163</v>
      </c>
      <c r="O763" s="5">
        <v>67.989999999999995</v>
      </c>
      <c r="P763" s="5">
        <v>0</v>
      </c>
      <c r="Q763" s="5">
        <v>19.04</v>
      </c>
      <c r="R763" s="5">
        <v>291.01</v>
      </c>
      <c r="S763" s="4" t="s">
        <v>64</v>
      </c>
      <c r="T763" s="4" t="s">
        <v>99</v>
      </c>
      <c r="U763" s="4" t="s">
        <v>66</v>
      </c>
      <c r="V763" s="4" t="s">
        <v>1259</v>
      </c>
      <c r="W763" s="5">
        <v>0</v>
      </c>
      <c r="X763" t="str">
        <f t="shared" si="33"/>
        <v>November</v>
      </c>
      <c r="Y763" t="str">
        <f t="shared" si="34"/>
        <v>Q4</v>
      </c>
      <c r="Z763" s="7">
        <f t="shared" si="35"/>
        <v>271.96999999999997</v>
      </c>
    </row>
    <row r="764" spans="1:26" x14ac:dyDescent="0.3">
      <c r="A764" s="2" t="s">
        <v>4613</v>
      </c>
      <c r="B764" s="8" t="s">
        <v>619</v>
      </c>
      <c r="C764" s="2" t="s">
        <v>4614</v>
      </c>
      <c r="D764" s="2" t="s">
        <v>4615</v>
      </c>
      <c r="E764" s="2" t="s">
        <v>4616</v>
      </c>
      <c r="F764" s="2" t="s">
        <v>4617</v>
      </c>
      <c r="G764" s="2" t="s">
        <v>428</v>
      </c>
      <c r="H764" s="2" t="s">
        <v>429</v>
      </c>
      <c r="I764" s="2" t="s">
        <v>31</v>
      </c>
      <c r="J764" s="2" t="s">
        <v>2576</v>
      </c>
      <c r="K764" s="2" t="s">
        <v>33</v>
      </c>
      <c r="L764" s="2">
        <v>1</v>
      </c>
      <c r="M764" s="3">
        <v>99.98</v>
      </c>
      <c r="N764" s="2" t="s">
        <v>49</v>
      </c>
      <c r="O764" s="3">
        <v>15</v>
      </c>
      <c r="P764" s="3">
        <v>0</v>
      </c>
      <c r="Q764" s="3">
        <v>6.8</v>
      </c>
      <c r="R764" s="3">
        <v>91.78</v>
      </c>
      <c r="S764" s="2" t="s">
        <v>123</v>
      </c>
      <c r="T764" s="2" t="s">
        <v>99</v>
      </c>
      <c r="U764" s="2" t="s">
        <v>66</v>
      </c>
      <c r="V764" s="2" t="s">
        <v>245</v>
      </c>
      <c r="W764" s="3">
        <v>0</v>
      </c>
      <c r="X764" t="str">
        <f t="shared" si="33"/>
        <v>October</v>
      </c>
      <c r="Y764" t="str">
        <f t="shared" si="34"/>
        <v>Q4</v>
      </c>
      <c r="Z764" s="7">
        <f t="shared" si="35"/>
        <v>84.98</v>
      </c>
    </row>
    <row r="765" spans="1:26" x14ac:dyDescent="0.3">
      <c r="A765" s="4" t="s">
        <v>4618</v>
      </c>
      <c r="B765" s="9" t="s">
        <v>3311</v>
      </c>
      <c r="C765" s="4" t="s">
        <v>4619</v>
      </c>
      <c r="D765" s="4" t="s">
        <v>2754</v>
      </c>
      <c r="E765" s="4" t="s">
        <v>4620</v>
      </c>
      <c r="F765" s="4" t="s">
        <v>4621</v>
      </c>
      <c r="G765" s="4" t="s">
        <v>428</v>
      </c>
      <c r="H765" s="4" t="s">
        <v>429</v>
      </c>
      <c r="I765" s="4" t="s">
        <v>31</v>
      </c>
      <c r="J765" s="4" t="s">
        <v>4622</v>
      </c>
      <c r="K765" s="4" t="s">
        <v>143</v>
      </c>
      <c r="L765" s="4">
        <v>5</v>
      </c>
      <c r="M765" s="5">
        <v>344.95</v>
      </c>
      <c r="N765" s="4" t="s">
        <v>78</v>
      </c>
      <c r="O765" s="5">
        <v>34.5</v>
      </c>
      <c r="P765" s="5">
        <v>0</v>
      </c>
      <c r="Q765" s="5">
        <v>26.39</v>
      </c>
      <c r="R765" s="5">
        <v>336.84</v>
      </c>
      <c r="S765" s="4" t="s">
        <v>332</v>
      </c>
      <c r="T765" s="4" t="s">
        <v>173</v>
      </c>
      <c r="U765" s="4" t="s">
        <v>66</v>
      </c>
      <c r="V765" s="4" t="s">
        <v>4156</v>
      </c>
      <c r="W765" s="5">
        <v>0</v>
      </c>
      <c r="X765" t="str">
        <f t="shared" si="33"/>
        <v>July</v>
      </c>
      <c r="Y765" t="str">
        <f t="shared" si="34"/>
        <v>Q3</v>
      </c>
      <c r="Z765" s="7">
        <f t="shared" si="35"/>
        <v>310.45</v>
      </c>
    </row>
    <row r="766" spans="1:26" x14ac:dyDescent="0.3">
      <c r="A766" s="2" t="s">
        <v>4623</v>
      </c>
      <c r="B766" s="8" t="s">
        <v>382</v>
      </c>
      <c r="C766" s="2" t="s">
        <v>4624</v>
      </c>
      <c r="D766" s="2" t="s">
        <v>4625</v>
      </c>
      <c r="E766" s="2" t="s">
        <v>4626</v>
      </c>
      <c r="F766" s="2" t="s">
        <v>4627</v>
      </c>
      <c r="G766" s="2" t="s">
        <v>676</v>
      </c>
      <c r="H766" s="2" t="s">
        <v>677</v>
      </c>
      <c r="I766" s="2" t="s">
        <v>31</v>
      </c>
      <c r="J766" s="2" t="s">
        <v>4628</v>
      </c>
      <c r="K766" s="2" t="s">
        <v>77</v>
      </c>
      <c r="L766" s="2">
        <v>4</v>
      </c>
      <c r="M766" s="3">
        <v>142.96</v>
      </c>
      <c r="N766" s="2" t="s">
        <v>34</v>
      </c>
      <c r="O766" s="3">
        <v>0</v>
      </c>
      <c r="P766" s="3">
        <v>0</v>
      </c>
      <c r="Q766" s="3">
        <v>10.01</v>
      </c>
      <c r="R766" s="3">
        <v>152.97</v>
      </c>
      <c r="S766" s="2" t="s">
        <v>35</v>
      </c>
      <c r="T766" s="2" t="s">
        <v>99</v>
      </c>
      <c r="U766" s="2" t="s">
        <v>100</v>
      </c>
      <c r="V766" s="2"/>
      <c r="W766" s="3">
        <v>0</v>
      </c>
      <c r="X766" t="str">
        <f t="shared" si="33"/>
        <v>April</v>
      </c>
      <c r="Y766" t="str">
        <f t="shared" si="34"/>
        <v>Q2</v>
      </c>
      <c r="Z766" s="7">
        <f t="shared" si="35"/>
        <v>142.96</v>
      </c>
    </row>
    <row r="767" spans="1:26" x14ac:dyDescent="0.3">
      <c r="A767" s="4" t="s">
        <v>4629</v>
      </c>
      <c r="B767" s="9" t="s">
        <v>1867</v>
      </c>
      <c r="C767" s="4" t="s">
        <v>4630</v>
      </c>
      <c r="D767" s="4" t="s">
        <v>4631</v>
      </c>
      <c r="E767" s="4" t="s">
        <v>4632</v>
      </c>
      <c r="F767" s="4" t="s">
        <v>4633</v>
      </c>
      <c r="G767" s="4" t="s">
        <v>59</v>
      </c>
      <c r="H767" s="4" t="s">
        <v>60</v>
      </c>
      <c r="I767" s="4" t="s">
        <v>31</v>
      </c>
      <c r="J767" s="4" t="s">
        <v>191</v>
      </c>
      <c r="K767" s="4" t="s">
        <v>77</v>
      </c>
      <c r="L767" s="4">
        <v>1</v>
      </c>
      <c r="M767" s="5">
        <v>24.99</v>
      </c>
      <c r="N767" s="4" t="s">
        <v>34</v>
      </c>
      <c r="O767" s="5">
        <v>0</v>
      </c>
      <c r="P767" s="5">
        <v>9.99</v>
      </c>
      <c r="Q767" s="5">
        <v>2.25</v>
      </c>
      <c r="R767" s="5">
        <v>37.229999999999997</v>
      </c>
      <c r="S767" s="4" t="s">
        <v>123</v>
      </c>
      <c r="T767" s="4" t="s">
        <v>36</v>
      </c>
      <c r="U767" s="4" t="s">
        <v>66</v>
      </c>
      <c r="V767" s="4" t="s">
        <v>3092</v>
      </c>
      <c r="W767" s="5">
        <v>0</v>
      </c>
      <c r="X767" t="str">
        <f t="shared" si="33"/>
        <v>March</v>
      </c>
      <c r="Y767" t="str">
        <f t="shared" si="34"/>
        <v>Q1</v>
      </c>
      <c r="Z767" s="7">
        <f t="shared" si="35"/>
        <v>24.99</v>
      </c>
    </row>
    <row r="768" spans="1:26" x14ac:dyDescent="0.3">
      <c r="A768" s="2" t="s">
        <v>4634</v>
      </c>
      <c r="B768" s="8" t="s">
        <v>1446</v>
      </c>
      <c r="C768" s="2" t="s">
        <v>4635</v>
      </c>
      <c r="D768" s="2" t="s">
        <v>545</v>
      </c>
      <c r="E768" s="2" t="s">
        <v>4636</v>
      </c>
      <c r="F768" s="2" t="s">
        <v>4637</v>
      </c>
      <c r="G768" s="2" t="s">
        <v>251</v>
      </c>
      <c r="H768" s="2" t="s">
        <v>252</v>
      </c>
      <c r="I768" s="2" t="s">
        <v>31</v>
      </c>
      <c r="J768" s="2" t="s">
        <v>4638</v>
      </c>
      <c r="K768" s="2" t="s">
        <v>48</v>
      </c>
      <c r="L768" s="2">
        <v>3</v>
      </c>
      <c r="M768" s="3">
        <v>189.95</v>
      </c>
      <c r="N768" s="2" t="s">
        <v>63</v>
      </c>
      <c r="O768" s="3">
        <v>47.49</v>
      </c>
      <c r="P768" s="3">
        <v>0</v>
      </c>
      <c r="Q768" s="3">
        <v>8.5500000000000007</v>
      </c>
      <c r="R768" s="3">
        <v>151.01</v>
      </c>
      <c r="S768" s="2" t="s">
        <v>35</v>
      </c>
      <c r="T768" s="2" t="s">
        <v>183</v>
      </c>
      <c r="U768" s="2" t="s">
        <v>100</v>
      </c>
      <c r="V768" s="2"/>
      <c r="W768" s="3">
        <v>0</v>
      </c>
      <c r="X768" t="str">
        <f t="shared" si="33"/>
        <v>January</v>
      </c>
      <c r="Y768" t="str">
        <f t="shared" si="34"/>
        <v>Q1</v>
      </c>
      <c r="Z768" s="7">
        <f t="shared" si="35"/>
        <v>142.45999999999998</v>
      </c>
    </row>
    <row r="769" spans="1:26" x14ac:dyDescent="0.3">
      <c r="A769" s="4" t="s">
        <v>4639</v>
      </c>
      <c r="B769" s="9" t="s">
        <v>374</v>
      </c>
      <c r="C769" s="4" t="s">
        <v>4640</v>
      </c>
      <c r="D769" s="4" t="s">
        <v>4641</v>
      </c>
      <c r="E769" s="4" t="s">
        <v>4642</v>
      </c>
      <c r="F769" s="4" t="s">
        <v>4643</v>
      </c>
      <c r="G769" s="4" t="s">
        <v>171</v>
      </c>
      <c r="H769" s="4" t="s">
        <v>88</v>
      </c>
      <c r="I769" s="4" t="s">
        <v>31</v>
      </c>
      <c r="J769" s="4" t="s">
        <v>4644</v>
      </c>
      <c r="K769" s="4" t="s">
        <v>77</v>
      </c>
      <c r="L769" s="4">
        <v>2</v>
      </c>
      <c r="M769" s="5">
        <v>93.97</v>
      </c>
      <c r="N769" s="4" t="s">
        <v>34</v>
      </c>
      <c r="O769" s="5">
        <v>0</v>
      </c>
      <c r="P769" s="5">
        <v>0</v>
      </c>
      <c r="Q769" s="5">
        <v>7.99</v>
      </c>
      <c r="R769" s="5">
        <v>101.96</v>
      </c>
      <c r="S769" s="4" t="s">
        <v>123</v>
      </c>
      <c r="T769" s="4" t="s">
        <v>99</v>
      </c>
      <c r="U769" s="4" t="s">
        <v>66</v>
      </c>
      <c r="V769" s="4" t="s">
        <v>1582</v>
      </c>
      <c r="W769" s="5">
        <v>0</v>
      </c>
      <c r="X769" t="str">
        <f t="shared" si="33"/>
        <v>July</v>
      </c>
      <c r="Y769" t="str">
        <f t="shared" si="34"/>
        <v>Q3</v>
      </c>
      <c r="Z769" s="7">
        <f t="shared" si="35"/>
        <v>93.97</v>
      </c>
    </row>
    <row r="770" spans="1:26" x14ac:dyDescent="0.3">
      <c r="A770" s="2" t="s">
        <v>4645</v>
      </c>
      <c r="B770" s="8" t="s">
        <v>709</v>
      </c>
      <c r="C770" s="2" t="s">
        <v>4646</v>
      </c>
      <c r="D770" s="2" t="s">
        <v>4647</v>
      </c>
      <c r="E770" s="2" t="s">
        <v>4648</v>
      </c>
      <c r="F770" s="2" t="s">
        <v>4649</v>
      </c>
      <c r="G770" s="2" t="s">
        <v>291</v>
      </c>
      <c r="H770" s="2" t="s">
        <v>292</v>
      </c>
      <c r="I770" s="2" t="s">
        <v>31</v>
      </c>
      <c r="J770" s="2" t="s">
        <v>1232</v>
      </c>
      <c r="K770" s="2" t="s">
        <v>77</v>
      </c>
      <c r="L770" s="2">
        <v>1</v>
      </c>
      <c r="M770" s="3">
        <v>34.99</v>
      </c>
      <c r="N770" s="2" t="s">
        <v>163</v>
      </c>
      <c r="O770" s="3">
        <v>7</v>
      </c>
      <c r="P770" s="3">
        <v>9.99</v>
      </c>
      <c r="Q770" s="3">
        <v>2.8</v>
      </c>
      <c r="R770" s="3">
        <v>40.78</v>
      </c>
      <c r="S770" s="2" t="s">
        <v>111</v>
      </c>
      <c r="T770" s="2" t="s">
        <v>65</v>
      </c>
      <c r="U770" s="2" t="s">
        <v>317</v>
      </c>
      <c r="V770" s="2"/>
      <c r="W770" s="3">
        <v>0</v>
      </c>
      <c r="X770" t="str">
        <f t="shared" si="33"/>
        <v>January</v>
      </c>
      <c r="Y770" t="str">
        <f t="shared" si="34"/>
        <v>Q1</v>
      </c>
      <c r="Z770" s="7">
        <f t="shared" si="35"/>
        <v>27.990000000000002</v>
      </c>
    </row>
    <row r="771" spans="1:26" x14ac:dyDescent="0.3">
      <c r="A771" s="4" t="s">
        <v>4650</v>
      </c>
      <c r="B771" s="9" t="s">
        <v>1703</v>
      </c>
      <c r="C771" s="4" t="s">
        <v>4651</v>
      </c>
      <c r="D771" s="4" t="s">
        <v>4652</v>
      </c>
      <c r="E771" s="4" t="s">
        <v>4653</v>
      </c>
      <c r="F771" s="4" t="s">
        <v>4654</v>
      </c>
      <c r="G771" s="4" t="s">
        <v>119</v>
      </c>
      <c r="H771" s="4" t="s">
        <v>120</v>
      </c>
      <c r="I771" s="4" t="s">
        <v>31</v>
      </c>
      <c r="J771" s="4" t="s">
        <v>1054</v>
      </c>
      <c r="K771" s="4" t="s">
        <v>364</v>
      </c>
      <c r="L771" s="4">
        <v>1</v>
      </c>
      <c r="M771" s="5">
        <v>44.99</v>
      </c>
      <c r="N771" s="4" t="s">
        <v>78</v>
      </c>
      <c r="O771" s="5">
        <v>4.5</v>
      </c>
      <c r="P771" s="5">
        <v>7.99</v>
      </c>
      <c r="Q771" s="5">
        <v>4.05</v>
      </c>
      <c r="R771" s="5">
        <v>52.53</v>
      </c>
      <c r="S771" s="4" t="s">
        <v>123</v>
      </c>
      <c r="T771" s="4" t="s">
        <v>144</v>
      </c>
      <c r="U771" s="4" t="s">
        <v>66</v>
      </c>
      <c r="V771" s="4" t="s">
        <v>2839</v>
      </c>
      <c r="W771" s="5">
        <v>0</v>
      </c>
      <c r="X771" t="str">
        <f t="shared" ref="X771:X834" si="36">TEXT(B771,"MMMM")</f>
        <v>June</v>
      </c>
      <c r="Y771" t="str">
        <f t="shared" ref="Y771:Y834" si="37">IF(MONTH(B771)&lt;=3,"Q1",IF(MONTH(B771)&lt;=6,"Q2",IF(MONTH(B771)&lt;=9,"Q3","Q4")))</f>
        <v>Q2</v>
      </c>
      <c r="Z771" s="7">
        <f t="shared" ref="Z771:Z834" si="38">M771-O771</f>
        <v>40.49</v>
      </c>
    </row>
    <row r="772" spans="1:26" x14ac:dyDescent="0.3">
      <c r="A772" s="2" t="s">
        <v>4655</v>
      </c>
      <c r="B772" s="8" t="s">
        <v>797</v>
      </c>
      <c r="C772" s="2" t="s">
        <v>4656</v>
      </c>
      <c r="D772" s="2" t="s">
        <v>4657</v>
      </c>
      <c r="E772" s="2" t="s">
        <v>4658</v>
      </c>
      <c r="F772" s="2" t="s">
        <v>4659</v>
      </c>
      <c r="G772" s="2" t="s">
        <v>74</v>
      </c>
      <c r="H772" s="2" t="s">
        <v>75</v>
      </c>
      <c r="I772" s="2" t="s">
        <v>31</v>
      </c>
      <c r="J772" s="2" t="s">
        <v>4660</v>
      </c>
      <c r="K772" s="2" t="s">
        <v>62</v>
      </c>
      <c r="L772" s="2">
        <v>2</v>
      </c>
      <c r="M772" s="3">
        <v>144.97</v>
      </c>
      <c r="N772" s="2" t="s">
        <v>78</v>
      </c>
      <c r="O772" s="3">
        <v>14.5</v>
      </c>
      <c r="P772" s="3">
        <v>0</v>
      </c>
      <c r="Q772" s="3">
        <v>9.1300000000000008</v>
      </c>
      <c r="R772" s="3">
        <v>139.6</v>
      </c>
      <c r="S772" s="2" t="s">
        <v>123</v>
      </c>
      <c r="T772" s="2" t="s">
        <v>173</v>
      </c>
      <c r="U772" s="2" t="s">
        <v>37</v>
      </c>
      <c r="V772" s="2" t="s">
        <v>2222</v>
      </c>
      <c r="W772" s="3">
        <v>139.6</v>
      </c>
      <c r="X772" t="str">
        <f t="shared" si="36"/>
        <v>December</v>
      </c>
      <c r="Y772" t="str">
        <f t="shared" si="37"/>
        <v>Q4</v>
      </c>
      <c r="Z772" s="7">
        <f t="shared" si="38"/>
        <v>130.47</v>
      </c>
    </row>
    <row r="773" spans="1:26" x14ac:dyDescent="0.3">
      <c r="A773" s="4" t="s">
        <v>4661</v>
      </c>
      <c r="B773" s="9" t="s">
        <v>513</v>
      </c>
      <c r="C773" s="4" t="s">
        <v>4662</v>
      </c>
      <c r="D773" s="4" t="s">
        <v>2690</v>
      </c>
      <c r="E773" s="4" t="s">
        <v>4663</v>
      </c>
      <c r="F773" s="4" t="s">
        <v>4664</v>
      </c>
      <c r="G773" s="4" t="s">
        <v>1183</v>
      </c>
      <c r="H773" s="4" t="s">
        <v>88</v>
      </c>
      <c r="I773" s="4" t="s">
        <v>31</v>
      </c>
      <c r="J773" s="4" t="s">
        <v>4665</v>
      </c>
      <c r="K773" s="4" t="s">
        <v>364</v>
      </c>
      <c r="L773" s="4">
        <v>4</v>
      </c>
      <c r="M773" s="5">
        <v>199.96</v>
      </c>
      <c r="N773" s="4" t="s">
        <v>152</v>
      </c>
      <c r="O773" s="5">
        <v>10</v>
      </c>
      <c r="P773" s="5">
        <v>0</v>
      </c>
      <c r="Q773" s="5">
        <v>13.3</v>
      </c>
      <c r="R773" s="5">
        <v>203.26</v>
      </c>
      <c r="S773" s="4" t="s">
        <v>64</v>
      </c>
      <c r="T773" s="4" t="s">
        <v>36</v>
      </c>
      <c r="U773" s="4" t="s">
        <v>66</v>
      </c>
      <c r="V773" s="4" t="s">
        <v>4666</v>
      </c>
      <c r="W773" s="5">
        <v>0</v>
      </c>
      <c r="X773" t="str">
        <f t="shared" si="36"/>
        <v>May</v>
      </c>
      <c r="Y773" t="str">
        <f t="shared" si="37"/>
        <v>Q2</v>
      </c>
      <c r="Z773" s="7">
        <f t="shared" si="38"/>
        <v>189.96</v>
      </c>
    </row>
    <row r="774" spans="1:26" x14ac:dyDescent="0.3">
      <c r="A774" s="2" t="s">
        <v>4667</v>
      </c>
      <c r="B774" s="8" t="s">
        <v>470</v>
      </c>
      <c r="C774" s="2" t="s">
        <v>4668</v>
      </c>
      <c r="D774" s="2" t="s">
        <v>3885</v>
      </c>
      <c r="E774" s="2" t="s">
        <v>4669</v>
      </c>
      <c r="F774" s="2" t="s">
        <v>4670</v>
      </c>
      <c r="G774" s="2" t="s">
        <v>347</v>
      </c>
      <c r="H774" s="2" t="s">
        <v>60</v>
      </c>
      <c r="I774" s="2" t="s">
        <v>31</v>
      </c>
      <c r="J774" s="2" t="s">
        <v>4671</v>
      </c>
      <c r="K774" s="2" t="s">
        <v>143</v>
      </c>
      <c r="L774" s="2">
        <v>3</v>
      </c>
      <c r="M774" s="3">
        <v>261.95</v>
      </c>
      <c r="N774" s="2" t="s">
        <v>34</v>
      </c>
      <c r="O774" s="3">
        <v>0</v>
      </c>
      <c r="P774" s="3">
        <v>0</v>
      </c>
      <c r="Q774" s="3">
        <v>15.72</v>
      </c>
      <c r="R774" s="3">
        <v>277.67</v>
      </c>
      <c r="S774" s="2" t="s">
        <v>35</v>
      </c>
      <c r="T774" s="2" t="s">
        <v>65</v>
      </c>
      <c r="U774" s="2" t="s">
        <v>66</v>
      </c>
      <c r="V774" s="2" t="s">
        <v>194</v>
      </c>
      <c r="W774" s="3">
        <v>0</v>
      </c>
      <c r="X774" t="str">
        <f t="shared" si="36"/>
        <v>December</v>
      </c>
      <c r="Y774" t="str">
        <f t="shared" si="37"/>
        <v>Q4</v>
      </c>
      <c r="Z774" s="7">
        <f t="shared" si="38"/>
        <v>261.95</v>
      </c>
    </row>
    <row r="775" spans="1:26" x14ac:dyDescent="0.3">
      <c r="A775" s="4" t="s">
        <v>4672</v>
      </c>
      <c r="B775" s="9" t="s">
        <v>2222</v>
      </c>
      <c r="C775" s="4" t="s">
        <v>4673</v>
      </c>
      <c r="D775" s="4" t="s">
        <v>4674</v>
      </c>
      <c r="E775" s="4" t="s">
        <v>4675</v>
      </c>
      <c r="F775" s="4" t="s">
        <v>4676</v>
      </c>
      <c r="G775" s="4" t="s">
        <v>1183</v>
      </c>
      <c r="H775" s="4" t="s">
        <v>88</v>
      </c>
      <c r="I775" s="4" t="s">
        <v>31</v>
      </c>
      <c r="J775" s="4" t="s">
        <v>4677</v>
      </c>
      <c r="K775" s="4" t="s">
        <v>62</v>
      </c>
      <c r="L775" s="4">
        <v>1</v>
      </c>
      <c r="M775" s="5">
        <v>59.98</v>
      </c>
      <c r="N775" s="4" t="s">
        <v>163</v>
      </c>
      <c r="O775" s="5">
        <v>12</v>
      </c>
      <c r="P775" s="5">
        <v>7.99</v>
      </c>
      <c r="Q775" s="5">
        <v>4.8</v>
      </c>
      <c r="R775" s="5">
        <v>60.77</v>
      </c>
      <c r="S775" s="4" t="s">
        <v>35</v>
      </c>
      <c r="T775" s="4" t="s">
        <v>99</v>
      </c>
      <c r="U775" s="4" t="s">
        <v>37</v>
      </c>
      <c r="V775" s="4" t="s">
        <v>603</v>
      </c>
      <c r="W775" s="5">
        <v>60.77</v>
      </c>
      <c r="X775" t="str">
        <f t="shared" si="36"/>
        <v>December</v>
      </c>
      <c r="Y775" t="str">
        <f t="shared" si="37"/>
        <v>Q4</v>
      </c>
      <c r="Z775" s="7">
        <f t="shared" si="38"/>
        <v>47.98</v>
      </c>
    </row>
    <row r="776" spans="1:26" x14ac:dyDescent="0.3">
      <c r="A776" s="2" t="s">
        <v>4678</v>
      </c>
      <c r="B776" s="8" t="s">
        <v>92</v>
      </c>
      <c r="C776" s="2" t="s">
        <v>4679</v>
      </c>
      <c r="D776" s="2" t="s">
        <v>1310</v>
      </c>
      <c r="E776" s="2" t="s">
        <v>4680</v>
      </c>
      <c r="F776" s="2" t="s">
        <v>4681</v>
      </c>
      <c r="G776" s="2" t="s">
        <v>207</v>
      </c>
      <c r="H776" s="2" t="s">
        <v>141</v>
      </c>
      <c r="I776" s="2" t="s">
        <v>31</v>
      </c>
      <c r="J776" s="2" t="s">
        <v>4682</v>
      </c>
      <c r="K776" s="2" t="s">
        <v>143</v>
      </c>
      <c r="L776" s="2">
        <v>2</v>
      </c>
      <c r="M776" s="3">
        <v>408.96</v>
      </c>
      <c r="N776" s="2" t="s">
        <v>34</v>
      </c>
      <c r="O776" s="3">
        <v>0</v>
      </c>
      <c r="P776" s="3">
        <v>0</v>
      </c>
      <c r="Q776" s="3">
        <v>24.54</v>
      </c>
      <c r="R776" s="3">
        <v>433.5</v>
      </c>
      <c r="S776" s="2" t="s">
        <v>64</v>
      </c>
      <c r="T776" s="2" t="s">
        <v>99</v>
      </c>
      <c r="U776" s="2" t="s">
        <v>100</v>
      </c>
      <c r="V776" s="2"/>
      <c r="W776" s="3">
        <v>0</v>
      </c>
      <c r="X776" t="str">
        <f t="shared" si="36"/>
        <v>August</v>
      </c>
      <c r="Y776" t="str">
        <f t="shared" si="37"/>
        <v>Q3</v>
      </c>
      <c r="Z776" s="7">
        <f t="shared" si="38"/>
        <v>408.96</v>
      </c>
    </row>
    <row r="777" spans="1:26" x14ac:dyDescent="0.3">
      <c r="A777" s="4" t="s">
        <v>4683</v>
      </c>
      <c r="B777" s="9" t="s">
        <v>1417</v>
      </c>
      <c r="C777" s="4" t="s">
        <v>4684</v>
      </c>
      <c r="D777" s="4" t="s">
        <v>3593</v>
      </c>
      <c r="E777" s="4" t="s">
        <v>4685</v>
      </c>
      <c r="F777" s="4" t="s">
        <v>4686</v>
      </c>
      <c r="G777" s="4" t="s">
        <v>323</v>
      </c>
      <c r="H777" s="4" t="s">
        <v>324</v>
      </c>
      <c r="I777" s="4" t="s">
        <v>31</v>
      </c>
      <c r="J777" s="4" t="s">
        <v>2314</v>
      </c>
      <c r="K777" s="4" t="s">
        <v>33</v>
      </c>
      <c r="L777" s="4">
        <v>1</v>
      </c>
      <c r="M777" s="5">
        <v>56.97</v>
      </c>
      <c r="N777" s="4" t="s">
        <v>78</v>
      </c>
      <c r="O777" s="5">
        <v>5.7</v>
      </c>
      <c r="P777" s="5">
        <v>9.99</v>
      </c>
      <c r="Q777" s="5">
        <v>4.6100000000000003</v>
      </c>
      <c r="R777" s="5">
        <v>65.87</v>
      </c>
      <c r="S777" s="4" t="s">
        <v>64</v>
      </c>
      <c r="T777" s="4" t="s">
        <v>173</v>
      </c>
      <c r="U777" s="4" t="s">
        <v>66</v>
      </c>
      <c r="V777" s="4" t="s">
        <v>1948</v>
      </c>
      <c r="W777" s="5">
        <v>0</v>
      </c>
      <c r="X777" t="str">
        <f t="shared" si="36"/>
        <v>October</v>
      </c>
      <c r="Y777" t="str">
        <f t="shared" si="37"/>
        <v>Q4</v>
      </c>
      <c r="Z777" s="7">
        <f t="shared" si="38"/>
        <v>51.269999999999996</v>
      </c>
    </row>
    <row r="778" spans="1:26" x14ac:dyDescent="0.3">
      <c r="A778" s="2" t="s">
        <v>4687</v>
      </c>
      <c r="B778" s="8" t="s">
        <v>2503</v>
      </c>
      <c r="C778" s="2" t="s">
        <v>4688</v>
      </c>
      <c r="D778" s="2" t="s">
        <v>2115</v>
      </c>
      <c r="E778" s="2" t="s">
        <v>4689</v>
      </c>
      <c r="F778" s="2" t="s">
        <v>4690</v>
      </c>
      <c r="G778" s="2" t="s">
        <v>291</v>
      </c>
      <c r="H778" s="2" t="s">
        <v>292</v>
      </c>
      <c r="I778" s="2" t="s">
        <v>31</v>
      </c>
      <c r="J778" s="2" t="s">
        <v>4691</v>
      </c>
      <c r="K778" s="2" t="s">
        <v>33</v>
      </c>
      <c r="L778" s="2">
        <v>2</v>
      </c>
      <c r="M778" s="3">
        <v>144.97</v>
      </c>
      <c r="N778" s="2" t="s">
        <v>34</v>
      </c>
      <c r="O778" s="3">
        <v>0</v>
      </c>
      <c r="P778" s="3">
        <v>0</v>
      </c>
      <c r="Q778" s="3">
        <v>14.5</v>
      </c>
      <c r="R778" s="3">
        <v>159.47</v>
      </c>
      <c r="S778" s="2" t="s">
        <v>35</v>
      </c>
      <c r="T778" s="2" t="s">
        <v>144</v>
      </c>
      <c r="U778" s="2" t="s">
        <v>66</v>
      </c>
      <c r="V778" s="2" t="s">
        <v>164</v>
      </c>
      <c r="W778" s="3">
        <v>0</v>
      </c>
      <c r="X778" t="str">
        <f t="shared" si="36"/>
        <v>February</v>
      </c>
      <c r="Y778" t="str">
        <f t="shared" si="37"/>
        <v>Q1</v>
      </c>
      <c r="Z778" s="7">
        <f t="shared" si="38"/>
        <v>144.97</v>
      </c>
    </row>
    <row r="779" spans="1:26" x14ac:dyDescent="0.3">
      <c r="A779" s="4" t="s">
        <v>4692</v>
      </c>
      <c r="B779" s="9" t="s">
        <v>3092</v>
      </c>
      <c r="C779" s="4" t="s">
        <v>4693</v>
      </c>
      <c r="D779" s="4" t="s">
        <v>4694</v>
      </c>
      <c r="E779" s="4" t="s">
        <v>4695</v>
      </c>
      <c r="F779" s="4" t="s">
        <v>4696</v>
      </c>
      <c r="G779" s="4" t="s">
        <v>291</v>
      </c>
      <c r="H779" s="4" t="s">
        <v>292</v>
      </c>
      <c r="I779" s="4" t="s">
        <v>31</v>
      </c>
      <c r="J779" s="4" t="s">
        <v>371</v>
      </c>
      <c r="K779" s="4" t="s">
        <v>122</v>
      </c>
      <c r="L779" s="4">
        <v>1</v>
      </c>
      <c r="M779" s="5">
        <v>109.99</v>
      </c>
      <c r="N779" s="4" t="s">
        <v>78</v>
      </c>
      <c r="O779" s="5">
        <v>11</v>
      </c>
      <c r="P779" s="5">
        <v>0</v>
      </c>
      <c r="Q779" s="5">
        <v>8.91</v>
      </c>
      <c r="R779" s="5">
        <v>107.9</v>
      </c>
      <c r="S779" s="4" t="s">
        <v>79</v>
      </c>
      <c r="T779" s="4" t="s">
        <v>99</v>
      </c>
      <c r="U779" s="4" t="s">
        <v>51</v>
      </c>
      <c r="V779" s="4" t="s">
        <v>1315</v>
      </c>
      <c r="W779" s="5">
        <v>0</v>
      </c>
      <c r="X779" t="str">
        <f t="shared" si="36"/>
        <v>March</v>
      </c>
      <c r="Y779" t="str">
        <f t="shared" si="37"/>
        <v>Q1</v>
      </c>
      <c r="Z779" s="7">
        <f t="shared" si="38"/>
        <v>98.99</v>
      </c>
    </row>
    <row r="780" spans="1:26" x14ac:dyDescent="0.3">
      <c r="A780" s="2" t="s">
        <v>4697</v>
      </c>
      <c r="B780" s="8" t="s">
        <v>303</v>
      </c>
      <c r="C780" s="2" t="s">
        <v>4698</v>
      </c>
      <c r="D780" s="2" t="s">
        <v>4699</v>
      </c>
      <c r="E780" s="2" t="s">
        <v>4700</v>
      </c>
      <c r="F780" s="2" t="s">
        <v>4701</v>
      </c>
      <c r="G780" s="2" t="s">
        <v>45</v>
      </c>
      <c r="H780" s="2" t="s">
        <v>46</v>
      </c>
      <c r="I780" s="2" t="s">
        <v>31</v>
      </c>
      <c r="J780" s="2" t="s">
        <v>4702</v>
      </c>
      <c r="K780" s="2" t="s">
        <v>48</v>
      </c>
      <c r="L780" s="2">
        <v>3</v>
      </c>
      <c r="M780" s="3">
        <v>99.97</v>
      </c>
      <c r="N780" s="2" t="s">
        <v>152</v>
      </c>
      <c r="O780" s="3">
        <v>5</v>
      </c>
      <c r="P780" s="3">
        <v>0</v>
      </c>
      <c r="Q780" s="3">
        <v>5.7</v>
      </c>
      <c r="R780" s="3">
        <v>100.67</v>
      </c>
      <c r="S780" s="2" t="s">
        <v>332</v>
      </c>
      <c r="T780" s="2" t="s">
        <v>99</v>
      </c>
      <c r="U780" s="2" t="s">
        <v>317</v>
      </c>
      <c r="V780" s="2"/>
      <c r="W780" s="3">
        <v>0</v>
      </c>
      <c r="X780" t="str">
        <f t="shared" si="36"/>
        <v>April</v>
      </c>
      <c r="Y780" t="str">
        <f t="shared" si="37"/>
        <v>Q2</v>
      </c>
      <c r="Z780" s="7">
        <f t="shared" si="38"/>
        <v>94.97</v>
      </c>
    </row>
    <row r="781" spans="1:26" x14ac:dyDescent="0.3">
      <c r="A781" s="4" t="s">
        <v>4703</v>
      </c>
      <c r="B781" s="9" t="s">
        <v>498</v>
      </c>
      <c r="C781" s="4" t="s">
        <v>4704</v>
      </c>
      <c r="D781" s="4" t="s">
        <v>4705</v>
      </c>
      <c r="E781" s="4" t="s">
        <v>4706</v>
      </c>
      <c r="F781" s="4" t="s">
        <v>4707</v>
      </c>
      <c r="G781" s="4" t="s">
        <v>692</v>
      </c>
      <c r="H781" s="4" t="s">
        <v>693</v>
      </c>
      <c r="I781" s="4" t="s">
        <v>31</v>
      </c>
      <c r="J781" s="4" t="s">
        <v>47</v>
      </c>
      <c r="K781" s="4" t="s">
        <v>48</v>
      </c>
      <c r="L781" s="4">
        <v>1</v>
      </c>
      <c r="M781" s="5">
        <v>42.99</v>
      </c>
      <c r="N781" s="4" t="s">
        <v>49</v>
      </c>
      <c r="O781" s="5">
        <v>6.45</v>
      </c>
      <c r="P781" s="5">
        <v>9.99</v>
      </c>
      <c r="Q781" s="5">
        <v>3.65</v>
      </c>
      <c r="R781" s="5">
        <v>50.18</v>
      </c>
      <c r="S781" s="4" t="s">
        <v>35</v>
      </c>
      <c r="T781" s="4" t="s">
        <v>50</v>
      </c>
      <c r="U781" s="4" t="s">
        <v>66</v>
      </c>
      <c r="V781" s="4" t="s">
        <v>519</v>
      </c>
      <c r="W781" s="5">
        <v>0</v>
      </c>
      <c r="X781" t="str">
        <f t="shared" si="36"/>
        <v>May</v>
      </c>
      <c r="Y781" t="str">
        <f t="shared" si="37"/>
        <v>Q2</v>
      </c>
      <c r="Z781" s="7">
        <f t="shared" si="38"/>
        <v>36.54</v>
      </c>
    </row>
    <row r="782" spans="1:26" x14ac:dyDescent="0.3">
      <c r="A782" s="2" t="s">
        <v>4708</v>
      </c>
      <c r="B782" s="8" t="s">
        <v>1573</v>
      </c>
      <c r="C782" s="2" t="s">
        <v>4709</v>
      </c>
      <c r="D782" s="2" t="s">
        <v>4710</v>
      </c>
      <c r="E782" s="2" t="s">
        <v>4711</v>
      </c>
      <c r="F782" s="2" t="s">
        <v>4712</v>
      </c>
      <c r="G782" s="2" t="s">
        <v>207</v>
      </c>
      <c r="H782" s="2" t="s">
        <v>141</v>
      </c>
      <c r="I782" s="2" t="s">
        <v>31</v>
      </c>
      <c r="J782" s="2" t="s">
        <v>4713</v>
      </c>
      <c r="K782" s="2" t="s">
        <v>62</v>
      </c>
      <c r="L782" s="2">
        <v>4</v>
      </c>
      <c r="M782" s="3">
        <v>234.95</v>
      </c>
      <c r="N782" s="2" t="s">
        <v>34</v>
      </c>
      <c r="O782" s="3">
        <v>0</v>
      </c>
      <c r="P782" s="3">
        <v>0</v>
      </c>
      <c r="Q782" s="3">
        <v>18.8</v>
      </c>
      <c r="R782" s="3">
        <v>253.75</v>
      </c>
      <c r="S782" s="2" t="s">
        <v>35</v>
      </c>
      <c r="T782" s="2" t="s">
        <v>36</v>
      </c>
      <c r="U782" s="2" t="s">
        <v>66</v>
      </c>
      <c r="V782" s="2" t="s">
        <v>1805</v>
      </c>
      <c r="W782" s="3">
        <v>0</v>
      </c>
      <c r="X782" t="str">
        <f t="shared" si="36"/>
        <v>September</v>
      </c>
      <c r="Y782" t="str">
        <f t="shared" si="37"/>
        <v>Q3</v>
      </c>
      <c r="Z782" s="7">
        <f t="shared" si="38"/>
        <v>234.95</v>
      </c>
    </row>
    <row r="783" spans="1:26" x14ac:dyDescent="0.3">
      <c r="A783" s="4" t="s">
        <v>4714</v>
      </c>
      <c r="B783" s="9" t="s">
        <v>1671</v>
      </c>
      <c r="C783" s="4" t="s">
        <v>4715</v>
      </c>
      <c r="D783" s="4" t="s">
        <v>4716</v>
      </c>
      <c r="E783" s="4" t="s">
        <v>4717</v>
      </c>
      <c r="F783" s="4" t="s">
        <v>4718</v>
      </c>
      <c r="G783" s="4" t="s">
        <v>180</v>
      </c>
      <c r="H783" s="4" t="s">
        <v>181</v>
      </c>
      <c r="I783" s="4" t="s">
        <v>31</v>
      </c>
      <c r="J783" s="4" t="s">
        <v>4719</v>
      </c>
      <c r="K783" s="4" t="s">
        <v>77</v>
      </c>
      <c r="L783" s="4">
        <v>2</v>
      </c>
      <c r="M783" s="5">
        <v>67.98</v>
      </c>
      <c r="N783" s="4" t="s">
        <v>34</v>
      </c>
      <c r="O783" s="5">
        <v>0</v>
      </c>
      <c r="P783" s="5">
        <v>5.99</v>
      </c>
      <c r="Q783" s="5">
        <v>4.76</v>
      </c>
      <c r="R783" s="5">
        <v>78.73</v>
      </c>
      <c r="S783" s="4" t="s">
        <v>79</v>
      </c>
      <c r="T783" s="4" t="s">
        <v>50</v>
      </c>
      <c r="U783" s="4" t="s">
        <v>66</v>
      </c>
      <c r="V783" s="4" t="s">
        <v>463</v>
      </c>
      <c r="W783" s="5">
        <v>0</v>
      </c>
      <c r="X783" t="str">
        <f t="shared" si="36"/>
        <v>June</v>
      </c>
      <c r="Y783" t="str">
        <f t="shared" si="37"/>
        <v>Q2</v>
      </c>
      <c r="Z783" s="7">
        <f t="shared" si="38"/>
        <v>67.98</v>
      </c>
    </row>
    <row r="784" spans="1:26" x14ac:dyDescent="0.3">
      <c r="A784" s="2" t="s">
        <v>4720</v>
      </c>
      <c r="B784" s="8" t="s">
        <v>210</v>
      </c>
      <c r="C784" s="2" t="s">
        <v>4721</v>
      </c>
      <c r="D784" s="2" t="s">
        <v>4722</v>
      </c>
      <c r="E784" s="2" t="s">
        <v>4723</v>
      </c>
      <c r="F784" s="2" t="s">
        <v>4724</v>
      </c>
      <c r="G784" s="2" t="s">
        <v>1183</v>
      </c>
      <c r="H784" s="2" t="s">
        <v>88</v>
      </c>
      <c r="I784" s="2" t="s">
        <v>31</v>
      </c>
      <c r="J784" s="2" t="s">
        <v>4725</v>
      </c>
      <c r="K784" s="2" t="s">
        <v>143</v>
      </c>
      <c r="L784" s="2">
        <v>2</v>
      </c>
      <c r="M784" s="3">
        <v>324.95999999999998</v>
      </c>
      <c r="N784" s="2" t="s">
        <v>152</v>
      </c>
      <c r="O784" s="3">
        <v>16.25</v>
      </c>
      <c r="P784" s="3">
        <v>0</v>
      </c>
      <c r="Q784" s="3">
        <v>30.87</v>
      </c>
      <c r="R784" s="3">
        <v>339.58</v>
      </c>
      <c r="S784" s="2" t="s">
        <v>35</v>
      </c>
      <c r="T784" s="2" t="s">
        <v>99</v>
      </c>
      <c r="U784" s="2" t="s">
        <v>66</v>
      </c>
      <c r="V784" s="2" t="s">
        <v>3421</v>
      </c>
      <c r="W784" s="3">
        <v>0</v>
      </c>
      <c r="X784" t="str">
        <f t="shared" si="36"/>
        <v>August</v>
      </c>
      <c r="Y784" t="str">
        <f t="shared" si="37"/>
        <v>Q3</v>
      </c>
      <c r="Z784" s="7">
        <f t="shared" si="38"/>
        <v>308.70999999999998</v>
      </c>
    </row>
    <row r="785" spans="1:26" x14ac:dyDescent="0.3">
      <c r="A785" s="4" t="s">
        <v>4726</v>
      </c>
      <c r="B785" s="9" t="s">
        <v>185</v>
      </c>
      <c r="C785" s="4" t="s">
        <v>4727</v>
      </c>
      <c r="D785" s="4" t="s">
        <v>4728</v>
      </c>
      <c r="E785" s="4" t="s">
        <v>4729</v>
      </c>
      <c r="F785" s="4" t="s">
        <v>4730</v>
      </c>
      <c r="G785" s="4" t="s">
        <v>1183</v>
      </c>
      <c r="H785" s="4" t="s">
        <v>88</v>
      </c>
      <c r="I785" s="4" t="s">
        <v>31</v>
      </c>
      <c r="J785" s="4" t="s">
        <v>4731</v>
      </c>
      <c r="K785" s="4" t="s">
        <v>122</v>
      </c>
      <c r="L785" s="4">
        <v>2</v>
      </c>
      <c r="M785" s="5">
        <v>107.97</v>
      </c>
      <c r="N785" s="4" t="s">
        <v>34</v>
      </c>
      <c r="O785" s="5">
        <v>0</v>
      </c>
      <c r="P785" s="5">
        <v>0</v>
      </c>
      <c r="Q785" s="5">
        <v>7.56</v>
      </c>
      <c r="R785" s="5">
        <v>115.53</v>
      </c>
      <c r="S785" s="4" t="s">
        <v>111</v>
      </c>
      <c r="T785" s="4" t="s">
        <v>144</v>
      </c>
      <c r="U785" s="4" t="s">
        <v>66</v>
      </c>
      <c r="V785" s="4" t="s">
        <v>270</v>
      </c>
      <c r="W785" s="5">
        <v>0</v>
      </c>
      <c r="X785" t="str">
        <f t="shared" si="36"/>
        <v>July</v>
      </c>
      <c r="Y785" t="str">
        <f t="shared" si="37"/>
        <v>Q3</v>
      </c>
      <c r="Z785" s="7">
        <f t="shared" si="38"/>
        <v>107.97</v>
      </c>
    </row>
    <row r="786" spans="1:26" x14ac:dyDescent="0.3">
      <c r="A786" s="2" t="s">
        <v>4732</v>
      </c>
      <c r="B786" s="8" t="s">
        <v>3438</v>
      </c>
      <c r="C786" s="2" t="s">
        <v>4733</v>
      </c>
      <c r="D786" s="2" t="s">
        <v>2649</v>
      </c>
      <c r="E786" s="2" t="s">
        <v>4734</v>
      </c>
      <c r="F786" s="2" t="s">
        <v>4735</v>
      </c>
      <c r="G786" s="2" t="s">
        <v>640</v>
      </c>
      <c r="H786" s="2" t="s">
        <v>161</v>
      </c>
      <c r="I786" s="2" t="s">
        <v>31</v>
      </c>
      <c r="J786" s="2" t="s">
        <v>694</v>
      </c>
      <c r="K786" s="2" t="s">
        <v>77</v>
      </c>
      <c r="L786" s="2">
        <v>1</v>
      </c>
      <c r="M786" s="3">
        <v>55.98</v>
      </c>
      <c r="N786" s="2" t="s">
        <v>63</v>
      </c>
      <c r="O786" s="3">
        <v>13.99</v>
      </c>
      <c r="P786" s="3">
        <v>4.99</v>
      </c>
      <c r="Q786" s="3">
        <v>4.2</v>
      </c>
      <c r="R786" s="3">
        <v>51.18</v>
      </c>
      <c r="S786" s="2" t="s">
        <v>111</v>
      </c>
      <c r="T786" s="2" t="s">
        <v>144</v>
      </c>
      <c r="U786" s="2" t="s">
        <v>66</v>
      </c>
      <c r="V786" s="2" t="s">
        <v>431</v>
      </c>
      <c r="W786" s="3">
        <v>0</v>
      </c>
      <c r="X786" t="str">
        <f t="shared" si="36"/>
        <v>June</v>
      </c>
      <c r="Y786" t="str">
        <f t="shared" si="37"/>
        <v>Q2</v>
      </c>
      <c r="Z786" s="7">
        <f t="shared" si="38"/>
        <v>41.989999999999995</v>
      </c>
    </row>
    <row r="787" spans="1:26" x14ac:dyDescent="0.3">
      <c r="A787" s="4" t="s">
        <v>4736</v>
      </c>
      <c r="B787" s="9" t="s">
        <v>943</v>
      </c>
      <c r="C787" s="4" t="s">
        <v>4737</v>
      </c>
      <c r="D787" s="4" t="s">
        <v>4738</v>
      </c>
      <c r="E787" s="4" t="s">
        <v>4739</v>
      </c>
      <c r="F787" s="4" t="s">
        <v>4740</v>
      </c>
      <c r="G787" s="4" t="s">
        <v>291</v>
      </c>
      <c r="H787" s="4" t="s">
        <v>292</v>
      </c>
      <c r="I787" s="4" t="s">
        <v>31</v>
      </c>
      <c r="J787" s="4" t="s">
        <v>4741</v>
      </c>
      <c r="K787" s="4" t="s">
        <v>209</v>
      </c>
      <c r="L787" s="4">
        <v>3</v>
      </c>
      <c r="M787" s="5">
        <v>214.94</v>
      </c>
      <c r="N787" s="4" t="s">
        <v>34</v>
      </c>
      <c r="O787" s="5">
        <v>0</v>
      </c>
      <c r="P787" s="5">
        <v>0</v>
      </c>
      <c r="Q787" s="5">
        <v>17.2</v>
      </c>
      <c r="R787" s="5">
        <v>232.14</v>
      </c>
      <c r="S787" s="4" t="s">
        <v>64</v>
      </c>
      <c r="T787" s="4" t="s">
        <v>65</v>
      </c>
      <c r="U787" s="4" t="s">
        <v>51</v>
      </c>
      <c r="V787" s="4" t="s">
        <v>1055</v>
      </c>
      <c r="W787" s="5">
        <v>0</v>
      </c>
      <c r="X787" t="str">
        <f t="shared" si="36"/>
        <v>October</v>
      </c>
      <c r="Y787" t="str">
        <f t="shared" si="37"/>
        <v>Q4</v>
      </c>
      <c r="Z787" s="7">
        <f t="shared" si="38"/>
        <v>214.94</v>
      </c>
    </row>
    <row r="788" spans="1:26" x14ac:dyDescent="0.3">
      <c r="A788" s="2" t="s">
        <v>4742</v>
      </c>
      <c r="B788" s="8" t="s">
        <v>1000</v>
      </c>
      <c r="C788" s="2" t="s">
        <v>4743</v>
      </c>
      <c r="D788" s="2" t="s">
        <v>4744</v>
      </c>
      <c r="E788" s="2" t="s">
        <v>4745</v>
      </c>
      <c r="F788" s="2" t="s">
        <v>4746</v>
      </c>
      <c r="G788" s="2" t="s">
        <v>394</v>
      </c>
      <c r="H788" s="2" t="s">
        <v>395</v>
      </c>
      <c r="I788" s="2" t="s">
        <v>31</v>
      </c>
      <c r="J788" s="2" t="s">
        <v>4747</v>
      </c>
      <c r="K788" s="2" t="s">
        <v>77</v>
      </c>
      <c r="L788" s="2">
        <v>3</v>
      </c>
      <c r="M788" s="3">
        <v>115.97</v>
      </c>
      <c r="N788" s="2" t="s">
        <v>78</v>
      </c>
      <c r="O788" s="3">
        <v>11.6</v>
      </c>
      <c r="P788" s="3">
        <v>0</v>
      </c>
      <c r="Q788" s="3">
        <v>8.8699999999999992</v>
      </c>
      <c r="R788" s="3">
        <v>113.24</v>
      </c>
      <c r="S788" s="2" t="s">
        <v>123</v>
      </c>
      <c r="T788" s="2" t="s">
        <v>173</v>
      </c>
      <c r="U788" s="2" t="s">
        <v>317</v>
      </c>
      <c r="V788" s="2"/>
      <c r="W788" s="3">
        <v>0</v>
      </c>
      <c r="X788" t="str">
        <f t="shared" si="36"/>
        <v>April</v>
      </c>
      <c r="Y788" t="str">
        <f t="shared" si="37"/>
        <v>Q2</v>
      </c>
      <c r="Z788" s="7">
        <f t="shared" si="38"/>
        <v>104.37</v>
      </c>
    </row>
    <row r="789" spans="1:26" x14ac:dyDescent="0.3">
      <c r="A789" s="4" t="s">
        <v>4748</v>
      </c>
      <c r="B789" s="9" t="s">
        <v>2130</v>
      </c>
      <c r="C789" s="4" t="s">
        <v>4749</v>
      </c>
      <c r="D789" s="4" t="s">
        <v>4750</v>
      </c>
      <c r="E789" s="4" t="s">
        <v>4751</v>
      </c>
      <c r="F789" s="4" t="s">
        <v>4752</v>
      </c>
      <c r="G789" s="4" t="s">
        <v>140</v>
      </c>
      <c r="H789" s="4" t="s">
        <v>141</v>
      </c>
      <c r="I789" s="4" t="s">
        <v>31</v>
      </c>
      <c r="J789" s="4" t="s">
        <v>4753</v>
      </c>
      <c r="K789" s="4" t="s">
        <v>48</v>
      </c>
      <c r="L789" s="4">
        <v>3</v>
      </c>
      <c r="M789" s="5">
        <v>198.95</v>
      </c>
      <c r="N789" s="4" t="s">
        <v>34</v>
      </c>
      <c r="O789" s="5">
        <v>0</v>
      </c>
      <c r="P789" s="5">
        <v>0</v>
      </c>
      <c r="Q789" s="5">
        <v>16.91</v>
      </c>
      <c r="R789" s="5">
        <v>215.86</v>
      </c>
      <c r="S789" s="4" t="s">
        <v>332</v>
      </c>
      <c r="T789" s="4" t="s">
        <v>36</v>
      </c>
      <c r="U789" s="4" t="s">
        <v>66</v>
      </c>
      <c r="V789" s="4" t="s">
        <v>1329</v>
      </c>
      <c r="W789" s="5">
        <v>0</v>
      </c>
      <c r="X789" t="str">
        <f t="shared" si="36"/>
        <v>January</v>
      </c>
      <c r="Y789" t="str">
        <f t="shared" si="37"/>
        <v>Q1</v>
      </c>
      <c r="Z789" s="7">
        <f t="shared" si="38"/>
        <v>198.95</v>
      </c>
    </row>
    <row r="790" spans="1:26" x14ac:dyDescent="0.3">
      <c r="A790" s="2" t="s">
        <v>4754</v>
      </c>
      <c r="B790" s="8" t="s">
        <v>758</v>
      </c>
      <c r="C790" s="2" t="s">
        <v>4755</v>
      </c>
      <c r="D790" s="2" t="s">
        <v>4756</v>
      </c>
      <c r="E790" s="2" t="s">
        <v>4757</v>
      </c>
      <c r="F790" s="2" t="s">
        <v>4758</v>
      </c>
      <c r="G790" s="2" t="s">
        <v>171</v>
      </c>
      <c r="H790" s="2" t="s">
        <v>88</v>
      </c>
      <c r="I790" s="2" t="s">
        <v>31</v>
      </c>
      <c r="J790" s="2" t="s">
        <v>1997</v>
      </c>
      <c r="K790" s="2" t="s">
        <v>143</v>
      </c>
      <c r="L790" s="2">
        <v>1</v>
      </c>
      <c r="M790" s="3">
        <v>129.99</v>
      </c>
      <c r="N790" s="2" t="s">
        <v>78</v>
      </c>
      <c r="O790" s="3">
        <v>13</v>
      </c>
      <c r="P790" s="3">
        <v>0</v>
      </c>
      <c r="Q790" s="3">
        <v>10.53</v>
      </c>
      <c r="R790" s="3">
        <v>127.52</v>
      </c>
      <c r="S790" s="2" t="s">
        <v>35</v>
      </c>
      <c r="T790" s="2" t="s">
        <v>99</v>
      </c>
      <c r="U790" s="2" t="s">
        <v>100</v>
      </c>
      <c r="V790" s="2"/>
      <c r="W790" s="3">
        <v>0</v>
      </c>
      <c r="X790" t="str">
        <f t="shared" si="36"/>
        <v>May</v>
      </c>
      <c r="Y790" t="str">
        <f t="shared" si="37"/>
        <v>Q2</v>
      </c>
      <c r="Z790" s="7">
        <f t="shared" si="38"/>
        <v>116.99000000000001</v>
      </c>
    </row>
    <row r="791" spans="1:26" x14ac:dyDescent="0.3">
      <c r="A791" s="4" t="s">
        <v>4759</v>
      </c>
      <c r="B791" s="9" t="s">
        <v>82</v>
      </c>
      <c r="C791" s="4" t="s">
        <v>4760</v>
      </c>
      <c r="D791" s="4" t="s">
        <v>4761</v>
      </c>
      <c r="E791" s="4" t="s">
        <v>4762</v>
      </c>
      <c r="F791" s="4" t="s">
        <v>4763</v>
      </c>
      <c r="G791" s="4" t="s">
        <v>394</v>
      </c>
      <c r="H791" s="4" t="s">
        <v>395</v>
      </c>
      <c r="I791" s="4" t="s">
        <v>31</v>
      </c>
      <c r="J791" s="4" t="s">
        <v>4764</v>
      </c>
      <c r="K791" s="4" t="s">
        <v>110</v>
      </c>
      <c r="L791" s="4">
        <v>2</v>
      </c>
      <c r="M791" s="5">
        <v>57.98</v>
      </c>
      <c r="N791" s="4" t="s">
        <v>163</v>
      </c>
      <c r="O791" s="5">
        <v>11.6</v>
      </c>
      <c r="P791" s="5">
        <v>5.99</v>
      </c>
      <c r="Q791" s="5">
        <v>3.94</v>
      </c>
      <c r="R791" s="5">
        <v>56.31</v>
      </c>
      <c r="S791" s="4" t="s">
        <v>123</v>
      </c>
      <c r="T791" s="4" t="s">
        <v>50</v>
      </c>
      <c r="U791" s="4" t="s">
        <v>66</v>
      </c>
      <c r="V791" s="4" t="s">
        <v>1589</v>
      </c>
      <c r="W791" s="5">
        <v>0</v>
      </c>
      <c r="X791" t="str">
        <f t="shared" si="36"/>
        <v>May</v>
      </c>
      <c r="Y791" t="str">
        <f t="shared" si="37"/>
        <v>Q2</v>
      </c>
      <c r="Z791" s="7">
        <f t="shared" si="38"/>
        <v>46.379999999999995</v>
      </c>
    </row>
    <row r="792" spans="1:26" x14ac:dyDescent="0.3">
      <c r="A792" s="2" t="s">
        <v>4765</v>
      </c>
      <c r="B792" s="8" t="s">
        <v>957</v>
      </c>
      <c r="C792" s="2" t="s">
        <v>4766</v>
      </c>
      <c r="D792" s="2" t="s">
        <v>4767</v>
      </c>
      <c r="E792" s="2" t="s">
        <v>4768</v>
      </c>
      <c r="F792" s="2" t="s">
        <v>4769</v>
      </c>
      <c r="G792" s="2" t="s">
        <v>59</v>
      </c>
      <c r="H792" s="2" t="s">
        <v>60</v>
      </c>
      <c r="I792" s="2" t="s">
        <v>31</v>
      </c>
      <c r="J792" s="2" t="s">
        <v>4770</v>
      </c>
      <c r="K792" s="2" t="s">
        <v>62</v>
      </c>
      <c r="L792" s="2">
        <v>3</v>
      </c>
      <c r="M792" s="3">
        <v>202.97</v>
      </c>
      <c r="N792" s="2" t="s">
        <v>78</v>
      </c>
      <c r="O792" s="3">
        <v>20.3</v>
      </c>
      <c r="P792" s="3">
        <v>0</v>
      </c>
      <c r="Q792" s="3">
        <v>15.53</v>
      </c>
      <c r="R792" s="3">
        <v>198.2</v>
      </c>
      <c r="S792" s="2" t="s">
        <v>35</v>
      </c>
      <c r="T792" s="2" t="s">
        <v>50</v>
      </c>
      <c r="U792" s="2" t="s">
        <v>66</v>
      </c>
      <c r="V792" s="2" t="s">
        <v>734</v>
      </c>
      <c r="W792" s="3">
        <v>0</v>
      </c>
      <c r="X792" t="str">
        <f t="shared" si="36"/>
        <v>May</v>
      </c>
      <c r="Y792" t="str">
        <f t="shared" si="37"/>
        <v>Q2</v>
      </c>
      <c r="Z792" s="7">
        <f t="shared" si="38"/>
        <v>182.67</v>
      </c>
    </row>
    <row r="793" spans="1:26" x14ac:dyDescent="0.3">
      <c r="A793" s="4" t="s">
        <v>4771</v>
      </c>
      <c r="B793" s="9" t="s">
        <v>235</v>
      </c>
      <c r="C793" s="4" t="s">
        <v>4772</v>
      </c>
      <c r="D793" s="4" t="s">
        <v>4773</v>
      </c>
      <c r="E793" s="4" t="s">
        <v>4774</v>
      </c>
      <c r="F793" s="4" t="s">
        <v>4775</v>
      </c>
      <c r="G793" s="4" t="s">
        <v>676</v>
      </c>
      <c r="H793" s="4" t="s">
        <v>677</v>
      </c>
      <c r="I793" s="4" t="s">
        <v>31</v>
      </c>
      <c r="J793" s="4" t="s">
        <v>4776</v>
      </c>
      <c r="K793" s="4" t="s">
        <v>110</v>
      </c>
      <c r="L793" s="4">
        <v>3</v>
      </c>
      <c r="M793" s="5">
        <v>224.95</v>
      </c>
      <c r="N793" s="4" t="s">
        <v>34</v>
      </c>
      <c r="O793" s="5">
        <v>0</v>
      </c>
      <c r="P793" s="5">
        <v>0</v>
      </c>
      <c r="Q793" s="5">
        <v>19.12</v>
      </c>
      <c r="R793" s="5">
        <v>244.07</v>
      </c>
      <c r="S793" s="4" t="s">
        <v>64</v>
      </c>
      <c r="T793" s="4" t="s">
        <v>65</v>
      </c>
      <c r="U793" s="4" t="s">
        <v>51</v>
      </c>
      <c r="V793" s="4" t="s">
        <v>219</v>
      </c>
      <c r="W793" s="5">
        <v>0</v>
      </c>
      <c r="X793" t="str">
        <f t="shared" si="36"/>
        <v>May</v>
      </c>
      <c r="Y793" t="str">
        <f t="shared" si="37"/>
        <v>Q2</v>
      </c>
      <c r="Z793" s="7">
        <f t="shared" si="38"/>
        <v>224.95</v>
      </c>
    </row>
    <row r="794" spans="1:26" x14ac:dyDescent="0.3">
      <c r="A794" s="2" t="s">
        <v>4777</v>
      </c>
      <c r="B794" s="8" t="s">
        <v>777</v>
      </c>
      <c r="C794" s="2" t="s">
        <v>4778</v>
      </c>
      <c r="D794" s="2" t="s">
        <v>4779</v>
      </c>
      <c r="E794" s="2" t="s">
        <v>4780</v>
      </c>
      <c r="F794" s="2" t="s">
        <v>4781</v>
      </c>
      <c r="G794" s="2" t="s">
        <v>180</v>
      </c>
      <c r="H794" s="2" t="s">
        <v>181</v>
      </c>
      <c r="I794" s="2" t="s">
        <v>31</v>
      </c>
      <c r="J794" s="2" t="s">
        <v>4782</v>
      </c>
      <c r="K794" s="2" t="s">
        <v>33</v>
      </c>
      <c r="L794" s="2">
        <v>4</v>
      </c>
      <c r="M794" s="3">
        <v>235.94</v>
      </c>
      <c r="N794" s="2" t="s">
        <v>78</v>
      </c>
      <c r="O794" s="3">
        <v>23.59</v>
      </c>
      <c r="P794" s="3">
        <v>0</v>
      </c>
      <c r="Q794" s="3">
        <v>12.74</v>
      </c>
      <c r="R794" s="3">
        <v>225.09</v>
      </c>
      <c r="S794" s="2" t="s">
        <v>123</v>
      </c>
      <c r="T794" s="2" t="s">
        <v>99</v>
      </c>
      <c r="U794" s="2" t="s">
        <v>66</v>
      </c>
      <c r="V794" s="2" t="s">
        <v>296</v>
      </c>
      <c r="W794" s="3">
        <v>0</v>
      </c>
      <c r="X794" t="str">
        <f t="shared" si="36"/>
        <v>August</v>
      </c>
      <c r="Y794" t="str">
        <f t="shared" si="37"/>
        <v>Q3</v>
      </c>
      <c r="Z794" s="7">
        <f t="shared" si="38"/>
        <v>212.35</v>
      </c>
    </row>
    <row r="795" spans="1:26" x14ac:dyDescent="0.3">
      <c r="A795" s="4" t="s">
        <v>4783</v>
      </c>
      <c r="B795" s="9" t="s">
        <v>447</v>
      </c>
      <c r="C795" s="4" t="s">
        <v>4784</v>
      </c>
      <c r="D795" s="4" t="s">
        <v>1956</v>
      </c>
      <c r="E795" s="4" t="s">
        <v>4785</v>
      </c>
      <c r="F795" s="4" t="s">
        <v>4786</v>
      </c>
      <c r="G795" s="4" t="s">
        <v>242</v>
      </c>
      <c r="H795" s="4" t="s">
        <v>243</v>
      </c>
      <c r="I795" s="4" t="s">
        <v>31</v>
      </c>
      <c r="J795" s="4" t="s">
        <v>4787</v>
      </c>
      <c r="K795" s="4" t="s">
        <v>143</v>
      </c>
      <c r="L795" s="4">
        <v>2</v>
      </c>
      <c r="M795" s="5">
        <v>179.97</v>
      </c>
      <c r="N795" s="4" t="s">
        <v>152</v>
      </c>
      <c r="O795" s="5">
        <v>9</v>
      </c>
      <c r="P795" s="5">
        <v>0</v>
      </c>
      <c r="Q795" s="5">
        <v>15.39</v>
      </c>
      <c r="R795" s="5">
        <v>186.36</v>
      </c>
      <c r="S795" s="4" t="s">
        <v>35</v>
      </c>
      <c r="T795" s="4" t="s">
        <v>144</v>
      </c>
      <c r="U795" s="4" t="s">
        <v>66</v>
      </c>
      <c r="V795" s="4" t="s">
        <v>90</v>
      </c>
      <c r="W795" s="5">
        <v>0</v>
      </c>
      <c r="X795" t="str">
        <f t="shared" si="36"/>
        <v>May</v>
      </c>
      <c r="Y795" t="str">
        <f t="shared" si="37"/>
        <v>Q2</v>
      </c>
      <c r="Z795" s="7">
        <f t="shared" si="38"/>
        <v>170.97</v>
      </c>
    </row>
    <row r="796" spans="1:26" x14ac:dyDescent="0.3">
      <c r="A796" s="2" t="s">
        <v>4788</v>
      </c>
      <c r="B796" s="8" t="s">
        <v>1539</v>
      </c>
      <c r="C796" s="2" t="s">
        <v>4789</v>
      </c>
      <c r="D796" s="2" t="s">
        <v>4790</v>
      </c>
      <c r="E796" s="2" t="s">
        <v>4791</v>
      </c>
      <c r="F796" s="2" t="s">
        <v>4792</v>
      </c>
      <c r="G796" s="2" t="s">
        <v>692</v>
      </c>
      <c r="H796" s="2" t="s">
        <v>693</v>
      </c>
      <c r="I796" s="2" t="s">
        <v>31</v>
      </c>
      <c r="J796" s="2" t="s">
        <v>379</v>
      </c>
      <c r="K796" s="2" t="s">
        <v>209</v>
      </c>
      <c r="L796" s="2">
        <v>1</v>
      </c>
      <c r="M796" s="3">
        <v>89.99</v>
      </c>
      <c r="N796" s="2" t="s">
        <v>49</v>
      </c>
      <c r="O796" s="3">
        <v>13.5</v>
      </c>
      <c r="P796" s="3">
        <v>0</v>
      </c>
      <c r="Q796" s="3">
        <v>4.59</v>
      </c>
      <c r="R796" s="3">
        <v>81.08</v>
      </c>
      <c r="S796" s="2" t="s">
        <v>123</v>
      </c>
      <c r="T796" s="2" t="s">
        <v>183</v>
      </c>
      <c r="U796" s="2" t="s">
        <v>66</v>
      </c>
      <c r="V796" s="2" t="s">
        <v>2616</v>
      </c>
      <c r="W796" s="3">
        <v>0</v>
      </c>
      <c r="X796" t="str">
        <f t="shared" si="36"/>
        <v>March</v>
      </c>
      <c r="Y796" t="str">
        <f t="shared" si="37"/>
        <v>Q1</v>
      </c>
      <c r="Z796" s="7">
        <f t="shared" si="38"/>
        <v>76.489999999999995</v>
      </c>
    </row>
    <row r="797" spans="1:26" x14ac:dyDescent="0.3">
      <c r="A797" s="4" t="s">
        <v>4793</v>
      </c>
      <c r="B797" s="9" t="s">
        <v>309</v>
      </c>
      <c r="C797" s="4" t="s">
        <v>4794</v>
      </c>
      <c r="D797" s="4" t="s">
        <v>4795</v>
      </c>
      <c r="E797" s="4" t="s">
        <v>4796</v>
      </c>
      <c r="F797" s="4" t="s">
        <v>4797</v>
      </c>
      <c r="G797" s="4" t="s">
        <v>347</v>
      </c>
      <c r="H797" s="4" t="s">
        <v>60</v>
      </c>
      <c r="I797" s="4" t="s">
        <v>31</v>
      </c>
      <c r="J797" s="4" t="s">
        <v>4798</v>
      </c>
      <c r="K797" s="4" t="s">
        <v>122</v>
      </c>
      <c r="L797" s="4">
        <v>2</v>
      </c>
      <c r="M797" s="5">
        <v>88.98</v>
      </c>
      <c r="N797" s="4" t="s">
        <v>152</v>
      </c>
      <c r="O797" s="5">
        <v>4.45</v>
      </c>
      <c r="P797" s="5">
        <v>0</v>
      </c>
      <c r="Q797" s="5">
        <v>5.92</v>
      </c>
      <c r="R797" s="5">
        <v>90.45</v>
      </c>
      <c r="S797" s="4" t="s">
        <v>35</v>
      </c>
      <c r="T797" s="4" t="s">
        <v>99</v>
      </c>
      <c r="U797" s="4" t="s">
        <v>66</v>
      </c>
      <c r="V797" s="4" t="s">
        <v>2915</v>
      </c>
      <c r="W797" s="5">
        <v>0</v>
      </c>
      <c r="X797" t="str">
        <f t="shared" si="36"/>
        <v>April</v>
      </c>
      <c r="Y797" t="str">
        <f t="shared" si="37"/>
        <v>Q2</v>
      </c>
      <c r="Z797" s="7">
        <f t="shared" si="38"/>
        <v>84.53</v>
      </c>
    </row>
    <row r="798" spans="1:26" x14ac:dyDescent="0.3">
      <c r="A798" s="2" t="s">
        <v>4799</v>
      </c>
      <c r="B798" s="8" t="s">
        <v>2130</v>
      </c>
      <c r="C798" s="2" t="s">
        <v>4800</v>
      </c>
      <c r="D798" s="2" t="s">
        <v>4801</v>
      </c>
      <c r="E798" s="2" t="s">
        <v>4802</v>
      </c>
      <c r="F798" s="2" t="s">
        <v>4803</v>
      </c>
      <c r="G798" s="2" t="s">
        <v>224</v>
      </c>
      <c r="H798" s="2" t="s">
        <v>225</v>
      </c>
      <c r="I798" s="2" t="s">
        <v>31</v>
      </c>
      <c r="J798" s="2" t="s">
        <v>4804</v>
      </c>
      <c r="K798" s="2" t="s">
        <v>110</v>
      </c>
      <c r="L798" s="2">
        <v>2</v>
      </c>
      <c r="M798" s="3">
        <v>57.98</v>
      </c>
      <c r="N798" s="2" t="s">
        <v>34</v>
      </c>
      <c r="O798" s="3">
        <v>0</v>
      </c>
      <c r="P798" s="3">
        <v>7.99</v>
      </c>
      <c r="Q798" s="3">
        <v>4.6399999999999997</v>
      </c>
      <c r="R798" s="3">
        <v>70.61</v>
      </c>
      <c r="S798" s="2" t="s">
        <v>64</v>
      </c>
      <c r="T798" s="2" t="s">
        <v>36</v>
      </c>
      <c r="U798" s="2" t="s">
        <v>37</v>
      </c>
      <c r="V798" s="2" t="s">
        <v>2957</v>
      </c>
      <c r="W798" s="3">
        <v>70.61</v>
      </c>
      <c r="X798" t="str">
        <f t="shared" si="36"/>
        <v>January</v>
      </c>
      <c r="Y798" t="str">
        <f t="shared" si="37"/>
        <v>Q1</v>
      </c>
      <c r="Z798" s="7">
        <f t="shared" si="38"/>
        <v>57.98</v>
      </c>
    </row>
    <row r="799" spans="1:26" x14ac:dyDescent="0.3">
      <c r="A799" s="4" t="s">
        <v>4805</v>
      </c>
      <c r="B799" s="9" t="s">
        <v>2950</v>
      </c>
      <c r="C799" s="4" t="s">
        <v>4806</v>
      </c>
      <c r="D799" s="4" t="s">
        <v>4807</v>
      </c>
      <c r="E799" s="4" t="s">
        <v>4808</v>
      </c>
      <c r="F799" s="4" t="s">
        <v>4809</v>
      </c>
      <c r="G799" s="4" t="s">
        <v>207</v>
      </c>
      <c r="H799" s="4" t="s">
        <v>141</v>
      </c>
      <c r="I799" s="4" t="s">
        <v>31</v>
      </c>
      <c r="J799" s="4" t="s">
        <v>4810</v>
      </c>
      <c r="K799" s="4" t="s">
        <v>33</v>
      </c>
      <c r="L799" s="4">
        <v>2</v>
      </c>
      <c r="M799" s="5">
        <v>78.98</v>
      </c>
      <c r="N799" s="4" t="s">
        <v>78</v>
      </c>
      <c r="O799" s="5">
        <v>7.9</v>
      </c>
      <c r="P799" s="5">
        <v>0</v>
      </c>
      <c r="Q799" s="5">
        <v>5.69</v>
      </c>
      <c r="R799" s="5">
        <v>76.77</v>
      </c>
      <c r="S799" s="4" t="s">
        <v>35</v>
      </c>
      <c r="T799" s="4" t="s">
        <v>99</v>
      </c>
      <c r="U799" s="4" t="s">
        <v>66</v>
      </c>
      <c r="V799" s="4" t="s">
        <v>744</v>
      </c>
      <c r="W799" s="5">
        <v>0</v>
      </c>
      <c r="X799" t="str">
        <f t="shared" si="36"/>
        <v>February</v>
      </c>
      <c r="Y799" t="str">
        <f t="shared" si="37"/>
        <v>Q1</v>
      </c>
      <c r="Z799" s="7">
        <f t="shared" si="38"/>
        <v>71.08</v>
      </c>
    </row>
    <row r="800" spans="1:26" x14ac:dyDescent="0.3">
      <c r="A800" s="2" t="s">
        <v>4811</v>
      </c>
      <c r="B800" s="8" t="s">
        <v>633</v>
      </c>
      <c r="C800" s="2" t="s">
        <v>4812</v>
      </c>
      <c r="D800" s="2" t="s">
        <v>814</v>
      </c>
      <c r="E800" s="2" t="s">
        <v>4813</v>
      </c>
      <c r="F800" s="2" t="s">
        <v>4814</v>
      </c>
      <c r="G800" s="2" t="s">
        <v>107</v>
      </c>
      <c r="H800" s="2" t="s">
        <v>108</v>
      </c>
      <c r="I800" s="2" t="s">
        <v>31</v>
      </c>
      <c r="J800" s="2" t="s">
        <v>4815</v>
      </c>
      <c r="K800" s="2" t="s">
        <v>679</v>
      </c>
      <c r="L800" s="2">
        <v>3</v>
      </c>
      <c r="M800" s="3">
        <v>219.95</v>
      </c>
      <c r="N800" s="2" t="s">
        <v>34</v>
      </c>
      <c r="O800" s="3">
        <v>0</v>
      </c>
      <c r="P800" s="3">
        <v>0</v>
      </c>
      <c r="Q800" s="3">
        <v>22</v>
      </c>
      <c r="R800" s="3">
        <v>241.95</v>
      </c>
      <c r="S800" s="2" t="s">
        <v>64</v>
      </c>
      <c r="T800" s="2" t="s">
        <v>99</v>
      </c>
      <c r="U800" s="2" t="s">
        <v>66</v>
      </c>
      <c r="V800" s="2" t="s">
        <v>1341</v>
      </c>
      <c r="W800" s="3">
        <v>0</v>
      </c>
      <c r="X800" t="str">
        <f t="shared" si="36"/>
        <v>February</v>
      </c>
      <c r="Y800" t="str">
        <f t="shared" si="37"/>
        <v>Q1</v>
      </c>
      <c r="Z800" s="7">
        <f t="shared" si="38"/>
        <v>219.95</v>
      </c>
    </row>
    <row r="801" spans="1:26" x14ac:dyDescent="0.3">
      <c r="A801" s="4" t="s">
        <v>4816</v>
      </c>
      <c r="B801" s="9" t="s">
        <v>943</v>
      </c>
      <c r="C801" s="4" t="s">
        <v>4817</v>
      </c>
      <c r="D801" s="4" t="s">
        <v>4298</v>
      </c>
      <c r="E801" s="4" t="s">
        <v>4818</v>
      </c>
      <c r="F801" s="4" t="s">
        <v>4819</v>
      </c>
      <c r="G801" s="4" t="s">
        <v>74</v>
      </c>
      <c r="H801" s="4" t="s">
        <v>75</v>
      </c>
      <c r="I801" s="4" t="s">
        <v>31</v>
      </c>
      <c r="J801" s="4" t="s">
        <v>4820</v>
      </c>
      <c r="K801" s="4" t="s">
        <v>364</v>
      </c>
      <c r="L801" s="4">
        <v>2</v>
      </c>
      <c r="M801" s="5">
        <v>134.97999999999999</v>
      </c>
      <c r="N801" s="4" t="s">
        <v>34</v>
      </c>
      <c r="O801" s="5">
        <v>0</v>
      </c>
      <c r="P801" s="5">
        <v>0</v>
      </c>
      <c r="Q801" s="5">
        <v>13.5</v>
      </c>
      <c r="R801" s="5">
        <v>148.47999999999999</v>
      </c>
      <c r="S801" s="4" t="s">
        <v>64</v>
      </c>
      <c r="T801" s="4" t="s">
        <v>173</v>
      </c>
      <c r="U801" s="4" t="s">
        <v>66</v>
      </c>
      <c r="V801" s="4" t="s">
        <v>930</v>
      </c>
      <c r="W801" s="5">
        <v>0</v>
      </c>
      <c r="X801" t="str">
        <f t="shared" si="36"/>
        <v>October</v>
      </c>
      <c r="Y801" t="str">
        <f t="shared" si="37"/>
        <v>Q4</v>
      </c>
      <c r="Z801" s="7">
        <f t="shared" si="38"/>
        <v>134.97999999999999</v>
      </c>
    </row>
    <row r="802" spans="1:26" x14ac:dyDescent="0.3">
      <c r="A802" s="2" t="s">
        <v>4821</v>
      </c>
      <c r="B802" s="8" t="s">
        <v>965</v>
      </c>
      <c r="C802" s="2" t="s">
        <v>4822</v>
      </c>
      <c r="D802" s="2" t="s">
        <v>3011</v>
      </c>
      <c r="E802" s="2" t="s">
        <v>4823</v>
      </c>
      <c r="F802" s="2" t="s">
        <v>4824</v>
      </c>
      <c r="G802" s="2" t="s">
        <v>676</v>
      </c>
      <c r="H802" s="2" t="s">
        <v>677</v>
      </c>
      <c r="I802" s="2" t="s">
        <v>31</v>
      </c>
      <c r="J802" s="2" t="s">
        <v>308</v>
      </c>
      <c r="K802" s="2" t="s">
        <v>62</v>
      </c>
      <c r="L802" s="2">
        <v>1</v>
      </c>
      <c r="M802" s="3">
        <v>29.99</v>
      </c>
      <c r="N802" s="2" t="s">
        <v>34</v>
      </c>
      <c r="O802" s="3">
        <v>0</v>
      </c>
      <c r="P802" s="3">
        <v>9.99</v>
      </c>
      <c r="Q802" s="3">
        <v>2.1</v>
      </c>
      <c r="R802" s="3">
        <v>42.08</v>
      </c>
      <c r="S802" s="2" t="s">
        <v>35</v>
      </c>
      <c r="T802" s="2" t="s">
        <v>99</v>
      </c>
      <c r="U802" s="2" t="s">
        <v>66</v>
      </c>
      <c r="V802" s="2" t="s">
        <v>2671</v>
      </c>
      <c r="W802" s="3">
        <v>0</v>
      </c>
      <c r="X802" t="str">
        <f t="shared" si="36"/>
        <v>September</v>
      </c>
      <c r="Y802" t="str">
        <f t="shared" si="37"/>
        <v>Q3</v>
      </c>
      <c r="Z802" s="7">
        <f t="shared" si="38"/>
        <v>29.99</v>
      </c>
    </row>
    <row r="803" spans="1:26" x14ac:dyDescent="0.3">
      <c r="A803" s="4" t="s">
        <v>4825</v>
      </c>
      <c r="B803" s="9" t="s">
        <v>2645</v>
      </c>
      <c r="C803" s="4" t="s">
        <v>4826</v>
      </c>
      <c r="D803" s="4" t="s">
        <v>3138</v>
      </c>
      <c r="E803" s="4" t="s">
        <v>4827</v>
      </c>
      <c r="F803" s="4" t="s">
        <v>4828</v>
      </c>
      <c r="G803" s="4" t="s">
        <v>224</v>
      </c>
      <c r="H803" s="4" t="s">
        <v>225</v>
      </c>
      <c r="I803" s="4" t="s">
        <v>31</v>
      </c>
      <c r="J803" s="4" t="s">
        <v>371</v>
      </c>
      <c r="K803" s="4" t="s">
        <v>122</v>
      </c>
      <c r="L803" s="4">
        <v>1</v>
      </c>
      <c r="M803" s="5">
        <v>109.99</v>
      </c>
      <c r="N803" s="4" t="s">
        <v>78</v>
      </c>
      <c r="O803" s="5">
        <v>11</v>
      </c>
      <c r="P803" s="5">
        <v>0</v>
      </c>
      <c r="Q803" s="5">
        <v>8.41</v>
      </c>
      <c r="R803" s="5">
        <v>107.4</v>
      </c>
      <c r="S803" s="4" t="s">
        <v>35</v>
      </c>
      <c r="T803" s="4" t="s">
        <v>36</v>
      </c>
      <c r="U803" s="4" t="s">
        <v>37</v>
      </c>
      <c r="V803" s="4" t="s">
        <v>1187</v>
      </c>
      <c r="W803" s="5">
        <v>107.4</v>
      </c>
      <c r="X803" t="str">
        <f t="shared" si="36"/>
        <v>March</v>
      </c>
      <c r="Y803" t="str">
        <f t="shared" si="37"/>
        <v>Q1</v>
      </c>
      <c r="Z803" s="7">
        <f t="shared" si="38"/>
        <v>98.99</v>
      </c>
    </row>
    <row r="804" spans="1:26" x14ac:dyDescent="0.3">
      <c r="A804" s="2" t="s">
        <v>4829</v>
      </c>
      <c r="B804" s="8" t="s">
        <v>277</v>
      </c>
      <c r="C804" s="2" t="s">
        <v>4830</v>
      </c>
      <c r="D804" s="2" t="s">
        <v>2311</v>
      </c>
      <c r="E804" s="2" t="s">
        <v>4831</v>
      </c>
      <c r="F804" s="2" t="s">
        <v>4832</v>
      </c>
      <c r="G804" s="2" t="s">
        <v>242</v>
      </c>
      <c r="H804" s="2" t="s">
        <v>243</v>
      </c>
      <c r="I804" s="2" t="s">
        <v>31</v>
      </c>
      <c r="J804" s="2" t="s">
        <v>4833</v>
      </c>
      <c r="K804" s="2" t="s">
        <v>33</v>
      </c>
      <c r="L804" s="2">
        <v>3</v>
      </c>
      <c r="M804" s="3">
        <v>135.97</v>
      </c>
      <c r="N804" s="2" t="s">
        <v>78</v>
      </c>
      <c r="O804" s="3">
        <v>13.6</v>
      </c>
      <c r="P804" s="3">
        <v>0</v>
      </c>
      <c r="Q804" s="3">
        <v>9.7899999999999991</v>
      </c>
      <c r="R804" s="3">
        <v>132.16</v>
      </c>
      <c r="S804" s="2" t="s">
        <v>123</v>
      </c>
      <c r="T804" s="2" t="s">
        <v>36</v>
      </c>
      <c r="U804" s="2" t="s">
        <v>66</v>
      </c>
      <c r="V804" s="2" t="s">
        <v>366</v>
      </c>
      <c r="W804" s="3">
        <v>0</v>
      </c>
      <c r="X804" t="str">
        <f t="shared" si="36"/>
        <v>March</v>
      </c>
      <c r="Y804" t="str">
        <f t="shared" si="37"/>
        <v>Q1</v>
      </c>
      <c r="Z804" s="7">
        <f t="shared" si="38"/>
        <v>122.37</v>
      </c>
    </row>
    <row r="805" spans="1:26" x14ac:dyDescent="0.3">
      <c r="A805" s="4" t="s">
        <v>4834</v>
      </c>
      <c r="B805" s="9" t="s">
        <v>1187</v>
      </c>
      <c r="C805" s="4" t="s">
        <v>4835</v>
      </c>
      <c r="D805" s="4" t="s">
        <v>4836</v>
      </c>
      <c r="E805" s="4" t="s">
        <v>4837</v>
      </c>
      <c r="F805" s="4" t="s">
        <v>4838</v>
      </c>
      <c r="G805" s="4" t="s">
        <v>251</v>
      </c>
      <c r="H805" s="4" t="s">
        <v>252</v>
      </c>
      <c r="I805" s="4" t="s">
        <v>31</v>
      </c>
      <c r="J805" s="4" t="s">
        <v>4839</v>
      </c>
      <c r="K805" s="4" t="s">
        <v>33</v>
      </c>
      <c r="L805" s="4">
        <v>2</v>
      </c>
      <c r="M805" s="5">
        <v>116.97</v>
      </c>
      <c r="N805" s="4" t="s">
        <v>49</v>
      </c>
      <c r="O805" s="5">
        <v>17.55</v>
      </c>
      <c r="P805" s="5">
        <v>0</v>
      </c>
      <c r="Q805" s="5">
        <v>8.9499999999999993</v>
      </c>
      <c r="R805" s="5">
        <v>108.37</v>
      </c>
      <c r="S805" s="4" t="s">
        <v>332</v>
      </c>
      <c r="T805" s="4" t="s">
        <v>50</v>
      </c>
      <c r="U805" s="4" t="s">
        <v>100</v>
      </c>
      <c r="V805" s="4"/>
      <c r="W805" s="5">
        <v>0</v>
      </c>
      <c r="X805" t="str">
        <f t="shared" si="36"/>
        <v>March</v>
      </c>
      <c r="Y805" t="str">
        <f t="shared" si="37"/>
        <v>Q1</v>
      </c>
      <c r="Z805" s="7">
        <f t="shared" si="38"/>
        <v>99.42</v>
      </c>
    </row>
    <row r="806" spans="1:26" x14ac:dyDescent="0.3">
      <c r="A806" s="2" t="s">
        <v>4840</v>
      </c>
      <c r="B806" s="8" t="s">
        <v>649</v>
      </c>
      <c r="C806" s="2" t="s">
        <v>4841</v>
      </c>
      <c r="D806" s="2" t="s">
        <v>4842</v>
      </c>
      <c r="E806" s="2" t="s">
        <v>4843</v>
      </c>
      <c r="F806" s="2" t="s">
        <v>4844</v>
      </c>
      <c r="G806" s="2" t="s">
        <v>59</v>
      </c>
      <c r="H806" s="2" t="s">
        <v>60</v>
      </c>
      <c r="I806" s="2" t="s">
        <v>31</v>
      </c>
      <c r="J806" s="2" t="s">
        <v>340</v>
      </c>
      <c r="K806" s="2" t="s">
        <v>209</v>
      </c>
      <c r="L806" s="2">
        <v>1</v>
      </c>
      <c r="M806" s="3">
        <v>269.97000000000003</v>
      </c>
      <c r="N806" s="2" t="s">
        <v>34</v>
      </c>
      <c r="O806" s="3">
        <v>0</v>
      </c>
      <c r="P806" s="3">
        <v>0</v>
      </c>
      <c r="Q806" s="3">
        <v>21.6</v>
      </c>
      <c r="R806" s="3">
        <v>291.57</v>
      </c>
      <c r="S806" s="2" t="s">
        <v>123</v>
      </c>
      <c r="T806" s="2" t="s">
        <v>144</v>
      </c>
      <c r="U806" s="2" t="s">
        <v>66</v>
      </c>
      <c r="V806" s="2" t="s">
        <v>202</v>
      </c>
      <c r="W806" s="3">
        <v>0</v>
      </c>
      <c r="X806" t="str">
        <f t="shared" si="36"/>
        <v>August</v>
      </c>
      <c r="Y806" t="str">
        <f t="shared" si="37"/>
        <v>Q3</v>
      </c>
      <c r="Z806" s="7">
        <f t="shared" si="38"/>
        <v>269.97000000000003</v>
      </c>
    </row>
    <row r="807" spans="1:26" x14ac:dyDescent="0.3">
      <c r="A807" s="4" t="s">
        <v>4845</v>
      </c>
      <c r="B807" s="9" t="s">
        <v>1477</v>
      </c>
      <c r="C807" s="4" t="s">
        <v>4846</v>
      </c>
      <c r="D807" s="4" t="s">
        <v>4847</v>
      </c>
      <c r="E807" s="4" t="s">
        <v>4848</v>
      </c>
      <c r="F807" s="4" t="s">
        <v>4849</v>
      </c>
      <c r="G807" s="4" t="s">
        <v>29</v>
      </c>
      <c r="H807" s="4" t="s">
        <v>30</v>
      </c>
      <c r="I807" s="4" t="s">
        <v>31</v>
      </c>
      <c r="J807" s="4" t="s">
        <v>4850</v>
      </c>
      <c r="K807" s="4" t="s">
        <v>77</v>
      </c>
      <c r="L807" s="4">
        <v>2</v>
      </c>
      <c r="M807" s="5">
        <v>69.98</v>
      </c>
      <c r="N807" s="4" t="s">
        <v>34</v>
      </c>
      <c r="O807" s="5">
        <v>0</v>
      </c>
      <c r="P807" s="5">
        <v>7.99</v>
      </c>
      <c r="Q807" s="5">
        <v>5.95</v>
      </c>
      <c r="R807" s="5">
        <v>83.92</v>
      </c>
      <c r="S807" s="4" t="s">
        <v>79</v>
      </c>
      <c r="T807" s="4" t="s">
        <v>65</v>
      </c>
      <c r="U807" s="4" t="s">
        <v>66</v>
      </c>
      <c r="V807" s="4" t="s">
        <v>311</v>
      </c>
      <c r="W807" s="5">
        <v>0</v>
      </c>
      <c r="X807" t="str">
        <f t="shared" si="36"/>
        <v>June</v>
      </c>
      <c r="Y807" t="str">
        <f t="shared" si="37"/>
        <v>Q2</v>
      </c>
      <c r="Z807" s="7">
        <f t="shared" si="38"/>
        <v>69.98</v>
      </c>
    </row>
    <row r="808" spans="1:26" x14ac:dyDescent="0.3">
      <c r="A808" s="2" t="s">
        <v>4851</v>
      </c>
      <c r="B808" s="8" t="s">
        <v>3009</v>
      </c>
      <c r="C808" s="2" t="s">
        <v>4852</v>
      </c>
      <c r="D808" s="2" t="s">
        <v>4853</v>
      </c>
      <c r="E808" s="2" t="s">
        <v>4854</v>
      </c>
      <c r="F808" s="2" t="s">
        <v>4855</v>
      </c>
      <c r="G808" s="2" t="s">
        <v>251</v>
      </c>
      <c r="H808" s="2" t="s">
        <v>252</v>
      </c>
      <c r="I808" s="2" t="s">
        <v>31</v>
      </c>
      <c r="J808" s="2" t="s">
        <v>162</v>
      </c>
      <c r="K808" s="2" t="s">
        <v>62</v>
      </c>
      <c r="L808" s="2">
        <v>2</v>
      </c>
      <c r="M808" s="3">
        <v>69.98</v>
      </c>
      <c r="N808" s="2" t="s">
        <v>34</v>
      </c>
      <c r="O808" s="3">
        <v>0</v>
      </c>
      <c r="P808" s="3">
        <v>9.99</v>
      </c>
      <c r="Q808" s="3">
        <v>4.2</v>
      </c>
      <c r="R808" s="3">
        <v>84.17</v>
      </c>
      <c r="S808" s="2" t="s">
        <v>332</v>
      </c>
      <c r="T808" s="2" t="s">
        <v>99</v>
      </c>
      <c r="U808" s="2" t="s">
        <v>66</v>
      </c>
      <c r="V808" s="2" t="s">
        <v>986</v>
      </c>
      <c r="W808" s="3">
        <v>0</v>
      </c>
      <c r="X808" t="str">
        <f t="shared" si="36"/>
        <v>April</v>
      </c>
      <c r="Y808" t="str">
        <f t="shared" si="37"/>
        <v>Q2</v>
      </c>
      <c r="Z808" s="7">
        <f t="shared" si="38"/>
        <v>69.98</v>
      </c>
    </row>
    <row r="809" spans="1:26" x14ac:dyDescent="0.3">
      <c r="A809" s="4" t="s">
        <v>4856</v>
      </c>
      <c r="B809" s="9" t="s">
        <v>932</v>
      </c>
      <c r="C809" s="4" t="s">
        <v>4857</v>
      </c>
      <c r="D809" s="4" t="s">
        <v>4858</v>
      </c>
      <c r="E809" s="4" t="s">
        <v>4859</v>
      </c>
      <c r="F809" s="4" t="s">
        <v>4860</v>
      </c>
      <c r="G809" s="4" t="s">
        <v>119</v>
      </c>
      <c r="H809" s="4" t="s">
        <v>120</v>
      </c>
      <c r="I809" s="4" t="s">
        <v>31</v>
      </c>
      <c r="J809" s="4" t="s">
        <v>4861</v>
      </c>
      <c r="K809" s="4" t="s">
        <v>209</v>
      </c>
      <c r="L809" s="4">
        <v>2</v>
      </c>
      <c r="M809" s="5">
        <v>149.97</v>
      </c>
      <c r="N809" s="4" t="s">
        <v>78</v>
      </c>
      <c r="O809" s="5">
        <v>15</v>
      </c>
      <c r="P809" s="5">
        <v>0</v>
      </c>
      <c r="Q809" s="5">
        <v>13.5</v>
      </c>
      <c r="R809" s="5">
        <v>148.47</v>
      </c>
      <c r="S809" s="4" t="s">
        <v>35</v>
      </c>
      <c r="T809" s="4" t="s">
        <v>173</v>
      </c>
      <c r="U809" s="4" t="s">
        <v>66</v>
      </c>
      <c r="V809" s="4" t="s">
        <v>3746</v>
      </c>
      <c r="W809" s="5">
        <v>0</v>
      </c>
      <c r="X809" t="str">
        <f t="shared" si="36"/>
        <v>January</v>
      </c>
      <c r="Y809" t="str">
        <f t="shared" si="37"/>
        <v>Q1</v>
      </c>
      <c r="Z809" s="7">
        <f t="shared" si="38"/>
        <v>134.97</v>
      </c>
    </row>
    <row r="810" spans="1:26" x14ac:dyDescent="0.3">
      <c r="A810" s="2" t="s">
        <v>4862</v>
      </c>
      <c r="B810" s="8" t="s">
        <v>92</v>
      </c>
      <c r="C810" s="2" t="s">
        <v>4863</v>
      </c>
      <c r="D810" s="2" t="s">
        <v>2266</v>
      </c>
      <c r="E810" s="2" t="s">
        <v>4864</v>
      </c>
      <c r="F810" s="2" t="s">
        <v>4865</v>
      </c>
      <c r="G810" s="2" t="s">
        <v>242</v>
      </c>
      <c r="H810" s="2" t="s">
        <v>243</v>
      </c>
      <c r="I810" s="2" t="s">
        <v>31</v>
      </c>
      <c r="J810" s="2" t="s">
        <v>4866</v>
      </c>
      <c r="K810" s="2" t="s">
        <v>364</v>
      </c>
      <c r="L810" s="2">
        <v>3</v>
      </c>
      <c r="M810" s="3">
        <v>112.96</v>
      </c>
      <c r="N810" s="2" t="s">
        <v>34</v>
      </c>
      <c r="O810" s="3">
        <v>0</v>
      </c>
      <c r="P810" s="3">
        <v>0</v>
      </c>
      <c r="Q810" s="3">
        <v>9.0399999999999991</v>
      </c>
      <c r="R810" s="3">
        <v>122</v>
      </c>
      <c r="S810" s="2" t="s">
        <v>123</v>
      </c>
      <c r="T810" s="2" t="s">
        <v>36</v>
      </c>
      <c r="U810" s="2" t="s">
        <v>100</v>
      </c>
      <c r="V810" s="2"/>
      <c r="W810" s="3">
        <v>0</v>
      </c>
      <c r="X810" t="str">
        <f t="shared" si="36"/>
        <v>August</v>
      </c>
      <c r="Y810" t="str">
        <f t="shared" si="37"/>
        <v>Q3</v>
      </c>
      <c r="Z810" s="7">
        <f t="shared" si="38"/>
        <v>112.96</v>
      </c>
    </row>
    <row r="811" spans="1:26" x14ac:dyDescent="0.3">
      <c r="A811" s="4" t="s">
        <v>4867</v>
      </c>
      <c r="B811" s="9" t="s">
        <v>945</v>
      </c>
      <c r="C811" s="4" t="s">
        <v>4868</v>
      </c>
      <c r="D811" s="4" t="s">
        <v>4869</v>
      </c>
      <c r="E811" s="4" t="s">
        <v>4870</v>
      </c>
      <c r="F811" s="4" t="s">
        <v>4871</v>
      </c>
      <c r="G811" s="4" t="s">
        <v>29</v>
      </c>
      <c r="H811" s="4" t="s">
        <v>30</v>
      </c>
      <c r="I811" s="4" t="s">
        <v>31</v>
      </c>
      <c r="J811" s="4" t="s">
        <v>1141</v>
      </c>
      <c r="K811" s="4" t="s">
        <v>122</v>
      </c>
      <c r="L811" s="4">
        <v>1</v>
      </c>
      <c r="M811" s="5">
        <v>74.989999999999995</v>
      </c>
      <c r="N811" s="4" t="s">
        <v>78</v>
      </c>
      <c r="O811" s="5">
        <v>7.5</v>
      </c>
      <c r="P811" s="5">
        <v>9.99</v>
      </c>
      <c r="Q811" s="5">
        <v>5.4</v>
      </c>
      <c r="R811" s="5">
        <v>82.88</v>
      </c>
      <c r="S811" s="4" t="s">
        <v>332</v>
      </c>
      <c r="T811" s="4" t="s">
        <v>99</v>
      </c>
      <c r="U811" s="4" t="s">
        <v>100</v>
      </c>
      <c r="V811" s="4"/>
      <c r="W811" s="5">
        <v>0</v>
      </c>
      <c r="X811" t="str">
        <f t="shared" si="36"/>
        <v>September</v>
      </c>
      <c r="Y811" t="str">
        <f t="shared" si="37"/>
        <v>Q3</v>
      </c>
      <c r="Z811" s="7">
        <f t="shared" si="38"/>
        <v>67.489999999999995</v>
      </c>
    </row>
    <row r="812" spans="1:26" x14ac:dyDescent="0.3">
      <c r="A812" s="2" t="s">
        <v>4872</v>
      </c>
      <c r="B812" s="8" t="s">
        <v>1548</v>
      </c>
      <c r="C812" s="2" t="s">
        <v>4873</v>
      </c>
      <c r="D812" s="2" t="s">
        <v>4874</v>
      </c>
      <c r="E812" s="2" t="s">
        <v>4875</v>
      </c>
      <c r="F812" s="2" t="s">
        <v>4876</v>
      </c>
      <c r="G812" s="2" t="s">
        <v>180</v>
      </c>
      <c r="H812" s="2" t="s">
        <v>181</v>
      </c>
      <c r="I812" s="2" t="s">
        <v>31</v>
      </c>
      <c r="J812" s="2" t="s">
        <v>1269</v>
      </c>
      <c r="K812" s="2" t="s">
        <v>77</v>
      </c>
      <c r="L812" s="2">
        <v>1</v>
      </c>
      <c r="M812" s="3">
        <v>27.99</v>
      </c>
      <c r="N812" s="2" t="s">
        <v>163</v>
      </c>
      <c r="O812" s="3">
        <v>5.6</v>
      </c>
      <c r="P812" s="3">
        <v>5.99</v>
      </c>
      <c r="Q812" s="3">
        <v>1.34</v>
      </c>
      <c r="R812" s="3">
        <v>29.72</v>
      </c>
      <c r="S812" s="2" t="s">
        <v>35</v>
      </c>
      <c r="T812" s="2" t="s">
        <v>65</v>
      </c>
      <c r="U812" s="2" t="s">
        <v>66</v>
      </c>
      <c r="V812" s="2" t="s">
        <v>696</v>
      </c>
      <c r="W812" s="3">
        <v>0</v>
      </c>
      <c r="X812" t="str">
        <f t="shared" si="36"/>
        <v>February</v>
      </c>
      <c r="Y812" t="str">
        <f t="shared" si="37"/>
        <v>Q1</v>
      </c>
      <c r="Z812" s="7">
        <f t="shared" si="38"/>
        <v>22.39</v>
      </c>
    </row>
    <row r="813" spans="1:26" x14ac:dyDescent="0.3">
      <c r="A813" s="4" t="s">
        <v>4877</v>
      </c>
      <c r="B813" s="9" t="s">
        <v>1377</v>
      </c>
      <c r="C813" s="4" t="s">
        <v>4878</v>
      </c>
      <c r="D813" s="4" t="s">
        <v>2473</v>
      </c>
      <c r="E813" s="4" t="s">
        <v>4879</v>
      </c>
      <c r="F813" s="4" t="s">
        <v>4880</v>
      </c>
      <c r="G813" s="4" t="s">
        <v>224</v>
      </c>
      <c r="H813" s="4" t="s">
        <v>225</v>
      </c>
      <c r="I813" s="4" t="s">
        <v>31</v>
      </c>
      <c r="J813" s="4" t="s">
        <v>452</v>
      </c>
      <c r="K813" s="4" t="s">
        <v>209</v>
      </c>
      <c r="L813" s="4">
        <v>1</v>
      </c>
      <c r="M813" s="5">
        <v>119.97</v>
      </c>
      <c r="N813" s="4" t="s">
        <v>63</v>
      </c>
      <c r="O813" s="5">
        <v>29.99</v>
      </c>
      <c r="P813" s="5">
        <v>0</v>
      </c>
      <c r="Q813" s="5">
        <v>5.4</v>
      </c>
      <c r="R813" s="5">
        <v>95.38</v>
      </c>
      <c r="S813" s="4" t="s">
        <v>123</v>
      </c>
      <c r="T813" s="4" t="s">
        <v>36</v>
      </c>
      <c r="U813" s="4" t="s">
        <v>66</v>
      </c>
      <c r="V813" s="4" t="s">
        <v>1185</v>
      </c>
      <c r="W813" s="5">
        <v>0</v>
      </c>
      <c r="X813" t="str">
        <f t="shared" si="36"/>
        <v>November</v>
      </c>
      <c r="Y813" t="str">
        <f t="shared" si="37"/>
        <v>Q4</v>
      </c>
      <c r="Z813" s="7">
        <f t="shared" si="38"/>
        <v>89.98</v>
      </c>
    </row>
    <row r="814" spans="1:26" x14ac:dyDescent="0.3">
      <c r="A814" s="2" t="s">
        <v>4881</v>
      </c>
      <c r="B814" s="8" t="s">
        <v>270</v>
      </c>
      <c r="C814" s="2" t="s">
        <v>4882</v>
      </c>
      <c r="D814" s="2" t="s">
        <v>4883</v>
      </c>
      <c r="E814" s="2" t="s">
        <v>4884</v>
      </c>
      <c r="F814" s="2" t="s">
        <v>4885</v>
      </c>
      <c r="G814" s="2" t="s">
        <v>802</v>
      </c>
      <c r="H814" s="2" t="s">
        <v>88</v>
      </c>
      <c r="I814" s="2" t="s">
        <v>31</v>
      </c>
      <c r="J814" s="2" t="s">
        <v>4886</v>
      </c>
      <c r="K814" s="2" t="s">
        <v>143</v>
      </c>
      <c r="L814" s="2">
        <v>4</v>
      </c>
      <c r="M814" s="3">
        <v>284.95</v>
      </c>
      <c r="N814" s="2" t="s">
        <v>34</v>
      </c>
      <c r="O814" s="3">
        <v>0</v>
      </c>
      <c r="P814" s="3">
        <v>0</v>
      </c>
      <c r="Q814" s="3">
        <v>19.95</v>
      </c>
      <c r="R814" s="3">
        <v>304.89999999999998</v>
      </c>
      <c r="S814" s="2" t="s">
        <v>64</v>
      </c>
      <c r="T814" s="2" t="s">
        <v>173</v>
      </c>
      <c r="U814" s="2" t="s">
        <v>66</v>
      </c>
      <c r="V814" s="2" t="s">
        <v>135</v>
      </c>
      <c r="W814" s="3">
        <v>0</v>
      </c>
      <c r="X814" t="str">
        <f t="shared" si="36"/>
        <v>July</v>
      </c>
      <c r="Y814" t="str">
        <f t="shared" si="37"/>
        <v>Q3</v>
      </c>
      <c r="Z814" s="7">
        <f t="shared" si="38"/>
        <v>284.95</v>
      </c>
    </row>
    <row r="815" spans="1:26" x14ac:dyDescent="0.3">
      <c r="A815" s="4" t="s">
        <v>4887</v>
      </c>
      <c r="B815" s="9" t="s">
        <v>943</v>
      </c>
      <c r="C815" s="4" t="s">
        <v>4888</v>
      </c>
      <c r="D815" s="4" t="s">
        <v>4889</v>
      </c>
      <c r="E815" s="4" t="s">
        <v>4890</v>
      </c>
      <c r="F815" s="4" t="s">
        <v>4891</v>
      </c>
      <c r="G815" s="4" t="s">
        <v>207</v>
      </c>
      <c r="H815" s="4" t="s">
        <v>141</v>
      </c>
      <c r="I815" s="4" t="s">
        <v>31</v>
      </c>
      <c r="J815" s="4" t="s">
        <v>444</v>
      </c>
      <c r="K815" s="4" t="s">
        <v>48</v>
      </c>
      <c r="L815" s="4">
        <v>1</v>
      </c>
      <c r="M815" s="5">
        <v>64.989999999999995</v>
      </c>
      <c r="N815" s="4" t="s">
        <v>34</v>
      </c>
      <c r="O815" s="5">
        <v>0</v>
      </c>
      <c r="P815" s="5">
        <v>5.99</v>
      </c>
      <c r="Q815" s="5">
        <v>3.9</v>
      </c>
      <c r="R815" s="5">
        <v>74.88</v>
      </c>
      <c r="S815" s="4" t="s">
        <v>35</v>
      </c>
      <c r="T815" s="4" t="s">
        <v>99</v>
      </c>
      <c r="U815" s="4" t="s">
        <v>66</v>
      </c>
      <c r="V815" s="4" t="s">
        <v>3356</v>
      </c>
      <c r="W815" s="5">
        <v>0</v>
      </c>
      <c r="X815" t="str">
        <f t="shared" si="36"/>
        <v>October</v>
      </c>
      <c r="Y815" t="str">
        <f t="shared" si="37"/>
        <v>Q4</v>
      </c>
      <c r="Z815" s="7">
        <f t="shared" si="38"/>
        <v>64.989999999999995</v>
      </c>
    </row>
    <row r="816" spans="1:26" x14ac:dyDescent="0.3">
      <c r="A816" s="2" t="s">
        <v>4892</v>
      </c>
      <c r="B816" s="8" t="s">
        <v>3944</v>
      </c>
      <c r="C816" s="2" t="s">
        <v>4893</v>
      </c>
      <c r="D816" s="2" t="s">
        <v>4894</v>
      </c>
      <c r="E816" s="2" t="s">
        <v>4895</v>
      </c>
      <c r="F816" s="2" t="s">
        <v>4896</v>
      </c>
      <c r="G816" s="2" t="s">
        <v>45</v>
      </c>
      <c r="H816" s="2" t="s">
        <v>46</v>
      </c>
      <c r="I816" s="2" t="s">
        <v>31</v>
      </c>
      <c r="J816" s="2" t="s">
        <v>4897</v>
      </c>
      <c r="K816" s="2" t="s">
        <v>209</v>
      </c>
      <c r="L816" s="2">
        <v>2</v>
      </c>
      <c r="M816" s="3">
        <v>108.98</v>
      </c>
      <c r="N816" s="2" t="s">
        <v>78</v>
      </c>
      <c r="O816" s="3">
        <v>10.9</v>
      </c>
      <c r="P816" s="3">
        <v>0</v>
      </c>
      <c r="Q816" s="3">
        <v>6.87</v>
      </c>
      <c r="R816" s="3">
        <v>104.95</v>
      </c>
      <c r="S816" s="2" t="s">
        <v>35</v>
      </c>
      <c r="T816" s="2" t="s">
        <v>36</v>
      </c>
      <c r="U816" s="2" t="s">
        <v>100</v>
      </c>
      <c r="V816" s="2"/>
      <c r="W816" s="3">
        <v>0</v>
      </c>
      <c r="X816" t="str">
        <f t="shared" si="36"/>
        <v>May</v>
      </c>
      <c r="Y816" t="str">
        <f t="shared" si="37"/>
        <v>Q2</v>
      </c>
      <c r="Z816" s="7">
        <f t="shared" si="38"/>
        <v>98.08</v>
      </c>
    </row>
    <row r="817" spans="1:26" x14ac:dyDescent="0.3">
      <c r="A817" s="4" t="s">
        <v>4898</v>
      </c>
      <c r="B817" s="9" t="s">
        <v>1006</v>
      </c>
      <c r="C817" s="4" t="s">
        <v>4899</v>
      </c>
      <c r="D817" s="4" t="s">
        <v>3652</v>
      </c>
      <c r="E817" s="4" t="s">
        <v>4900</v>
      </c>
      <c r="F817" s="4" t="s">
        <v>4901</v>
      </c>
      <c r="G817" s="4" t="s">
        <v>323</v>
      </c>
      <c r="H817" s="4" t="s">
        <v>324</v>
      </c>
      <c r="I817" s="4" t="s">
        <v>31</v>
      </c>
      <c r="J817" s="4" t="s">
        <v>4902</v>
      </c>
      <c r="K817" s="4" t="s">
        <v>62</v>
      </c>
      <c r="L817" s="4">
        <v>2</v>
      </c>
      <c r="M817" s="5">
        <v>97.98</v>
      </c>
      <c r="N817" s="4" t="s">
        <v>34</v>
      </c>
      <c r="O817" s="5">
        <v>0</v>
      </c>
      <c r="P817" s="5">
        <v>0</v>
      </c>
      <c r="Q817" s="5">
        <v>8.33</v>
      </c>
      <c r="R817" s="5">
        <v>106.31</v>
      </c>
      <c r="S817" s="4" t="s">
        <v>64</v>
      </c>
      <c r="T817" s="4" t="s">
        <v>36</v>
      </c>
      <c r="U817" s="4" t="s">
        <v>51</v>
      </c>
      <c r="V817" s="4" t="s">
        <v>511</v>
      </c>
      <c r="W817" s="5">
        <v>0</v>
      </c>
      <c r="X817" t="str">
        <f t="shared" si="36"/>
        <v>April</v>
      </c>
      <c r="Y817" t="str">
        <f t="shared" si="37"/>
        <v>Q2</v>
      </c>
      <c r="Z817" s="7">
        <f t="shared" si="38"/>
        <v>97.98</v>
      </c>
    </row>
    <row r="818" spans="1:26" x14ac:dyDescent="0.3">
      <c r="A818" s="2" t="s">
        <v>4903</v>
      </c>
      <c r="B818" s="8" t="s">
        <v>1640</v>
      </c>
      <c r="C818" s="2" t="s">
        <v>4904</v>
      </c>
      <c r="D818" s="2" t="s">
        <v>4905</v>
      </c>
      <c r="E818" s="2" t="s">
        <v>4906</v>
      </c>
      <c r="F818" s="2" t="s">
        <v>4907</v>
      </c>
      <c r="G818" s="2" t="s">
        <v>323</v>
      </c>
      <c r="H818" s="2" t="s">
        <v>324</v>
      </c>
      <c r="I818" s="2" t="s">
        <v>31</v>
      </c>
      <c r="J818" s="2" t="s">
        <v>4908</v>
      </c>
      <c r="K818" s="2" t="s">
        <v>110</v>
      </c>
      <c r="L818" s="2">
        <v>3</v>
      </c>
      <c r="M818" s="3">
        <v>122.96</v>
      </c>
      <c r="N818" s="2" t="s">
        <v>163</v>
      </c>
      <c r="O818" s="3">
        <v>24.59</v>
      </c>
      <c r="P818" s="3">
        <v>0</v>
      </c>
      <c r="Q818" s="3">
        <v>5.9</v>
      </c>
      <c r="R818" s="3">
        <v>104.27</v>
      </c>
      <c r="S818" s="2" t="s">
        <v>35</v>
      </c>
      <c r="T818" s="2" t="s">
        <v>36</v>
      </c>
      <c r="U818" s="2" t="s">
        <v>100</v>
      </c>
      <c r="V818" s="2"/>
      <c r="W818" s="3">
        <v>0</v>
      </c>
      <c r="X818" t="str">
        <f t="shared" si="36"/>
        <v>October</v>
      </c>
      <c r="Y818" t="str">
        <f t="shared" si="37"/>
        <v>Q4</v>
      </c>
      <c r="Z818" s="7">
        <f t="shared" si="38"/>
        <v>98.36999999999999</v>
      </c>
    </row>
    <row r="819" spans="1:26" x14ac:dyDescent="0.3">
      <c r="A819" s="4" t="s">
        <v>4909</v>
      </c>
      <c r="B819" s="9" t="s">
        <v>2957</v>
      </c>
      <c r="C819" s="4" t="s">
        <v>4910</v>
      </c>
      <c r="D819" s="4" t="s">
        <v>3515</v>
      </c>
      <c r="E819" s="4" t="s">
        <v>4911</v>
      </c>
      <c r="F819" s="4" t="s">
        <v>4912</v>
      </c>
      <c r="G819" s="4" t="s">
        <v>282</v>
      </c>
      <c r="H819" s="4" t="s">
        <v>88</v>
      </c>
      <c r="I819" s="4" t="s">
        <v>31</v>
      </c>
      <c r="J819" s="4" t="s">
        <v>4913</v>
      </c>
      <c r="K819" s="4" t="s">
        <v>679</v>
      </c>
      <c r="L819" s="4">
        <v>4</v>
      </c>
      <c r="M819" s="5">
        <v>349.94</v>
      </c>
      <c r="N819" s="4" t="s">
        <v>34</v>
      </c>
      <c r="O819" s="5">
        <v>0</v>
      </c>
      <c r="P819" s="5">
        <v>0</v>
      </c>
      <c r="Q819" s="5">
        <v>28</v>
      </c>
      <c r="R819" s="5">
        <v>377.94</v>
      </c>
      <c r="S819" s="4" t="s">
        <v>64</v>
      </c>
      <c r="T819" s="4" t="s">
        <v>144</v>
      </c>
      <c r="U819" s="4" t="s">
        <v>100</v>
      </c>
      <c r="V819" s="4"/>
      <c r="W819" s="5">
        <v>0</v>
      </c>
      <c r="X819" t="str">
        <f t="shared" si="36"/>
        <v>January</v>
      </c>
      <c r="Y819" t="str">
        <f t="shared" si="37"/>
        <v>Q1</v>
      </c>
      <c r="Z819" s="7">
        <f t="shared" si="38"/>
        <v>349.94</v>
      </c>
    </row>
    <row r="820" spans="1:26" x14ac:dyDescent="0.3">
      <c r="A820" s="2" t="s">
        <v>4914</v>
      </c>
      <c r="B820" s="8" t="s">
        <v>3042</v>
      </c>
      <c r="C820" s="2" t="s">
        <v>4915</v>
      </c>
      <c r="D820" s="2" t="s">
        <v>4916</v>
      </c>
      <c r="E820" s="2" t="s">
        <v>4917</v>
      </c>
      <c r="F820" s="2" t="s">
        <v>4918</v>
      </c>
      <c r="G820" s="2" t="s">
        <v>190</v>
      </c>
      <c r="H820" s="2" t="s">
        <v>161</v>
      </c>
      <c r="I820" s="2" t="s">
        <v>31</v>
      </c>
      <c r="J820" s="2" t="s">
        <v>405</v>
      </c>
      <c r="K820" s="2" t="s">
        <v>48</v>
      </c>
      <c r="L820" s="2">
        <v>2</v>
      </c>
      <c r="M820" s="3">
        <v>94.98</v>
      </c>
      <c r="N820" s="2" t="s">
        <v>34</v>
      </c>
      <c r="O820" s="3">
        <v>0</v>
      </c>
      <c r="P820" s="3">
        <v>0</v>
      </c>
      <c r="Q820" s="3">
        <v>8.07</v>
      </c>
      <c r="R820" s="3">
        <v>103.05</v>
      </c>
      <c r="S820" s="2" t="s">
        <v>332</v>
      </c>
      <c r="T820" s="2" t="s">
        <v>183</v>
      </c>
      <c r="U820" s="2" t="s">
        <v>66</v>
      </c>
      <c r="V820" s="2" t="s">
        <v>2610</v>
      </c>
      <c r="W820" s="3">
        <v>0</v>
      </c>
      <c r="X820" t="str">
        <f t="shared" si="36"/>
        <v>February</v>
      </c>
      <c r="Y820" t="str">
        <f t="shared" si="37"/>
        <v>Q1</v>
      </c>
      <c r="Z820" s="7">
        <f t="shared" si="38"/>
        <v>94.98</v>
      </c>
    </row>
    <row r="821" spans="1:26" x14ac:dyDescent="0.3">
      <c r="A821" s="4" t="s">
        <v>4919</v>
      </c>
      <c r="B821" s="9" t="s">
        <v>3233</v>
      </c>
      <c r="C821" s="4" t="s">
        <v>4920</v>
      </c>
      <c r="D821" s="4" t="s">
        <v>658</v>
      </c>
      <c r="E821" s="4" t="s">
        <v>4921</v>
      </c>
      <c r="F821" s="4" t="s">
        <v>4922</v>
      </c>
      <c r="G821" s="4" t="s">
        <v>74</v>
      </c>
      <c r="H821" s="4" t="s">
        <v>75</v>
      </c>
      <c r="I821" s="4" t="s">
        <v>31</v>
      </c>
      <c r="J821" s="4" t="s">
        <v>2314</v>
      </c>
      <c r="K821" s="4" t="s">
        <v>33</v>
      </c>
      <c r="L821" s="4">
        <v>1</v>
      </c>
      <c r="M821" s="5">
        <v>56.97</v>
      </c>
      <c r="N821" s="4" t="s">
        <v>34</v>
      </c>
      <c r="O821" s="5">
        <v>0</v>
      </c>
      <c r="P821" s="5">
        <v>4.99</v>
      </c>
      <c r="Q821" s="5">
        <v>3.99</v>
      </c>
      <c r="R821" s="5">
        <v>65.95</v>
      </c>
      <c r="S821" s="4" t="s">
        <v>35</v>
      </c>
      <c r="T821" s="4" t="s">
        <v>144</v>
      </c>
      <c r="U821" s="4" t="s">
        <v>66</v>
      </c>
      <c r="V821" s="4" t="s">
        <v>1640</v>
      </c>
      <c r="W821" s="5">
        <v>0</v>
      </c>
      <c r="X821" t="str">
        <f t="shared" si="36"/>
        <v>October</v>
      </c>
      <c r="Y821" t="str">
        <f t="shared" si="37"/>
        <v>Q4</v>
      </c>
      <c r="Z821" s="7">
        <f t="shared" si="38"/>
        <v>56.97</v>
      </c>
    </row>
    <row r="822" spans="1:26" x14ac:dyDescent="0.3">
      <c r="A822" s="2" t="s">
        <v>4923</v>
      </c>
      <c r="B822" s="8" t="s">
        <v>1732</v>
      </c>
      <c r="C822" s="2" t="s">
        <v>4924</v>
      </c>
      <c r="D822" s="2" t="s">
        <v>4925</v>
      </c>
      <c r="E822" s="2" t="s">
        <v>4926</v>
      </c>
      <c r="F822" s="2" t="s">
        <v>4927</v>
      </c>
      <c r="G822" s="2" t="s">
        <v>291</v>
      </c>
      <c r="H822" s="2" t="s">
        <v>292</v>
      </c>
      <c r="I822" s="2" t="s">
        <v>31</v>
      </c>
      <c r="J822" s="2" t="s">
        <v>1997</v>
      </c>
      <c r="K822" s="2" t="s">
        <v>143</v>
      </c>
      <c r="L822" s="2">
        <v>1</v>
      </c>
      <c r="M822" s="3">
        <v>129.99</v>
      </c>
      <c r="N822" s="2" t="s">
        <v>49</v>
      </c>
      <c r="O822" s="3">
        <v>19.5</v>
      </c>
      <c r="P822" s="3">
        <v>0</v>
      </c>
      <c r="Q822" s="3">
        <v>9.94</v>
      </c>
      <c r="R822" s="3">
        <v>120.43</v>
      </c>
      <c r="S822" s="2" t="s">
        <v>64</v>
      </c>
      <c r="T822" s="2" t="s">
        <v>99</v>
      </c>
      <c r="U822" s="2" t="s">
        <v>66</v>
      </c>
      <c r="V822" s="2" t="s">
        <v>496</v>
      </c>
      <c r="W822" s="3">
        <v>0</v>
      </c>
      <c r="X822" t="str">
        <f t="shared" si="36"/>
        <v>July</v>
      </c>
      <c r="Y822" t="str">
        <f t="shared" si="37"/>
        <v>Q3</v>
      </c>
      <c r="Z822" s="7">
        <f t="shared" si="38"/>
        <v>110.49000000000001</v>
      </c>
    </row>
    <row r="823" spans="1:26" x14ac:dyDescent="0.3">
      <c r="A823" s="4" t="s">
        <v>4928</v>
      </c>
      <c r="B823" s="9" t="s">
        <v>2610</v>
      </c>
      <c r="C823" s="4" t="s">
        <v>4929</v>
      </c>
      <c r="D823" s="4" t="s">
        <v>947</v>
      </c>
      <c r="E823" s="4" t="s">
        <v>4930</v>
      </c>
      <c r="F823" s="4" t="s">
        <v>4931</v>
      </c>
      <c r="G823" s="4" t="s">
        <v>207</v>
      </c>
      <c r="H823" s="4" t="s">
        <v>141</v>
      </c>
      <c r="I823" s="4" t="s">
        <v>31</v>
      </c>
      <c r="J823" s="4" t="s">
        <v>495</v>
      </c>
      <c r="K823" s="4" t="s">
        <v>209</v>
      </c>
      <c r="L823" s="4">
        <v>1</v>
      </c>
      <c r="M823" s="5">
        <v>29.99</v>
      </c>
      <c r="N823" s="4" t="s">
        <v>34</v>
      </c>
      <c r="O823" s="5">
        <v>0</v>
      </c>
      <c r="P823" s="5">
        <v>9.99</v>
      </c>
      <c r="Q823" s="5">
        <v>3</v>
      </c>
      <c r="R823" s="5">
        <v>42.98</v>
      </c>
      <c r="S823" s="4" t="s">
        <v>98</v>
      </c>
      <c r="T823" s="4" t="s">
        <v>99</v>
      </c>
      <c r="U823" s="4" t="s">
        <v>66</v>
      </c>
      <c r="V823" s="4" t="s">
        <v>1848</v>
      </c>
      <c r="W823" s="5">
        <v>0</v>
      </c>
      <c r="X823" t="str">
        <f t="shared" si="36"/>
        <v>February</v>
      </c>
      <c r="Y823" t="str">
        <f t="shared" si="37"/>
        <v>Q1</v>
      </c>
      <c r="Z823" s="7">
        <f t="shared" si="38"/>
        <v>29.99</v>
      </c>
    </row>
    <row r="824" spans="1:26" x14ac:dyDescent="0.3">
      <c r="A824" s="2" t="s">
        <v>4932</v>
      </c>
      <c r="B824" s="8" t="s">
        <v>806</v>
      </c>
      <c r="C824" s="2" t="s">
        <v>4933</v>
      </c>
      <c r="D824" s="2" t="s">
        <v>4934</v>
      </c>
      <c r="E824" s="2" t="s">
        <v>4935</v>
      </c>
      <c r="F824" s="2" t="s">
        <v>4936</v>
      </c>
      <c r="G824" s="2" t="s">
        <v>802</v>
      </c>
      <c r="H824" s="2" t="s">
        <v>88</v>
      </c>
      <c r="I824" s="2" t="s">
        <v>31</v>
      </c>
      <c r="J824" s="2" t="s">
        <v>533</v>
      </c>
      <c r="K824" s="2" t="s">
        <v>209</v>
      </c>
      <c r="L824" s="2">
        <v>1</v>
      </c>
      <c r="M824" s="3">
        <v>239.98</v>
      </c>
      <c r="N824" s="2" t="s">
        <v>49</v>
      </c>
      <c r="O824" s="3">
        <v>36</v>
      </c>
      <c r="P824" s="3">
        <v>0</v>
      </c>
      <c r="Q824" s="3">
        <v>12.24</v>
      </c>
      <c r="R824" s="3">
        <v>216.22</v>
      </c>
      <c r="S824" s="2" t="s">
        <v>123</v>
      </c>
      <c r="T824" s="2" t="s">
        <v>173</v>
      </c>
      <c r="U824" s="2" t="s">
        <v>66</v>
      </c>
      <c r="V824" s="2" t="s">
        <v>1539</v>
      </c>
      <c r="W824" s="3">
        <v>0</v>
      </c>
      <c r="X824" t="str">
        <f t="shared" si="36"/>
        <v>March</v>
      </c>
      <c r="Y824" t="str">
        <f t="shared" si="37"/>
        <v>Q1</v>
      </c>
      <c r="Z824" s="7">
        <f t="shared" si="38"/>
        <v>203.98</v>
      </c>
    </row>
    <row r="825" spans="1:26" x14ac:dyDescent="0.3">
      <c r="A825" s="4" t="s">
        <v>4937</v>
      </c>
      <c r="B825" s="9" t="s">
        <v>4522</v>
      </c>
      <c r="C825" s="4" t="s">
        <v>4938</v>
      </c>
      <c r="D825" s="4" t="s">
        <v>1875</v>
      </c>
      <c r="E825" s="4" t="s">
        <v>4939</v>
      </c>
      <c r="F825" s="4" t="s">
        <v>4940</v>
      </c>
      <c r="G825" s="4" t="s">
        <v>251</v>
      </c>
      <c r="H825" s="4" t="s">
        <v>252</v>
      </c>
      <c r="I825" s="4" t="s">
        <v>31</v>
      </c>
      <c r="J825" s="4" t="s">
        <v>4941</v>
      </c>
      <c r="K825" s="4" t="s">
        <v>143</v>
      </c>
      <c r="L825" s="4">
        <v>1</v>
      </c>
      <c r="M825" s="5">
        <v>259.98</v>
      </c>
      <c r="N825" s="4" t="s">
        <v>34</v>
      </c>
      <c r="O825" s="5">
        <v>0</v>
      </c>
      <c r="P825" s="5">
        <v>0</v>
      </c>
      <c r="Q825" s="5">
        <v>26</v>
      </c>
      <c r="R825" s="5">
        <v>285.98</v>
      </c>
      <c r="S825" s="4" t="s">
        <v>123</v>
      </c>
      <c r="T825" s="4" t="s">
        <v>173</v>
      </c>
      <c r="U825" s="4" t="s">
        <v>66</v>
      </c>
      <c r="V825" s="4" t="s">
        <v>1430</v>
      </c>
      <c r="W825" s="5">
        <v>0</v>
      </c>
      <c r="X825" t="str">
        <f t="shared" si="36"/>
        <v>December</v>
      </c>
      <c r="Y825" t="str">
        <f t="shared" si="37"/>
        <v>Q4</v>
      </c>
      <c r="Z825" s="7">
        <f t="shared" si="38"/>
        <v>259.98</v>
      </c>
    </row>
    <row r="826" spans="1:26" x14ac:dyDescent="0.3">
      <c r="A826" s="2" t="s">
        <v>4942</v>
      </c>
      <c r="B826" s="8" t="s">
        <v>3356</v>
      </c>
      <c r="C826" s="2" t="s">
        <v>4943</v>
      </c>
      <c r="D826" s="2" t="s">
        <v>1038</v>
      </c>
      <c r="E826" s="2" t="s">
        <v>4944</v>
      </c>
      <c r="F826" s="2" t="s">
        <v>4945</v>
      </c>
      <c r="G826" s="2" t="s">
        <v>282</v>
      </c>
      <c r="H826" s="2" t="s">
        <v>88</v>
      </c>
      <c r="I826" s="2" t="s">
        <v>31</v>
      </c>
      <c r="J826" s="2" t="s">
        <v>4946</v>
      </c>
      <c r="K826" s="2" t="s">
        <v>143</v>
      </c>
      <c r="L826" s="2">
        <v>1</v>
      </c>
      <c r="M826" s="3">
        <v>239.97</v>
      </c>
      <c r="N826" s="2" t="s">
        <v>34</v>
      </c>
      <c r="O826" s="3">
        <v>0</v>
      </c>
      <c r="P826" s="3">
        <v>0</v>
      </c>
      <c r="Q826" s="3">
        <v>21.6</v>
      </c>
      <c r="R826" s="3">
        <v>261.57</v>
      </c>
      <c r="S826" s="2" t="s">
        <v>35</v>
      </c>
      <c r="T826" s="2" t="s">
        <v>36</v>
      </c>
      <c r="U826" s="2" t="s">
        <v>317</v>
      </c>
      <c r="V826" s="2"/>
      <c r="W826" s="3">
        <v>0</v>
      </c>
      <c r="X826" t="str">
        <f t="shared" si="36"/>
        <v>October</v>
      </c>
      <c r="Y826" t="str">
        <f t="shared" si="37"/>
        <v>Q4</v>
      </c>
      <c r="Z826" s="7">
        <f t="shared" si="38"/>
        <v>239.97</v>
      </c>
    </row>
    <row r="827" spans="1:26" x14ac:dyDescent="0.3">
      <c r="A827" s="4" t="s">
        <v>4947</v>
      </c>
      <c r="B827" s="9" t="s">
        <v>52</v>
      </c>
      <c r="C827" s="4" t="s">
        <v>4948</v>
      </c>
      <c r="D827" s="4" t="s">
        <v>4949</v>
      </c>
      <c r="E827" s="4" t="s">
        <v>4950</v>
      </c>
      <c r="F827" s="4" t="s">
        <v>4951</v>
      </c>
      <c r="G827" s="4" t="s">
        <v>1730</v>
      </c>
      <c r="H827" s="4" t="s">
        <v>161</v>
      </c>
      <c r="I827" s="4" t="s">
        <v>31</v>
      </c>
      <c r="J827" s="4" t="s">
        <v>1054</v>
      </c>
      <c r="K827" s="4" t="s">
        <v>364</v>
      </c>
      <c r="L827" s="4">
        <v>1</v>
      </c>
      <c r="M827" s="5">
        <v>44.99</v>
      </c>
      <c r="N827" s="4" t="s">
        <v>78</v>
      </c>
      <c r="O827" s="5">
        <v>4.5</v>
      </c>
      <c r="P827" s="5">
        <v>9.99</v>
      </c>
      <c r="Q827" s="5">
        <v>3.44</v>
      </c>
      <c r="R827" s="5">
        <v>53.92</v>
      </c>
      <c r="S827" s="4" t="s">
        <v>64</v>
      </c>
      <c r="T827" s="4" t="s">
        <v>65</v>
      </c>
      <c r="U827" s="4" t="s">
        <v>66</v>
      </c>
      <c r="V827" s="4" t="s">
        <v>1456</v>
      </c>
      <c r="W827" s="5">
        <v>0</v>
      </c>
      <c r="X827" t="str">
        <f t="shared" si="36"/>
        <v>December</v>
      </c>
      <c r="Y827" t="str">
        <f t="shared" si="37"/>
        <v>Q4</v>
      </c>
      <c r="Z827" s="7">
        <f t="shared" si="38"/>
        <v>40.49</v>
      </c>
    </row>
    <row r="828" spans="1:26" x14ac:dyDescent="0.3">
      <c r="A828" s="2" t="s">
        <v>4952</v>
      </c>
      <c r="B828" s="8" t="s">
        <v>112</v>
      </c>
      <c r="C828" s="2" t="s">
        <v>4953</v>
      </c>
      <c r="D828" s="2" t="s">
        <v>4954</v>
      </c>
      <c r="E828" s="2" t="s">
        <v>4955</v>
      </c>
      <c r="F828" s="2" t="s">
        <v>4956</v>
      </c>
      <c r="G828" s="2" t="s">
        <v>160</v>
      </c>
      <c r="H828" s="2" t="s">
        <v>161</v>
      </c>
      <c r="I828" s="2" t="s">
        <v>31</v>
      </c>
      <c r="J828" s="2" t="s">
        <v>379</v>
      </c>
      <c r="K828" s="2" t="s">
        <v>209</v>
      </c>
      <c r="L828" s="2">
        <v>1</v>
      </c>
      <c r="M828" s="3">
        <v>89.99</v>
      </c>
      <c r="N828" s="2" t="s">
        <v>63</v>
      </c>
      <c r="O828" s="3">
        <v>22.5</v>
      </c>
      <c r="P828" s="3">
        <v>0</v>
      </c>
      <c r="Q828" s="3">
        <v>4.05</v>
      </c>
      <c r="R828" s="3">
        <v>71.540000000000006</v>
      </c>
      <c r="S828" s="2" t="s">
        <v>64</v>
      </c>
      <c r="T828" s="2" t="s">
        <v>183</v>
      </c>
      <c r="U828" s="2" t="s">
        <v>66</v>
      </c>
      <c r="V828" s="2" t="s">
        <v>742</v>
      </c>
      <c r="W828" s="3">
        <v>0</v>
      </c>
      <c r="X828" t="str">
        <f t="shared" si="36"/>
        <v>January</v>
      </c>
      <c r="Y828" t="str">
        <f t="shared" si="37"/>
        <v>Q1</v>
      </c>
      <c r="Z828" s="7">
        <f t="shared" si="38"/>
        <v>67.489999999999995</v>
      </c>
    </row>
    <row r="829" spans="1:26" x14ac:dyDescent="0.3">
      <c r="A829" s="4" t="s">
        <v>4957</v>
      </c>
      <c r="B829" s="9" t="s">
        <v>2532</v>
      </c>
      <c r="C829" s="4" t="s">
        <v>4958</v>
      </c>
      <c r="D829" s="4" t="s">
        <v>4959</v>
      </c>
      <c r="E829" s="4" t="s">
        <v>4960</v>
      </c>
      <c r="F829" s="4" t="s">
        <v>4961</v>
      </c>
      <c r="G829" s="4" t="s">
        <v>190</v>
      </c>
      <c r="H829" s="4" t="s">
        <v>161</v>
      </c>
      <c r="I829" s="4" t="s">
        <v>31</v>
      </c>
      <c r="J829" s="4" t="s">
        <v>4962</v>
      </c>
      <c r="K829" s="4" t="s">
        <v>143</v>
      </c>
      <c r="L829" s="4">
        <v>4</v>
      </c>
      <c r="M829" s="5">
        <v>439.93</v>
      </c>
      <c r="N829" s="4" t="s">
        <v>152</v>
      </c>
      <c r="O829" s="5">
        <v>22</v>
      </c>
      <c r="P829" s="5">
        <v>0</v>
      </c>
      <c r="Q829" s="5">
        <v>37.61</v>
      </c>
      <c r="R829" s="5">
        <v>455.54</v>
      </c>
      <c r="S829" s="4" t="s">
        <v>64</v>
      </c>
      <c r="T829" s="4" t="s">
        <v>36</v>
      </c>
      <c r="U829" s="4" t="s">
        <v>100</v>
      </c>
      <c r="V829" s="4"/>
      <c r="W829" s="5">
        <v>0</v>
      </c>
      <c r="X829" t="str">
        <f t="shared" si="36"/>
        <v>November</v>
      </c>
      <c r="Y829" t="str">
        <f t="shared" si="37"/>
        <v>Q4</v>
      </c>
      <c r="Z829" s="7">
        <f t="shared" si="38"/>
        <v>417.93</v>
      </c>
    </row>
    <row r="830" spans="1:26" x14ac:dyDescent="0.3">
      <c r="A830" s="2" t="s">
        <v>4963</v>
      </c>
      <c r="B830" s="8" t="s">
        <v>1088</v>
      </c>
      <c r="C830" s="2" t="s">
        <v>4964</v>
      </c>
      <c r="D830" s="2" t="s">
        <v>2249</v>
      </c>
      <c r="E830" s="2" t="s">
        <v>4965</v>
      </c>
      <c r="F830" s="2" t="s">
        <v>4966</v>
      </c>
      <c r="G830" s="2" t="s">
        <v>640</v>
      </c>
      <c r="H830" s="2" t="s">
        <v>161</v>
      </c>
      <c r="I830" s="2" t="s">
        <v>31</v>
      </c>
      <c r="J830" s="2" t="s">
        <v>4967</v>
      </c>
      <c r="K830" s="2" t="s">
        <v>62</v>
      </c>
      <c r="L830" s="2">
        <v>4</v>
      </c>
      <c r="M830" s="3">
        <v>262.94</v>
      </c>
      <c r="N830" s="2" t="s">
        <v>34</v>
      </c>
      <c r="O830" s="3">
        <v>0</v>
      </c>
      <c r="P830" s="3">
        <v>0</v>
      </c>
      <c r="Q830" s="3">
        <v>21.04</v>
      </c>
      <c r="R830" s="3">
        <v>283.98</v>
      </c>
      <c r="S830" s="2" t="s">
        <v>437</v>
      </c>
      <c r="T830" s="2" t="s">
        <v>99</v>
      </c>
      <c r="U830" s="2" t="s">
        <v>51</v>
      </c>
      <c r="V830" s="2" t="s">
        <v>2915</v>
      </c>
      <c r="W830" s="3">
        <v>0</v>
      </c>
      <c r="X830" t="str">
        <f t="shared" si="36"/>
        <v>April</v>
      </c>
      <c r="Y830" t="str">
        <f t="shared" si="37"/>
        <v>Q2</v>
      </c>
      <c r="Z830" s="7">
        <f t="shared" si="38"/>
        <v>262.94</v>
      </c>
    </row>
    <row r="831" spans="1:26" x14ac:dyDescent="0.3">
      <c r="A831" s="4" t="s">
        <v>4968</v>
      </c>
      <c r="B831" s="9" t="s">
        <v>1246</v>
      </c>
      <c r="C831" s="4" t="s">
        <v>4969</v>
      </c>
      <c r="D831" s="4" t="s">
        <v>4970</v>
      </c>
      <c r="E831" s="4" t="s">
        <v>4971</v>
      </c>
      <c r="F831" s="4" t="s">
        <v>4972</v>
      </c>
      <c r="G831" s="4" t="s">
        <v>119</v>
      </c>
      <c r="H831" s="4" t="s">
        <v>120</v>
      </c>
      <c r="I831" s="4" t="s">
        <v>31</v>
      </c>
      <c r="J831" s="4" t="s">
        <v>4973</v>
      </c>
      <c r="K831" s="4" t="s">
        <v>48</v>
      </c>
      <c r="L831" s="4">
        <v>3</v>
      </c>
      <c r="M831" s="5">
        <v>96.97</v>
      </c>
      <c r="N831" s="4" t="s">
        <v>63</v>
      </c>
      <c r="O831" s="5">
        <v>24.24</v>
      </c>
      <c r="P831" s="5">
        <v>0</v>
      </c>
      <c r="Q831" s="5">
        <v>6.55</v>
      </c>
      <c r="R831" s="5">
        <v>79.28</v>
      </c>
      <c r="S831" s="4" t="s">
        <v>35</v>
      </c>
      <c r="T831" s="4" t="s">
        <v>183</v>
      </c>
      <c r="U831" s="4" t="s">
        <v>37</v>
      </c>
      <c r="V831" s="4" t="s">
        <v>4974</v>
      </c>
      <c r="W831" s="5">
        <v>79.28</v>
      </c>
      <c r="X831" t="str">
        <f t="shared" si="36"/>
        <v>December</v>
      </c>
      <c r="Y831" t="str">
        <f t="shared" si="37"/>
        <v>Q4</v>
      </c>
      <c r="Z831" s="7">
        <f t="shared" si="38"/>
        <v>72.73</v>
      </c>
    </row>
    <row r="832" spans="1:26" x14ac:dyDescent="0.3">
      <c r="A832" s="2" t="s">
        <v>4975</v>
      </c>
      <c r="B832" s="8" t="s">
        <v>4141</v>
      </c>
      <c r="C832" s="2" t="s">
        <v>4976</v>
      </c>
      <c r="D832" s="2" t="s">
        <v>3208</v>
      </c>
      <c r="E832" s="2" t="s">
        <v>4977</v>
      </c>
      <c r="F832" s="2" t="s">
        <v>4978</v>
      </c>
      <c r="G832" s="2" t="s">
        <v>59</v>
      </c>
      <c r="H832" s="2" t="s">
        <v>60</v>
      </c>
      <c r="I832" s="2" t="s">
        <v>31</v>
      </c>
      <c r="J832" s="2" t="s">
        <v>4979</v>
      </c>
      <c r="K832" s="2" t="s">
        <v>77</v>
      </c>
      <c r="L832" s="2">
        <v>3</v>
      </c>
      <c r="M832" s="3">
        <v>132.97</v>
      </c>
      <c r="N832" s="2" t="s">
        <v>63</v>
      </c>
      <c r="O832" s="3">
        <v>33.24</v>
      </c>
      <c r="P832" s="3">
        <v>0</v>
      </c>
      <c r="Q832" s="3">
        <v>7.98</v>
      </c>
      <c r="R832" s="3">
        <v>107.71</v>
      </c>
      <c r="S832" s="2" t="s">
        <v>35</v>
      </c>
      <c r="T832" s="2" t="s">
        <v>36</v>
      </c>
      <c r="U832" s="2" t="s">
        <v>66</v>
      </c>
      <c r="V832" s="2" t="s">
        <v>922</v>
      </c>
      <c r="W832" s="3">
        <v>0</v>
      </c>
      <c r="X832" t="str">
        <f t="shared" si="36"/>
        <v>September</v>
      </c>
      <c r="Y832" t="str">
        <f t="shared" si="37"/>
        <v>Q3</v>
      </c>
      <c r="Z832" s="7">
        <f t="shared" si="38"/>
        <v>99.72999999999999</v>
      </c>
    </row>
    <row r="833" spans="1:26" x14ac:dyDescent="0.3">
      <c r="A833" s="4" t="s">
        <v>4980</v>
      </c>
      <c r="B833" s="9" t="s">
        <v>135</v>
      </c>
      <c r="C833" s="4" t="s">
        <v>4981</v>
      </c>
      <c r="D833" s="4" t="s">
        <v>4982</v>
      </c>
      <c r="E833" s="4" t="s">
        <v>4983</v>
      </c>
      <c r="F833" s="4" t="s">
        <v>4984</v>
      </c>
      <c r="G833" s="4" t="s">
        <v>1183</v>
      </c>
      <c r="H833" s="4" t="s">
        <v>88</v>
      </c>
      <c r="I833" s="4" t="s">
        <v>31</v>
      </c>
      <c r="J833" s="4" t="s">
        <v>4985</v>
      </c>
      <c r="K833" s="4" t="s">
        <v>122</v>
      </c>
      <c r="L833" s="4">
        <v>2</v>
      </c>
      <c r="M833" s="5">
        <v>189.98</v>
      </c>
      <c r="N833" s="4" t="s">
        <v>34</v>
      </c>
      <c r="O833" s="5">
        <v>0</v>
      </c>
      <c r="P833" s="5">
        <v>0</v>
      </c>
      <c r="Q833" s="5">
        <v>16.149999999999999</v>
      </c>
      <c r="R833" s="5">
        <v>206.13</v>
      </c>
      <c r="S833" s="4" t="s">
        <v>64</v>
      </c>
      <c r="T833" s="4" t="s">
        <v>173</v>
      </c>
      <c r="U833" s="4" t="s">
        <v>66</v>
      </c>
      <c r="V833" s="4" t="s">
        <v>1846</v>
      </c>
      <c r="W833" s="5">
        <v>0</v>
      </c>
      <c r="X833" t="str">
        <f t="shared" si="36"/>
        <v>August</v>
      </c>
      <c r="Y833" t="str">
        <f t="shared" si="37"/>
        <v>Q3</v>
      </c>
      <c r="Z833" s="7">
        <f t="shared" si="38"/>
        <v>189.98</v>
      </c>
    </row>
    <row r="834" spans="1:26" x14ac:dyDescent="0.3">
      <c r="A834" s="2" t="s">
        <v>4986</v>
      </c>
      <c r="B834" s="8" t="s">
        <v>521</v>
      </c>
      <c r="C834" s="2" t="s">
        <v>4987</v>
      </c>
      <c r="D834" s="2" t="s">
        <v>4988</v>
      </c>
      <c r="E834" s="2" t="s">
        <v>4989</v>
      </c>
      <c r="F834" s="2" t="s">
        <v>4990</v>
      </c>
      <c r="G834" s="2" t="s">
        <v>403</v>
      </c>
      <c r="H834" s="2" t="s">
        <v>404</v>
      </c>
      <c r="I834" s="2" t="s">
        <v>31</v>
      </c>
      <c r="J834" s="2" t="s">
        <v>4991</v>
      </c>
      <c r="K834" s="2" t="s">
        <v>209</v>
      </c>
      <c r="L834" s="2">
        <v>5</v>
      </c>
      <c r="M834" s="3">
        <v>534.91999999999996</v>
      </c>
      <c r="N834" s="2" t="s">
        <v>34</v>
      </c>
      <c r="O834" s="3">
        <v>0</v>
      </c>
      <c r="P834" s="3">
        <v>0</v>
      </c>
      <c r="Q834" s="3">
        <v>32.1</v>
      </c>
      <c r="R834" s="3">
        <v>567.02</v>
      </c>
      <c r="S834" s="2" t="s">
        <v>111</v>
      </c>
      <c r="T834" s="2" t="s">
        <v>36</v>
      </c>
      <c r="U834" s="2" t="s">
        <v>66</v>
      </c>
      <c r="V834" s="2" t="s">
        <v>1282</v>
      </c>
      <c r="W834" s="3">
        <v>0</v>
      </c>
      <c r="X834" t="str">
        <f t="shared" si="36"/>
        <v>November</v>
      </c>
      <c r="Y834" t="str">
        <f t="shared" si="37"/>
        <v>Q4</v>
      </c>
      <c r="Z834" s="7">
        <f t="shared" si="38"/>
        <v>534.91999999999996</v>
      </c>
    </row>
    <row r="835" spans="1:26" x14ac:dyDescent="0.3">
      <c r="A835" s="4" t="s">
        <v>4992</v>
      </c>
      <c r="B835" s="9" t="s">
        <v>777</v>
      </c>
      <c r="C835" s="4" t="s">
        <v>4993</v>
      </c>
      <c r="D835" s="4" t="s">
        <v>4994</v>
      </c>
      <c r="E835" s="4" t="s">
        <v>4995</v>
      </c>
      <c r="F835" s="4" t="s">
        <v>4996</v>
      </c>
      <c r="G835" s="4" t="s">
        <v>160</v>
      </c>
      <c r="H835" s="4" t="s">
        <v>161</v>
      </c>
      <c r="I835" s="4" t="s">
        <v>31</v>
      </c>
      <c r="J835" s="4" t="s">
        <v>4997</v>
      </c>
      <c r="K835" s="4" t="s">
        <v>122</v>
      </c>
      <c r="L835" s="4">
        <v>2</v>
      </c>
      <c r="M835" s="5">
        <v>159.97</v>
      </c>
      <c r="N835" s="4" t="s">
        <v>34</v>
      </c>
      <c r="O835" s="5">
        <v>0</v>
      </c>
      <c r="P835" s="5">
        <v>0</v>
      </c>
      <c r="Q835" s="5">
        <v>9.6</v>
      </c>
      <c r="R835" s="5">
        <v>169.57</v>
      </c>
      <c r="S835" s="4" t="s">
        <v>64</v>
      </c>
      <c r="T835" s="4" t="s">
        <v>99</v>
      </c>
      <c r="U835" s="4" t="s">
        <v>66</v>
      </c>
      <c r="V835" s="4" t="s">
        <v>349</v>
      </c>
      <c r="W835" s="5">
        <v>0</v>
      </c>
      <c r="X835" t="str">
        <f t="shared" ref="X835:X898" si="39">TEXT(B835,"MMMM")</f>
        <v>August</v>
      </c>
      <c r="Y835" t="str">
        <f t="shared" ref="Y835:Y898" si="40">IF(MONTH(B835)&lt;=3,"Q1",IF(MONTH(B835)&lt;=6,"Q2",IF(MONTH(B835)&lt;=9,"Q3","Q4")))</f>
        <v>Q3</v>
      </c>
      <c r="Z835" s="7">
        <f t="shared" ref="Z835:Z898" si="41">M835-O835</f>
        <v>159.97</v>
      </c>
    </row>
    <row r="836" spans="1:26" x14ac:dyDescent="0.3">
      <c r="A836" s="2" t="s">
        <v>4998</v>
      </c>
      <c r="B836" s="8" t="s">
        <v>1088</v>
      </c>
      <c r="C836" s="2" t="s">
        <v>4999</v>
      </c>
      <c r="D836" s="2" t="s">
        <v>833</v>
      </c>
      <c r="E836" s="2" t="s">
        <v>5000</v>
      </c>
      <c r="F836" s="2" t="s">
        <v>5001</v>
      </c>
      <c r="G836" s="2" t="s">
        <v>403</v>
      </c>
      <c r="H836" s="2" t="s">
        <v>404</v>
      </c>
      <c r="I836" s="2" t="s">
        <v>31</v>
      </c>
      <c r="J836" s="2" t="s">
        <v>5002</v>
      </c>
      <c r="K836" s="2" t="s">
        <v>209</v>
      </c>
      <c r="L836" s="2">
        <v>3</v>
      </c>
      <c r="M836" s="3">
        <v>154.97</v>
      </c>
      <c r="N836" s="2" t="s">
        <v>34</v>
      </c>
      <c r="O836" s="3">
        <v>0</v>
      </c>
      <c r="P836" s="3">
        <v>0</v>
      </c>
      <c r="Q836" s="3">
        <v>10.85</v>
      </c>
      <c r="R836" s="3">
        <v>165.82</v>
      </c>
      <c r="S836" s="2" t="s">
        <v>35</v>
      </c>
      <c r="T836" s="2" t="s">
        <v>99</v>
      </c>
      <c r="U836" s="2" t="s">
        <v>66</v>
      </c>
      <c r="V836" s="2" t="s">
        <v>5003</v>
      </c>
      <c r="W836" s="3">
        <v>0</v>
      </c>
      <c r="X836" t="str">
        <f t="shared" si="39"/>
        <v>April</v>
      </c>
      <c r="Y836" t="str">
        <f t="shared" si="40"/>
        <v>Q2</v>
      </c>
      <c r="Z836" s="7">
        <f t="shared" si="41"/>
        <v>154.97</v>
      </c>
    </row>
    <row r="837" spans="1:26" x14ac:dyDescent="0.3">
      <c r="A837" s="4" t="s">
        <v>5004</v>
      </c>
      <c r="B837" s="9" t="s">
        <v>261</v>
      </c>
      <c r="C837" s="4" t="s">
        <v>5005</v>
      </c>
      <c r="D837" s="4" t="s">
        <v>5006</v>
      </c>
      <c r="E837" s="4" t="s">
        <v>5007</v>
      </c>
      <c r="F837" s="4" t="s">
        <v>5008</v>
      </c>
      <c r="G837" s="4" t="s">
        <v>160</v>
      </c>
      <c r="H837" s="4" t="s">
        <v>161</v>
      </c>
      <c r="I837" s="4" t="s">
        <v>31</v>
      </c>
      <c r="J837" s="4" t="s">
        <v>1695</v>
      </c>
      <c r="K837" s="4" t="s">
        <v>33</v>
      </c>
      <c r="L837" s="4">
        <v>1</v>
      </c>
      <c r="M837" s="5">
        <v>71.98</v>
      </c>
      <c r="N837" s="4" t="s">
        <v>152</v>
      </c>
      <c r="O837" s="5">
        <v>3.6</v>
      </c>
      <c r="P837" s="5">
        <v>9.99</v>
      </c>
      <c r="Q837" s="5">
        <v>4.0999999999999996</v>
      </c>
      <c r="R837" s="5">
        <v>82.47</v>
      </c>
      <c r="S837" s="4" t="s">
        <v>123</v>
      </c>
      <c r="T837" s="4" t="s">
        <v>99</v>
      </c>
      <c r="U837" s="4" t="s">
        <v>100</v>
      </c>
      <c r="V837" s="4"/>
      <c r="W837" s="5">
        <v>0</v>
      </c>
      <c r="X837" t="str">
        <f t="shared" si="39"/>
        <v>June</v>
      </c>
      <c r="Y837" t="str">
        <f t="shared" si="40"/>
        <v>Q2</v>
      </c>
      <c r="Z837" s="7">
        <f t="shared" si="41"/>
        <v>68.38000000000001</v>
      </c>
    </row>
    <row r="838" spans="1:26" x14ac:dyDescent="0.3">
      <c r="A838" s="2" t="s">
        <v>5009</v>
      </c>
      <c r="B838" s="8" t="s">
        <v>455</v>
      </c>
      <c r="C838" s="2" t="s">
        <v>5010</v>
      </c>
      <c r="D838" s="2" t="s">
        <v>3935</v>
      </c>
      <c r="E838" s="2" t="s">
        <v>5011</v>
      </c>
      <c r="F838" s="2" t="s">
        <v>5012</v>
      </c>
      <c r="G838" s="2" t="s">
        <v>251</v>
      </c>
      <c r="H838" s="2" t="s">
        <v>252</v>
      </c>
      <c r="I838" s="2" t="s">
        <v>31</v>
      </c>
      <c r="J838" s="2" t="s">
        <v>5013</v>
      </c>
      <c r="K838" s="2" t="s">
        <v>77</v>
      </c>
      <c r="L838" s="2">
        <v>2</v>
      </c>
      <c r="M838" s="3">
        <v>175.97</v>
      </c>
      <c r="N838" s="2" t="s">
        <v>49</v>
      </c>
      <c r="O838" s="3">
        <v>26.4</v>
      </c>
      <c r="P838" s="3">
        <v>0</v>
      </c>
      <c r="Q838" s="3">
        <v>10.47</v>
      </c>
      <c r="R838" s="3">
        <v>160.04</v>
      </c>
      <c r="S838" s="2" t="s">
        <v>332</v>
      </c>
      <c r="T838" s="2" t="s">
        <v>99</v>
      </c>
      <c r="U838" s="2" t="s">
        <v>51</v>
      </c>
      <c r="V838" s="2" t="s">
        <v>2435</v>
      </c>
      <c r="W838" s="3">
        <v>0</v>
      </c>
      <c r="X838" t="str">
        <f t="shared" si="39"/>
        <v>June</v>
      </c>
      <c r="Y838" t="str">
        <f t="shared" si="40"/>
        <v>Q2</v>
      </c>
      <c r="Z838" s="7">
        <f t="shared" si="41"/>
        <v>149.57</v>
      </c>
    </row>
    <row r="839" spans="1:26" x14ac:dyDescent="0.3">
      <c r="A839" s="4" t="s">
        <v>5014</v>
      </c>
      <c r="B839" s="9" t="s">
        <v>1529</v>
      </c>
      <c r="C839" s="4" t="s">
        <v>5015</v>
      </c>
      <c r="D839" s="4" t="s">
        <v>391</v>
      </c>
      <c r="E839" s="4" t="s">
        <v>5016</v>
      </c>
      <c r="F839" s="4" t="s">
        <v>5017</v>
      </c>
      <c r="G839" s="4" t="s">
        <v>171</v>
      </c>
      <c r="H839" s="4" t="s">
        <v>88</v>
      </c>
      <c r="I839" s="4" t="s">
        <v>31</v>
      </c>
      <c r="J839" s="4" t="s">
        <v>5018</v>
      </c>
      <c r="K839" s="4" t="s">
        <v>122</v>
      </c>
      <c r="L839" s="4">
        <v>4</v>
      </c>
      <c r="M839" s="5">
        <v>174.95</v>
      </c>
      <c r="N839" s="4" t="s">
        <v>49</v>
      </c>
      <c r="O839" s="5">
        <v>26.24</v>
      </c>
      <c r="P839" s="5">
        <v>0</v>
      </c>
      <c r="Q839" s="5">
        <v>8.92</v>
      </c>
      <c r="R839" s="5">
        <v>157.63</v>
      </c>
      <c r="S839" s="4" t="s">
        <v>123</v>
      </c>
      <c r="T839" s="4" t="s">
        <v>144</v>
      </c>
      <c r="U839" s="4" t="s">
        <v>317</v>
      </c>
      <c r="V839" s="4"/>
      <c r="W839" s="5">
        <v>0</v>
      </c>
      <c r="X839" t="str">
        <f t="shared" si="39"/>
        <v>September</v>
      </c>
      <c r="Y839" t="str">
        <f t="shared" si="40"/>
        <v>Q3</v>
      </c>
      <c r="Z839" s="7">
        <f t="shared" si="41"/>
        <v>148.70999999999998</v>
      </c>
    </row>
    <row r="840" spans="1:26" x14ac:dyDescent="0.3">
      <c r="A840" s="2" t="s">
        <v>5019</v>
      </c>
      <c r="B840" s="8" t="s">
        <v>701</v>
      </c>
      <c r="C840" s="2" t="s">
        <v>5020</v>
      </c>
      <c r="D840" s="2" t="s">
        <v>5021</v>
      </c>
      <c r="E840" s="2" t="s">
        <v>5022</v>
      </c>
      <c r="F840" s="2" t="s">
        <v>5023</v>
      </c>
      <c r="G840" s="2" t="s">
        <v>87</v>
      </c>
      <c r="H840" s="2" t="s">
        <v>88</v>
      </c>
      <c r="I840" s="2" t="s">
        <v>31</v>
      </c>
      <c r="J840" s="2" t="s">
        <v>267</v>
      </c>
      <c r="K840" s="2" t="s">
        <v>62</v>
      </c>
      <c r="L840" s="2">
        <v>1</v>
      </c>
      <c r="M840" s="3">
        <v>54.99</v>
      </c>
      <c r="N840" s="2" t="s">
        <v>63</v>
      </c>
      <c r="O840" s="3">
        <v>13.75</v>
      </c>
      <c r="P840" s="3">
        <v>5.99</v>
      </c>
      <c r="Q840" s="3">
        <v>2.4700000000000002</v>
      </c>
      <c r="R840" s="3">
        <v>49.7</v>
      </c>
      <c r="S840" s="2" t="s">
        <v>437</v>
      </c>
      <c r="T840" s="2" t="s">
        <v>99</v>
      </c>
      <c r="U840" s="2" t="s">
        <v>66</v>
      </c>
      <c r="V840" s="2" t="s">
        <v>1867</v>
      </c>
      <c r="W840" s="3">
        <v>0</v>
      </c>
      <c r="X840" t="str">
        <f t="shared" si="39"/>
        <v>March</v>
      </c>
      <c r="Y840" t="str">
        <f t="shared" si="40"/>
        <v>Q1</v>
      </c>
      <c r="Z840" s="7">
        <f t="shared" si="41"/>
        <v>41.24</v>
      </c>
    </row>
    <row r="841" spans="1:26" x14ac:dyDescent="0.3">
      <c r="A841" s="4" t="s">
        <v>5024</v>
      </c>
      <c r="B841" s="9" t="s">
        <v>133</v>
      </c>
      <c r="C841" s="4" t="s">
        <v>5025</v>
      </c>
      <c r="D841" s="4" t="s">
        <v>3826</v>
      </c>
      <c r="E841" s="4" t="s">
        <v>5026</v>
      </c>
      <c r="F841" s="4" t="s">
        <v>5027</v>
      </c>
      <c r="G841" s="4" t="s">
        <v>1730</v>
      </c>
      <c r="H841" s="4" t="s">
        <v>161</v>
      </c>
      <c r="I841" s="4" t="s">
        <v>31</v>
      </c>
      <c r="J841" s="4" t="s">
        <v>1340</v>
      </c>
      <c r="K841" s="4" t="s">
        <v>209</v>
      </c>
      <c r="L841" s="4">
        <v>1</v>
      </c>
      <c r="M841" s="5">
        <v>119.99</v>
      </c>
      <c r="N841" s="4" t="s">
        <v>49</v>
      </c>
      <c r="O841" s="5">
        <v>18</v>
      </c>
      <c r="P841" s="5">
        <v>0</v>
      </c>
      <c r="Q841" s="5">
        <v>8.16</v>
      </c>
      <c r="R841" s="5">
        <v>110.15</v>
      </c>
      <c r="S841" s="4" t="s">
        <v>111</v>
      </c>
      <c r="T841" s="4" t="s">
        <v>99</v>
      </c>
      <c r="U841" s="4" t="s">
        <v>317</v>
      </c>
      <c r="V841" s="4"/>
      <c r="W841" s="5">
        <v>0</v>
      </c>
      <c r="X841" t="str">
        <f t="shared" si="39"/>
        <v>December</v>
      </c>
      <c r="Y841" t="str">
        <f t="shared" si="40"/>
        <v>Q4</v>
      </c>
      <c r="Z841" s="7">
        <f t="shared" si="41"/>
        <v>101.99</v>
      </c>
    </row>
    <row r="842" spans="1:26" x14ac:dyDescent="0.3">
      <c r="A842" s="2" t="s">
        <v>5028</v>
      </c>
      <c r="B842" s="8" t="s">
        <v>1781</v>
      </c>
      <c r="C842" s="2" t="s">
        <v>5029</v>
      </c>
      <c r="D842" s="2" t="s">
        <v>1229</v>
      </c>
      <c r="E842" s="2" t="s">
        <v>5030</v>
      </c>
      <c r="F842" s="2" t="s">
        <v>5031</v>
      </c>
      <c r="G842" s="2" t="s">
        <v>74</v>
      </c>
      <c r="H842" s="2" t="s">
        <v>75</v>
      </c>
      <c r="I842" s="2" t="s">
        <v>31</v>
      </c>
      <c r="J842" s="2" t="s">
        <v>5032</v>
      </c>
      <c r="K842" s="2" t="s">
        <v>62</v>
      </c>
      <c r="L842" s="2">
        <v>3</v>
      </c>
      <c r="M842" s="3">
        <v>165.97</v>
      </c>
      <c r="N842" s="2" t="s">
        <v>34</v>
      </c>
      <c r="O842" s="3">
        <v>0</v>
      </c>
      <c r="P842" s="3">
        <v>0</v>
      </c>
      <c r="Q842" s="3">
        <v>11.62</v>
      </c>
      <c r="R842" s="3">
        <v>177.59</v>
      </c>
      <c r="S842" s="2" t="s">
        <v>35</v>
      </c>
      <c r="T842" s="2" t="s">
        <v>50</v>
      </c>
      <c r="U842" s="2" t="s">
        <v>66</v>
      </c>
      <c r="V842" s="2" t="s">
        <v>1787</v>
      </c>
      <c r="W842" s="3">
        <v>0</v>
      </c>
      <c r="X842" t="str">
        <f t="shared" si="39"/>
        <v>October</v>
      </c>
      <c r="Y842" t="str">
        <f t="shared" si="40"/>
        <v>Q4</v>
      </c>
      <c r="Z842" s="7">
        <f t="shared" si="41"/>
        <v>165.97</v>
      </c>
    </row>
    <row r="843" spans="1:26" x14ac:dyDescent="0.3">
      <c r="A843" s="4" t="s">
        <v>5033</v>
      </c>
      <c r="B843" s="9" t="s">
        <v>1321</v>
      </c>
      <c r="C843" s="4" t="s">
        <v>5034</v>
      </c>
      <c r="D843" s="4" t="s">
        <v>5035</v>
      </c>
      <c r="E843" s="4" t="s">
        <v>5036</v>
      </c>
      <c r="F843" s="4" t="s">
        <v>5037</v>
      </c>
      <c r="G843" s="4" t="s">
        <v>802</v>
      </c>
      <c r="H843" s="4" t="s">
        <v>88</v>
      </c>
      <c r="I843" s="4" t="s">
        <v>31</v>
      </c>
      <c r="J843" s="4" t="s">
        <v>61</v>
      </c>
      <c r="K843" s="4" t="s">
        <v>62</v>
      </c>
      <c r="L843" s="4">
        <v>1</v>
      </c>
      <c r="M843" s="5">
        <v>24.99</v>
      </c>
      <c r="N843" s="4" t="s">
        <v>34</v>
      </c>
      <c r="O843" s="5">
        <v>0</v>
      </c>
      <c r="P843" s="5">
        <v>7.99</v>
      </c>
      <c r="Q843" s="5">
        <v>1.75</v>
      </c>
      <c r="R843" s="5">
        <v>34.729999999999997</v>
      </c>
      <c r="S843" s="4" t="s">
        <v>332</v>
      </c>
      <c r="T843" s="4" t="s">
        <v>173</v>
      </c>
      <c r="U843" s="4" t="s">
        <v>66</v>
      </c>
      <c r="V843" s="4" t="s">
        <v>1521</v>
      </c>
      <c r="W843" s="5">
        <v>0</v>
      </c>
      <c r="X843" t="str">
        <f t="shared" si="39"/>
        <v>March</v>
      </c>
      <c r="Y843" t="str">
        <f t="shared" si="40"/>
        <v>Q1</v>
      </c>
      <c r="Z843" s="7">
        <f t="shared" si="41"/>
        <v>24.99</v>
      </c>
    </row>
    <row r="844" spans="1:26" x14ac:dyDescent="0.3">
      <c r="A844" s="2" t="s">
        <v>5038</v>
      </c>
      <c r="B844" s="8" t="s">
        <v>155</v>
      </c>
      <c r="C844" s="2" t="s">
        <v>5039</v>
      </c>
      <c r="D844" s="2" t="s">
        <v>5040</v>
      </c>
      <c r="E844" s="2" t="s">
        <v>5041</v>
      </c>
      <c r="F844" s="2" t="s">
        <v>5042</v>
      </c>
      <c r="G844" s="2" t="s">
        <v>1730</v>
      </c>
      <c r="H844" s="2" t="s">
        <v>161</v>
      </c>
      <c r="I844" s="2" t="s">
        <v>31</v>
      </c>
      <c r="J844" s="2" t="s">
        <v>2128</v>
      </c>
      <c r="K844" s="2" t="s">
        <v>110</v>
      </c>
      <c r="L844" s="2">
        <v>1</v>
      </c>
      <c r="M844" s="3">
        <v>45.98</v>
      </c>
      <c r="N844" s="2" t="s">
        <v>152</v>
      </c>
      <c r="O844" s="3">
        <v>2.2999999999999998</v>
      </c>
      <c r="P844" s="3">
        <v>7.99</v>
      </c>
      <c r="Q844" s="3">
        <v>3.71</v>
      </c>
      <c r="R844" s="3">
        <v>55.38</v>
      </c>
      <c r="S844" s="2" t="s">
        <v>35</v>
      </c>
      <c r="T844" s="2" t="s">
        <v>99</v>
      </c>
      <c r="U844" s="2" t="s">
        <v>66</v>
      </c>
      <c r="V844" s="2" t="s">
        <v>1548</v>
      </c>
      <c r="W844" s="3">
        <v>0</v>
      </c>
      <c r="X844" t="str">
        <f t="shared" si="39"/>
        <v>February</v>
      </c>
      <c r="Y844" t="str">
        <f t="shared" si="40"/>
        <v>Q1</v>
      </c>
      <c r="Z844" s="7">
        <f t="shared" si="41"/>
        <v>43.68</v>
      </c>
    </row>
    <row r="845" spans="1:26" x14ac:dyDescent="0.3">
      <c r="A845" s="4" t="s">
        <v>5043</v>
      </c>
      <c r="B845" s="9" t="s">
        <v>5044</v>
      </c>
      <c r="C845" s="4" t="s">
        <v>5045</v>
      </c>
      <c r="D845" s="4" t="s">
        <v>5046</v>
      </c>
      <c r="E845" s="4" t="s">
        <v>5047</v>
      </c>
      <c r="F845" s="4" t="s">
        <v>5048</v>
      </c>
      <c r="G845" s="4" t="s">
        <v>140</v>
      </c>
      <c r="H845" s="4" t="s">
        <v>141</v>
      </c>
      <c r="I845" s="4" t="s">
        <v>31</v>
      </c>
      <c r="J845" s="4" t="s">
        <v>5049</v>
      </c>
      <c r="K845" s="4" t="s">
        <v>33</v>
      </c>
      <c r="L845" s="4">
        <v>3</v>
      </c>
      <c r="M845" s="5">
        <v>209.95</v>
      </c>
      <c r="N845" s="4" t="s">
        <v>163</v>
      </c>
      <c r="O845" s="5">
        <v>41.99</v>
      </c>
      <c r="P845" s="5">
        <v>0</v>
      </c>
      <c r="Q845" s="5">
        <v>16.8</v>
      </c>
      <c r="R845" s="5">
        <v>184.76</v>
      </c>
      <c r="S845" s="4" t="s">
        <v>79</v>
      </c>
      <c r="T845" s="4" t="s">
        <v>99</v>
      </c>
      <c r="U845" s="4" t="s">
        <v>317</v>
      </c>
      <c r="V845" s="4"/>
      <c r="W845" s="5">
        <v>0</v>
      </c>
      <c r="X845" t="str">
        <f t="shared" si="39"/>
        <v>July</v>
      </c>
      <c r="Y845" t="str">
        <f t="shared" si="40"/>
        <v>Q3</v>
      </c>
      <c r="Z845" s="7">
        <f t="shared" si="41"/>
        <v>167.95999999999998</v>
      </c>
    </row>
    <row r="846" spans="1:26" x14ac:dyDescent="0.3">
      <c r="A846" s="2" t="s">
        <v>5050</v>
      </c>
      <c r="B846" s="8" t="s">
        <v>1116</v>
      </c>
      <c r="C846" s="2" t="s">
        <v>5051</v>
      </c>
      <c r="D846" s="2" t="s">
        <v>4954</v>
      </c>
      <c r="E846" s="2" t="s">
        <v>5052</v>
      </c>
      <c r="F846" s="2" t="s">
        <v>5053</v>
      </c>
      <c r="G846" s="2" t="s">
        <v>640</v>
      </c>
      <c r="H846" s="2" t="s">
        <v>161</v>
      </c>
      <c r="I846" s="2" t="s">
        <v>31</v>
      </c>
      <c r="J846" s="2" t="s">
        <v>109</v>
      </c>
      <c r="K846" s="2" t="s">
        <v>110</v>
      </c>
      <c r="L846" s="2">
        <v>1</v>
      </c>
      <c r="M846" s="3">
        <v>68.97</v>
      </c>
      <c r="N846" s="2" t="s">
        <v>78</v>
      </c>
      <c r="O846" s="3">
        <v>6.9</v>
      </c>
      <c r="P846" s="3">
        <v>4.99</v>
      </c>
      <c r="Q846" s="3">
        <v>5.59</v>
      </c>
      <c r="R846" s="3">
        <v>72.650000000000006</v>
      </c>
      <c r="S846" s="2" t="s">
        <v>79</v>
      </c>
      <c r="T846" s="2" t="s">
        <v>99</v>
      </c>
      <c r="U846" s="2" t="s">
        <v>66</v>
      </c>
      <c r="V846" s="2" t="s">
        <v>1176</v>
      </c>
      <c r="W846" s="3">
        <v>0</v>
      </c>
      <c r="X846" t="str">
        <f t="shared" si="39"/>
        <v>January</v>
      </c>
      <c r="Y846" t="str">
        <f t="shared" si="40"/>
        <v>Q1</v>
      </c>
      <c r="Z846" s="7">
        <f t="shared" si="41"/>
        <v>62.07</v>
      </c>
    </row>
    <row r="847" spans="1:26" x14ac:dyDescent="0.3">
      <c r="A847" s="4" t="s">
        <v>5054</v>
      </c>
      <c r="B847" s="9" t="s">
        <v>2435</v>
      </c>
      <c r="C847" s="4" t="s">
        <v>5055</v>
      </c>
      <c r="D847" s="4" t="s">
        <v>1511</v>
      </c>
      <c r="E847" s="4" t="s">
        <v>5056</v>
      </c>
      <c r="F847" s="4" t="s">
        <v>5057</v>
      </c>
      <c r="G847" s="4" t="s">
        <v>1183</v>
      </c>
      <c r="H847" s="4" t="s">
        <v>88</v>
      </c>
      <c r="I847" s="4" t="s">
        <v>31</v>
      </c>
      <c r="J847" s="4" t="s">
        <v>5058</v>
      </c>
      <c r="K847" s="4" t="s">
        <v>48</v>
      </c>
      <c r="L847" s="4">
        <v>3</v>
      </c>
      <c r="M847" s="5">
        <v>148.96</v>
      </c>
      <c r="N847" s="4" t="s">
        <v>34</v>
      </c>
      <c r="O847" s="5">
        <v>0</v>
      </c>
      <c r="P847" s="5">
        <v>0</v>
      </c>
      <c r="Q847" s="5">
        <v>8.94</v>
      </c>
      <c r="R847" s="5">
        <v>157.9</v>
      </c>
      <c r="S847" s="4" t="s">
        <v>79</v>
      </c>
      <c r="T847" s="4" t="s">
        <v>65</v>
      </c>
      <c r="U847" s="4" t="s">
        <v>66</v>
      </c>
      <c r="V847" s="4" t="s">
        <v>1671</v>
      </c>
      <c r="W847" s="5">
        <v>0</v>
      </c>
      <c r="X847" t="str">
        <f t="shared" si="39"/>
        <v>June</v>
      </c>
      <c r="Y847" t="str">
        <f t="shared" si="40"/>
        <v>Q2</v>
      </c>
      <c r="Z847" s="7">
        <f t="shared" si="41"/>
        <v>148.96</v>
      </c>
    </row>
    <row r="848" spans="1:26" x14ac:dyDescent="0.3">
      <c r="A848" s="2" t="s">
        <v>5059</v>
      </c>
      <c r="B848" s="8" t="s">
        <v>1122</v>
      </c>
      <c r="C848" s="2" t="s">
        <v>5060</v>
      </c>
      <c r="D848" s="2" t="s">
        <v>5061</v>
      </c>
      <c r="E848" s="2" t="s">
        <v>5062</v>
      </c>
      <c r="F848" s="2" t="s">
        <v>5063</v>
      </c>
      <c r="G848" s="2" t="s">
        <v>45</v>
      </c>
      <c r="H848" s="2" t="s">
        <v>46</v>
      </c>
      <c r="I848" s="2" t="s">
        <v>31</v>
      </c>
      <c r="J848" s="2" t="s">
        <v>533</v>
      </c>
      <c r="K848" s="2" t="s">
        <v>209</v>
      </c>
      <c r="L848" s="2">
        <v>1</v>
      </c>
      <c r="M848" s="3">
        <v>239.98</v>
      </c>
      <c r="N848" s="2" t="s">
        <v>34</v>
      </c>
      <c r="O848" s="3">
        <v>0</v>
      </c>
      <c r="P848" s="3">
        <v>0</v>
      </c>
      <c r="Q848" s="3">
        <v>19.2</v>
      </c>
      <c r="R848" s="3">
        <v>259.18</v>
      </c>
      <c r="S848" s="2" t="s">
        <v>123</v>
      </c>
      <c r="T848" s="2" t="s">
        <v>99</v>
      </c>
      <c r="U848" s="2" t="s">
        <v>317</v>
      </c>
      <c r="V848" s="2"/>
      <c r="W848" s="3">
        <v>0</v>
      </c>
      <c r="X848" t="str">
        <f t="shared" si="39"/>
        <v>January</v>
      </c>
      <c r="Y848" t="str">
        <f t="shared" si="40"/>
        <v>Q1</v>
      </c>
      <c r="Z848" s="7">
        <f t="shared" si="41"/>
        <v>239.98</v>
      </c>
    </row>
    <row r="849" spans="1:26" x14ac:dyDescent="0.3">
      <c r="A849" s="4" t="s">
        <v>5064</v>
      </c>
      <c r="B849" s="9" t="s">
        <v>2963</v>
      </c>
      <c r="C849" s="4" t="s">
        <v>5065</v>
      </c>
      <c r="D849" s="4" t="s">
        <v>196</v>
      </c>
      <c r="E849" s="4" t="s">
        <v>5066</v>
      </c>
      <c r="F849" s="4" t="s">
        <v>5067</v>
      </c>
      <c r="G849" s="4" t="s">
        <v>190</v>
      </c>
      <c r="H849" s="4" t="s">
        <v>161</v>
      </c>
      <c r="I849" s="4" t="s">
        <v>31</v>
      </c>
      <c r="J849" s="4" t="s">
        <v>5068</v>
      </c>
      <c r="K849" s="4" t="s">
        <v>62</v>
      </c>
      <c r="L849" s="4">
        <v>4</v>
      </c>
      <c r="M849" s="5">
        <v>242.96</v>
      </c>
      <c r="N849" s="4" t="s">
        <v>34</v>
      </c>
      <c r="O849" s="5">
        <v>0</v>
      </c>
      <c r="P849" s="5">
        <v>0</v>
      </c>
      <c r="Q849" s="5">
        <v>17.010000000000002</v>
      </c>
      <c r="R849" s="5">
        <v>259.97000000000003</v>
      </c>
      <c r="S849" s="4" t="s">
        <v>332</v>
      </c>
      <c r="T849" s="4" t="s">
        <v>36</v>
      </c>
      <c r="U849" s="4" t="s">
        <v>66</v>
      </c>
      <c r="V849" s="4" t="s">
        <v>1334</v>
      </c>
      <c r="W849" s="5">
        <v>0</v>
      </c>
      <c r="X849" t="str">
        <f t="shared" si="39"/>
        <v>January</v>
      </c>
      <c r="Y849" t="str">
        <f t="shared" si="40"/>
        <v>Q1</v>
      </c>
      <c r="Z849" s="7">
        <f t="shared" si="41"/>
        <v>242.96</v>
      </c>
    </row>
    <row r="850" spans="1:26" x14ac:dyDescent="0.3">
      <c r="A850" s="2" t="s">
        <v>5069</v>
      </c>
      <c r="B850" s="8" t="s">
        <v>2303</v>
      </c>
      <c r="C850" s="2" t="s">
        <v>5070</v>
      </c>
      <c r="D850" s="2" t="s">
        <v>5071</v>
      </c>
      <c r="E850" s="2" t="s">
        <v>5072</v>
      </c>
      <c r="F850" s="2" t="s">
        <v>5073</v>
      </c>
      <c r="G850" s="2" t="s">
        <v>45</v>
      </c>
      <c r="H850" s="2" t="s">
        <v>46</v>
      </c>
      <c r="I850" s="2" t="s">
        <v>31</v>
      </c>
      <c r="J850" s="2" t="s">
        <v>5074</v>
      </c>
      <c r="K850" s="2" t="s">
        <v>110</v>
      </c>
      <c r="L850" s="2">
        <v>2</v>
      </c>
      <c r="M850" s="3">
        <v>47.98</v>
      </c>
      <c r="N850" s="2" t="s">
        <v>63</v>
      </c>
      <c r="O850" s="3">
        <v>11.99</v>
      </c>
      <c r="P850" s="3">
        <v>4.99</v>
      </c>
      <c r="Q850" s="3">
        <v>3.06</v>
      </c>
      <c r="R850" s="3">
        <v>44.04</v>
      </c>
      <c r="S850" s="2" t="s">
        <v>332</v>
      </c>
      <c r="T850" s="2" t="s">
        <v>173</v>
      </c>
      <c r="U850" s="2" t="s">
        <v>37</v>
      </c>
      <c r="V850" s="2" t="s">
        <v>1036</v>
      </c>
      <c r="W850" s="3">
        <v>44.04</v>
      </c>
      <c r="X850" t="str">
        <f t="shared" si="39"/>
        <v>August</v>
      </c>
      <c r="Y850" t="str">
        <f t="shared" si="40"/>
        <v>Q3</v>
      </c>
      <c r="Z850" s="7">
        <f t="shared" si="41"/>
        <v>35.989999999999995</v>
      </c>
    </row>
    <row r="851" spans="1:26" x14ac:dyDescent="0.3">
      <c r="A851" s="4" t="s">
        <v>5075</v>
      </c>
      <c r="B851" s="9" t="s">
        <v>1567</v>
      </c>
      <c r="C851" s="4" t="s">
        <v>5076</v>
      </c>
      <c r="D851" s="4" t="s">
        <v>3482</v>
      </c>
      <c r="E851" s="4" t="s">
        <v>5077</v>
      </c>
      <c r="F851" s="4" t="s">
        <v>5078</v>
      </c>
      <c r="G851" s="4" t="s">
        <v>180</v>
      </c>
      <c r="H851" s="4" t="s">
        <v>181</v>
      </c>
      <c r="I851" s="4" t="s">
        <v>31</v>
      </c>
      <c r="J851" s="4" t="s">
        <v>5079</v>
      </c>
      <c r="K851" s="4" t="s">
        <v>33</v>
      </c>
      <c r="L851" s="4">
        <v>2</v>
      </c>
      <c r="M851" s="5">
        <v>68.98</v>
      </c>
      <c r="N851" s="4" t="s">
        <v>34</v>
      </c>
      <c r="O851" s="5">
        <v>0</v>
      </c>
      <c r="P851" s="5">
        <v>4.99</v>
      </c>
      <c r="Q851" s="5">
        <v>6.21</v>
      </c>
      <c r="R851" s="5">
        <v>80.180000000000007</v>
      </c>
      <c r="S851" s="4" t="s">
        <v>123</v>
      </c>
      <c r="T851" s="4" t="s">
        <v>99</v>
      </c>
      <c r="U851" s="4" t="s">
        <v>66</v>
      </c>
      <c r="V851" s="4" t="s">
        <v>1761</v>
      </c>
      <c r="W851" s="5">
        <v>0</v>
      </c>
      <c r="X851" t="str">
        <f t="shared" si="39"/>
        <v>September</v>
      </c>
      <c r="Y851" t="str">
        <f t="shared" si="40"/>
        <v>Q3</v>
      </c>
      <c r="Z851" s="7">
        <f t="shared" si="41"/>
        <v>68.98</v>
      </c>
    </row>
    <row r="852" spans="1:26" x14ac:dyDescent="0.3">
      <c r="A852" s="2" t="s">
        <v>5080</v>
      </c>
      <c r="B852" s="8" t="s">
        <v>617</v>
      </c>
      <c r="C852" s="2" t="s">
        <v>5081</v>
      </c>
      <c r="D852" s="2" t="s">
        <v>5082</v>
      </c>
      <c r="E852" s="2" t="s">
        <v>5083</v>
      </c>
      <c r="F852" s="2" t="s">
        <v>5084</v>
      </c>
      <c r="G852" s="2" t="s">
        <v>676</v>
      </c>
      <c r="H852" s="2" t="s">
        <v>677</v>
      </c>
      <c r="I852" s="2" t="s">
        <v>31</v>
      </c>
      <c r="J852" s="2" t="s">
        <v>5085</v>
      </c>
      <c r="K852" s="2" t="s">
        <v>364</v>
      </c>
      <c r="L852" s="2">
        <v>4</v>
      </c>
      <c r="M852" s="3">
        <v>344.92</v>
      </c>
      <c r="N852" s="2" t="s">
        <v>34</v>
      </c>
      <c r="O852" s="3">
        <v>0</v>
      </c>
      <c r="P852" s="3">
        <v>0</v>
      </c>
      <c r="Q852" s="3">
        <v>27.59</v>
      </c>
      <c r="R852" s="3">
        <v>372.51</v>
      </c>
      <c r="S852" s="2" t="s">
        <v>64</v>
      </c>
      <c r="T852" s="2" t="s">
        <v>183</v>
      </c>
      <c r="U852" s="2" t="s">
        <v>66</v>
      </c>
      <c r="V852" s="2" t="s">
        <v>1185</v>
      </c>
      <c r="W852" s="3">
        <v>0</v>
      </c>
      <c r="X852" t="str">
        <f t="shared" si="39"/>
        <v>November</v>
      </c>
      <c r="Y852" t="str">
        <f t="shared" si="40"/>
        <v>Q4</v>
      </c>
      <c r="Z852" s="7">
        <f t="shared" si="41"/>
        <v>344.92</v>
      </c>
    </row>
    <row r="853" spans="1:26" x14ac:dyDescent="0.3">
      <c r="A853" s="4" t="s">
        <v>5086</v>
      </c>
      <c r="B853" s="9" t="s">
        <v>124</v>
      </c>
      <c r="C853" s="4" t="s">
        <v>5087</v>
      </c>
      <c r="D853" s="4" t="s">
        <v>1832</v>
      </c>
      <c r="E853" s="4" t="s">
        <v>5088</v>
      </c>
      <c r="F853" s="4" t="s">
        <v>5089</v>
      </c>
      <c r="G853" s="4" t="s">
        <v>282</v>
      </c>
      <c r="H853" s="4" t="s">
        <v>88</v>
      </c>
      <c r="I853" s="4" t="s">
        <v>31</v>
      </c>
      <c r="J853" s="4" t="s">
        <v>5090</v>
      </c>
      <c r="K853" s="4" t="s">
        <v>62</v>
      </c>
      <c r="L853" s="4">
        <v>5</v>
      </c>
      <c r="M853" s="5">
        <v>629.92999999999995</v>
      </c>
      <c r="N853" s="4" t="s">
        <v>34</v>
      </c>
      <c r="O853" s="5">
        <v>0</v>
      </c>
      <c r="P853" s="5">
        <v>0</v>
      </c>
      <c r="Q853" s="5">
        <v>62.99</v>
      </c>
      <c r="R853" s="5">
        <v>692.92</v>
      </c>
      <c r="S853" s="4" t="s">
        <v>64</v>
      </c>
      <c r="T853" s="4" t="s">
        <v>144</v>
      </c>
      <c r="U853" s="4" t="s">
        <v>37</v>
      </c>
      <c r="V853" s="4" t="s">
        <v>2278</v>
      </c>
      <c r="W853" s="5">
        <v>692.92</v>
      </c>
      <c r="X853" t="str">
        <f t="shared" si="39"/>
        <v>October</v>
      </c>
      <c r="Y853" t="str">
        <f t="shared" si="40"/>
        <v>Q4</v>
      </c>
      <c r="Z853" s="7">
        <f t="shared" si="41"/>
        <v>629.92999999999995</v>
      </c>
    </row>
    <row r="854" spans="1:26" x14ac:dyDescent="0.3">
      <c r="A854" s="2" t="s">
        <v>5091</v>
      </c>
      <c r="B854" s="8" t="s">
        <v>194</v>
      </c>
      <c r="C854" s="2" t="s">
        <v>5092</v>
      </c>
      <c r="D854" s="2" t="s">
        <v>5093</v>
      </c>
      <c r="E854" s="2" t="s">
        <v>5094</v>
      </c>
      <c r="F854" s="2" t="s">
        <v>5095</v>
      </c>
      <c r="G854" s="2" t="s">
        <v>119</v>
      </c>
      <c r="H854" s="2" t="s">
        <v>120</v>
      </c>
      <c r="I854" s="2" t="s">
        <v>31</v>
      </c>
      <c r="J854" s="2" t="s">
        <v>5096</v>
      </c>
      <c r="K854" s="2" t="s">
        <v>143</v>
      </c>
      <c r="L854" s="2">
        <v>2</v>
      </c>
      <c r="M854" s="3">
        <v>425.96</v>
      </c>
      <c r="N854" s="2" t="s">
        <v>152</v>
      </c>
      <c r="O854" s="3">
        <v>21.3</v>
      </c>
      <c r="P854" s="3">
        <v>0</v>
      </c>
      <c r="Q854" s="3">
        <v>32.369999999999997</v>
      </c>
      <c r="R854" s="3">
        <v>437.03</v>
      </c>
      <c r="S854" s="2" t="s">
        <v>332</v>
      </c>
      <c r="T854" s="2" t="s">
        <v>99</v>
      </c>
      <c r="U854" s="2" t="s">
        <v>66</v>
      </c>
      <c r="V854" s="2" t="s">
        <v>5097</v>
      </c>
      <c r="W854" s="3">
        <v>0</v>
      </c>
      <c r="X854" t="str">
        <f t="shared" si="39"/>
        <v>December</v>
      </c>
      <c r="Y854" t="str">
        <f t="shared" si="40"/>
        <v>Q4</v>
      </c>
      <c r="Z854" s="7">
        <f t="shared" si="41"/>
        <v>404.65999999999997</v>
      </c>
    </row>
    <row r="855" spans="1:26" x14ac:dyDescent="0.3">
      <c r="A855" s="4" t="s">
        <v>5098</v>
      </c>
      <c r="B855" s="9" t="s">
        <v>587</v>
      </c>
      <c r="C855" s="4" t="s">
        <v>5099</v>
      </c>
      <c r="D855" s="4" t="s">
        <v>5100</v>
      </c>
      <c r="E855" s="4" t="s">
        <v>5101</v>
      </c>
      <c r="F855" s="4" t="s">
        <v>5102</v>
      </c>
      <c r="G855" s="4" t="s">
        <v>291</v>
      </c>
      <c r="H855" s="4" t="s">
        <v>292</v>
      </c>
      <c r="I855" s="4" t="s">
        <v>31</v>
      </c>
      <c r="J855" s="4" t="s">
        <v>387</v>
      </c>
      <c r="K855" s="4" t="s">
        <v>33</v>
      </c>
      <c r="L855" s="4">
        <v>1</v>
      </c>
      <c r="M855" s="5">
        <v>35.99</v>
      </c>
      <c r="N855" s="4" t="s">
        <v>152</v>
      </c>
      <c r="O855" s="5">
        <v>1.8</v>
      </c>
      <c r="P855" s="5">
        <v>7.99</v>
      </c>
      <c r="Q855" s="5">
        <v>2.74</v>
      </c>
      <c r="R855" s="5">
        <v>44.92</v>
      </c>
      <c r="S855" s="4" t="s">
        <v>35</v>
      </c>
      <c r="T855" s="4" t="s">
        <v>99</v>
      </c>
      <c r="U855" s="4" t="s">
        <v>100</v>
      </c>
      <c r="V855" s="4"/>
      <c r="W855" s="5">
        <v>0</v>
      </c>
      <c r="X855" t="str">
        <f t="shared" si="39"/>
        <v>July</v>
      </c>
      <c r="Y855" t="str">
        <f t="shared" si="40"/>
        <v>Q3</v>
      </c>
      <c r="Z855" s="7">
        <f t="shared" si="41"/>
        <v>34.190000000000005</v>
      </c>
    </row>
    <row r="856" spans="1:26" x14ac:dyDescent="0.3">
      <c r="A856" s="2" t="s">
        <v>5103</v>
      </c>
      <c r="B856" s="8" t="s">
        <v>5104</v>
      </c>
      <c r="C856" s="2" t="s">
        <v>5105</v>
      </c>
      <c r="D856" s="2" t="s">
        <v>5106</v>
      </c>
      <c r="E856" s="2" t="s">
        <v>5107</v>
      </c>
      <c r="F856" s="2" t="s">
        <v>5108</v>
      </c>
      <c r="G856" s="2" t="s">
        <v>171</v>
      </c>
      <c r="H856" s="2" t="s">
        <v>88</v>
      </c>
      <c r="I856" s="2" t="s">
        <v>31</v>
      </c>
      <c r="J856" s="2" t="s">
        <v>5109</v>
      </c>
      <c r="K856" s="2" t="s">
        <v>77</v>
      </c>
      <c r="L856" s="2">
        <v>5</v>
      </c>
      <c r="M856" s="3">
        <v>323.91000000000003</v>
      </c>
      <c r="N856" s="2" t="s">
        <v>49</v>
      </c>
      <c r="O856" s="3">
        <v>48.59</v>
      </c>
      <c r="P856" s="3">
        <v>0</v>
      </c>
      <c r="Q856" s="3">
        <v>19.27</v>
      </c>
      <c r="R856" s="3">
        <v>294.58999999999997</v>
      </c>
      <c r="S856" s="2" t="s">
        <v>35</v>
      </c>
      <c r="T856" s="2" t="s">
        <v>36</v>
      </c>
      <c r="U856" s="2" t="s">
        <v>66</v>
      </c>
      <c r="V856" s="2" t="s">
        <v>579</v>
      </c>
      <c r="W856" s="3">
        <v>0</v>
      </c>
      <c r="X856" t="str">
        <f t="shared" si="39"/>
        <v>July</v>
      </c>
      <c r="Y856" t="str">
        <f t="shared" si="40"/>
        <v>Q3</v>
      </c>
      <c r="Z856" s="7">
        <f t="shared" si="41"/>
        <v>275.32000000000005</v>
      </c>
    </row>
    <row r="857" spans="1:26" x14ac:dyDescent="0.3">
      <c r="A857" s="4" t="s">
        <v>5110</v>
      </c>
      <c r="B857" s="9" t="s">
        <v>627</v>
      </c>
      <c r="C857" s="4" t="s">
        <v>5111</v>
      </c>
      <c r="D857" s="4" t="s">
        <v>3504</v>
      </c>
      <c r="E857" s="4" t="s">
        <v>5112</v>
      </c>
      <c r="F857" s="4" t="s">
        <v>5113</v>
      </c>
      <c r="G857" s="4" t="s">
        <v>74</v>
      </c>
      <c r="H857" s="4" t="s">
        <v>75</v>
      </c>
      <c r="I857" s="4" t="s">
        <v>31</v>
      </c>
      <c r="J857" s="4" t="s">
        <v>5114</v>
      </c>
      <c r="K857" s="4" t="s">
        <v>209</v>
      </c>
      <c r="L857" s="4">
        <v>3</v>
      </c>
      <c r="M857" s="5">
        <v>494.94</v>
      </c>
      <c r="N857" s="4" t="s">
        <v>34</v>
      </c>
      <c r="O857" s="5">
        <v>0</v>
      </c>
      <c r="P857" s="5">
        <v>0</v>
      </c>
      <c r="Q857" s="5">
        <v>29.7</v>
      </c>
      <c r="R857" s="5">
        <v>524.64</v>
      </c>
      <c r="S857" s="4" t="s">
        <v>35</v>
      </c>
      <c r="T857" s="4" t="s">
        <v>99</v>
      </c>
      <c r="U857" s="4" t="s">
        <v>66</v>
      </c>
      <c r="V857" s="4" t="s">
        <v>633</v>
      </c>
      <c r="W857" s="5">
        <v>0</v>
      </c>
      <c r="X857" t="str">
        <f t="shared" si="39"/>
        <v>February</v>
      </c>
      <c r="Y857" t="str">
        <f t="shared" si="40"/>
        <v>Q1</v>
      </c>
      <c r="Z857" s="7">
        <f t="shared" si="41"/>
        <v>494.94</v>
      </c>
    </row>
    <row r="858" spans="1:26" x14ac:dyDescent="0.3">
      <c r="A858" s="2" t="s">
        <v>5115</v>
      </c>
      <c r="B858" s="8" t="s">
        <v>2963</v>
      </c>
      <c r="C858" s="2" t="s">
        <v>5116</v>
      </c>
      <c r="D858" s="2" t="s">
        <v>5117</v>
      </c>
      <c r="E858" s="2" t="s">
        <v>5118</v>
      </c>
      <c r="F858" s="2" t="s">
        <v>5119</v>
      </c>
      <c r="G858" s="2" t="s">
        <v>1730</v>
      </c>
      <c r="H858" s="2" t="s">
        <v>161</v>
      </c>
      <c r="I858" s="2" t="s">
        <v>31</v>
      </c>
      <c r="J858" s="2" t="s">
        <v>5120</v>
      </c>
      <c r="K858" s="2" t="s">
        <v>209</v>
      </c>
      <c r="L858" s="2">
        <v>5</v>
      </c>
      <c r="M858" s="3">
        <v>480.9</v>
      </c>
      <c r="N858" s="2" t="s">
        <v>78</v>
      </c>
      <c r="O858" s="3">
        <v>48.09</v>
      </c>
      <c r="P858" s="3">
        <v>0</v>
      </c>
      <c r="Q858" s="3">
        <v>38.950000000000003</v>
      </c>
      <c r="R858" s="3">
        <v>471.76</v>
      </c>
      <c r="S858" s="2" t="s">
        <v>35</v>
      </c>
      <c r="T858" s="2" t="s">
        <v>183</v>
      </c>
      <c r="U858" s="2" t="s">
        <v>66</v>
      </c>
      <c r="V858" s="2" t="s">
        <v>572</v>
      </c>
      <c r="W858" s="3">
        <v>0</v>
      </c>
      <c r="X858" t="str">
        <f t="shared" si="39"/>
        <v>January</v>
      </c>
      <c r="Y858" t="str">
        <f t="shared" si="40"/>
        <v>Q1</v>
      </c>
      <c r="Z858" s="7">
        <f t="shared" si="41"/>
        <v>432.80999999999995</v>
      </c>
    </row>
    <row r="859" spans="1:26" x14ac:dyDescent="0.3">
      <c r="A859" s="4" t="s">
        <v>5121</v>
      </c>
      <c r="B859" s="9" t="s">
        <v>1948</v>
      </c>
      <c r="C859" s="4" t="s">
        <v>5122</v>
      </c>
      <c r="D859" s="4" t="s">
        <v>5123</v>
      </c>
      <c r="E859" s="4" t="s">
        <v>5124</v>
      </c>
      <c r="F859" s="4" t="s">
        <v>5125</v>
      </c>
      <c r="G859" s="4" t="s">
        <v>74</v>
      </c>
      <c r="H859" s="4" t="s">
        <v>75</v>
      </c>
      <c r="I859" s="4" t="s">
        <v>31</v>
      </c>
      <c r="J859" s="4" t="s">
        <v>5126</v>
      </c>
      <c r="K859" s="4" t="s">
        <v>209</v>
      </c>
      <c r="L859" s="4">
        <v>2</v>
      </c>
      <c r="M859" s="5">
        <v>169.98</v>
      </c>
      <c r="N859" s="4" t="s">
        <v>34</v>
      </c>
      <c r="O859" s="5">
        <v>0</v>
      </c>
      <c r="P859" s="5">
        <v>0</v>
      </c>
      <c r="Q859" s="5">
        <v>14.45</v>
      </c>
      <c r="R859" s="5">
        <v>184.43</v>
      </c>
      <c r="S859" s="4" t="s">
        <v>111</v>
      </c>
      <c r="T859" s="4" t="s">
        <v>36</v>
      </c>
      <c r="U859" s="4" t="s">
        <v>100</v>
      </c>
      <c r="V859" s="4"/>
      <c r="W859" s="5">
        <v>0</v>
      </c>
      <c r="X859" t="str">
        <f t="shared" si="39"/>
        <v>October</v>
      </c>
      <c r="Y859" t="str">
        <f t="shared" si="40"/>
        <v>Q4</v>
      </c>
      <c r="Z859" s="7">
        <f t="shared" si="41"/>
        <v>169.98</v>
      </c>
    </row>
    <row r="860" spans="1:26" x14ac:dyDescent="0.3">
      <c r="A860" s="2" t="s">
        <v>5127</v>
      </c>
      <c r="B860" s="8" t="s">
        <v>133</v>
      </c>
      <c r="C860" s="2" t="s">
        <v>5128</v>
      </c>
      <c r="D860" s="2" t="s">
        <v>5129</v>
      </c>
      <c r="E860" s="2" t="s">
        <v>5130</v>
      </c>
      <c r="F860" s="2" t="s">
        <v>5131</v>
      </c>
      <c r="G860" s="2" t="s">
        <v>107</v>
      </c>
      <c r="H860" s="2" t="s">
        <v>108</v>
      </c>
      <c r="I860" s="2" t="s">
        <v>31</v>
      </c>
      <c r="J860" s="2" t="s">
        <v>267</v>
      </c>
      <c r="K860" s="2" t="s">
        <v>62</v>
      </c>
      <c r="L860" s="2">
        <v>1</v>
      </c>
      <c r="M860" s="3">
        <v>54.99</v>
      </c>
      <c r="N860" s="2" t="s">
        <v>78</v>
      </c>
      <c r="O860" s="3">
        <v>5.5</v>
      </c>
      <c r="P860" s="3">
        <v>5.99</v>
      </c>
      <c r="Q860" s="3">
        <v>3.46</v>
      </c>
      <c r="R860" s="3">
        <v>58.94</v>
      </c>
      <c r="S860" s="2" t="s">
        <v>123</v>
      </c>
      <c r="T860" s="2" t="s">
        <v>144</v>
      </c>
      <c r="U860" s="2" t="s">
        <v>66</v>
      </c>
      <c r="V860" s="2" t="s">
        <v>470</v>
      </c>
      <c r="W860" s="3">
        <v>0</v>
      </c>
      <c r="X860" t="str">
        <f t="shared" si="39"/>
        <v>December</v>
      </c>
      <c r="Y860" t="str">
        <f t="shared" si="40"/>
        <v>Q4</v>
      </c>
      <c r="Z860" s="7">
        <f t="shared" si="41"/>
        <v>49.49</v>
      </c>
    </row>
    <row r="861" spans="1:26" x14ac:dyDescent="0.3">
      <c r="A861" s="4" t="s">
        <v>5132</v>
      </c>
      <c r="B861" s="9" t="s">
        <v>671</v>
      </c>
      <c r="C861" s="4" t="s">
        <v>5133</v>
      </c>
      <c r="D861" s="4" t="s">
        <v>5134</v>
      </c>
      <c r="E861" s="4" t="s">
        <v>5135</v>
      </c>
      <c r="F861" s="4" t="s">
        <v>5136</v>
      </c>
      <c r="G861" s="4" t="s">
        <v>45</v>
      </c>
      <c r="H861" s="4" t="s">
        <v>46</v>
      </c>
      <c r="I861" s="4" t="s">
        <v>31</v>
      </c>
      <c r="J861" s="4" t="s">
        <v>191</v>
      </c>
      <c r="K861" s="4" t="s">
        <v>77</v>
      </c>
      <c r="L861" s="4">
        <v>1</v>
      </c>
      <c r="M861" s="5">
        <v>24.99</v>
      </c>
      <c r="N861" s="4" t="s">
        <v>152</v>
      </c>
      <c r="O861" s="5">
        <v>1.25</v>
      </c>
      <c r="P861" s="5">
        <v>5.99</v>
      </c>
      <c r="Q861" s="5">
        <v>2.37</v>
      </c>
      <c r="R861" s="5">
        <v>32.1</v>
      </c>
      <c r="S861" s="4" t="s">
        <v>123</v>
      </c>
      <c r="T861" s="4" t="s">
        <v>173</v>
      </c>
      <c r="U861" s="4" t="s">
        <v>37</v>
      </c>
      <c r="V861" s="4" t="s">
        <v>680</v>
      </c>
      <c r="W861" s="5">
        <v>32.1</v>
      </c>
      <c r="X861" t="str">
        <f t="shared" si="39"/>
        <v>January</v>
      </c>
      <c r="Y861" t="str">
        <f t="shared" si="40"/>
        <v>Q1</v>
      </c>
      <c r="Z861" s="7">
        <f t="shared" si="41"/>
        <v>23.74</v>
      </c>
    </row>
    <row r="862" spans="1:26" x14ac:dyDescent="0.3">
      <c r="A862" s="2" t="s">
        <v>5137</v>
      </c>
      <c r="B862" s="8" t="s">
        <v>227</v>
      </c>
      <c r="C862" s="2" t="s">
        <v>5138</v>
      </c>
      <c r="D862" s="2" t="s">
        <v>5139</v>
      </c>
      <c r="E862" s="2" t="s">
        <v>5140</v>
      </c>
      <c r="F862" s="2" t="s">
        <v>5141</v>
      </c>
      <c r="G862" s="2" t="s">
        <v>394</v>
      </c>
      <c r="H862" s="2" t="s">
        <v>395</v>
      </c>
      <c r="I862" s="2" t="s">
        <v>31</v>
      </c>
      <c r="J862" s="2" t="s">
        <v>1968</v>
      </c>
      <c r="K862" s="2" t="s">
        <v>209</v>
      </c>
      <c r="L862" s="2">
        <v>1</v>
      </c>
      <c r="M862" s="3">
        <v>99.98</v>
      </c>
      <c r="N862" s="2" t="s">
        <v>78</v>
      </c>
      <c r="O862" s="3">
        <v>10</v>
      </c>
      <c r="P862" s="3">
        <v>0</v>
      </c>
      <c r="Q862" s="3">
        <v>7.65</v>
      </c>
      <c r="R862" s="3">
        <v>97.63</v>
      </c>
      <c r="S862" s="2" t="s">
        <v>35</v>
      </c>
      <c r="T862" s="2" t="s">
        <v>173</v>
      </c>
      <c r="U862" s="2" t="s">
        <v>317</v>
      </c>
      <c r="V862" s="2"/>
      <c r="W862" s="3">
        <v>0</v>
      </c>
      <c r="X862" t="str">
        <f t="shared" si="39"/>
        <v>May</v>
      </c>
      <c r="Y862" t="str">
        <f t="shared" si="40"/>
        <v>Q2</v>
      </c>
      <c r="Z862" s="7">
        <f t="shared" si="41"/>
        <v>89.98</v>
      </c>
    </row>
    <row r="863" spans="1:26" x14ac:dyDescent="0.3">
      <c r="A863" s="4" t="s">
        <v>5142</v>
      </c>
      <c r="B863" s="9" t="s">
        <v>3530</v>
      </c>
      <c r="C863" s="4" t="s">
        <v>5143</v>
      </c>
      <c r="D863" s="4" t="s">
        <v>1614</v>
      </c>
      <c r="E863" s="4" t="s">
        <v>5144</v>
      </c>
      <c r="F863" s="4" t="s">
        <v>5145</v>
      </c>
      <c r="G863" s="4" t="s">
        <v>224</v>
      </c>
      <c r="H863" s="4" t="s">
        <v>225</v>
      </c>
      <c r="I863" s="4" t="s">
        <v>31</v>
      </c>
      <c r="J863" s="4" t="s">
        <v>234</v>
      </c>
      <c r="K863" s="4" t="s">
        <v>62</v>
      </c>
      <c r="L863" s="4">
        <v>1</v>
      </c>
      <c r="M863" s="5">
        <v>49.98</v>
      </c>
      <c r="N863" s="4" t="s">
        <v>34</v>
      </c>
      <c r="O863" s="5">
        <v>0</v>
      </c>
      <c r="P863" s="5">
        <v>4.99</v>
      </c>
      <c r="Q863" s="5">
        <v>3.5</v>
      </c>
      <c r="R863" s="5">
        <v>58.47</v>
      </c>
      <c r="S863" s="4" t="s">
        <v>437</v>
      </c>
      <c r="T863" s="4" t="s">
        <v>173</v>
      </c>
      <c r="U863" s="4" t="s">
        <v>100</v>
      </c>
      <c r="V863" s="4"/>
      <c r="W863" s="5">
        <v>0</v>
      </c>
      <c r="X863" t="str">
        <f t="shared" si="39"/>
        <v>September</v>
      </c>
      <c r="Y863" t="str">
        <f t="shared" si="40"/>
        <v>Q3</v>
      </c>
      <c r="Z863" s="7">
        <f t="shared" si="41"/>
        <v>49.98</v>
      </c>
    </row>
    <row r="864" spans="1:26" x14ac:dyDescent="0.3">
      <c r="A864" s="2" t="s">
        <v>5146</v>
      </c>
      <c r="B864" s="8" t="s">
        <v>1471</v>
      </c>
      <c r="C864" s="2" t="s">
        <v>5147</v>
      </c>
      <c r="D864" s="2" t="s">
        <v>5148</v>
      </c>
      <c r="E864" s="2" t="s">
        <v>5149</v>
      </c>
      <c r="F864" s="2" t="s">
        <v>5150</v>
      </c>
      <c r="G864" s="2" t="s">
        <v>640</v>
      </c>
      <c r="H864" s="2" t="s">
        <v>161</v>
      </c>
      <c r="I864" s="2" t="s">
        <v>31</v>
      </c>
      <c r="J864" s="2" t="s">
        <v>5151</v>
      </c>
      <c r="K864" s="2" t="s">
        <v>33</v>
      </c>
      <c r="L864" s="2">
        <v>4</v>
      </c>
      <c r="M864" s="3">
        <v>286.93</v>
      </c>
      <c r="N864" s="2" t="s">
        <v>78</v>
      </c>
      <c r="O864" s="3">
        <v>28.69</v>
      </c>
      <c r="P864" s="3">
        <v>0</v>
      </c>
      <c r="Q864" s="3">
        <v>20.66</v>
      </c>
      <c r="R864" s="3">
        <v>278.89999999999998</v>
      </c>
      <c r="S864" s="2" t="s">
        <v>35</v>
      </c>
      <c r="T864" s="2" t="s">
        <v>173</v>
      </c>
      <c r="U864" s="2" t="s">
        <v>37</v>
      </c>
      <c r="V864" s="2" t="s">
        <v>2915</v>
      </c>
      <c r="W864" s="3">
        <v>278.89999999999998</v>
      </c>
      <c r="X864" t="str">
        <f t="shared" si="39"/>
        <v>April</v>
      </c>
      <c r="Y864" t="str">
        <f t="shared" si="40"/>
        <v>Q2</v>
      </c>
      <c r="Z864" s="7">
        <f t="shared" si="41"/>
        <v>258.24</v>
      </c>
    </row>
    <row r="865" spans="1:26" x14ac:dyDescent="0.3">
      <c r="A865" s="4" t="s">
        <v>5152</v>
      </c>
      <c r="B865" s="9" t="s">
        <v>296</v>
      </c>
      <c r="C865" s="4" t="s">
        <v>5153</v>
      </c>
      <c r="D865" s="4" t="s">
        <v>5154</v>
      </c>
      <c r="E865" s="4" t="s">
        <v>5155</v>
      </c>
      <c r="F865" s="4" t="s">
        <v>5156</v>
      </c>
      <c r="G865" s="4" t="s">
        <v>640</v>
      </c>
      <c r="H865" s="4" t="s">
        <v>161</v>
      </c>
      <c r="I865" s="4" t="s">
        <v>31</v>
      </c>
      <c r="J865" s="4" t="s">
        <v>5157</v>
      </c>
      <c r="K865" s="4" t="s">
        <v>122</v>
      </c>
      <c r="L865" s="4">
        <v>4</v>
      </c>
      <c r="M865" s="5">
        <v>265.94</v>
      </c>
      <c r="N865" s="4" t="s">
        <v>63</v>
      </c>
      <c r="O865" s="5">
        <v>66.48</v>
      </c>
      <c r="P865" s="5">
        <v>0</v>
      </c>
      <c r="Q865" s="5">
        <v>16.95</v>
      </c>
      <c r="R865" s="5">
        <v>216.41</v>
      </c>
      <c r="S865" s="4" t="s">
        <v>35</v>
      </c>
      <c r="T865" s="4" t="s">
        <v>99</v>
      </c>
      <c r="U865" s="4" t="s">
        <v>317</v>
      </c>
      <c r="V865" s="4"/>
      <c r="W865" s="5">
        <v>0</v>
      </c>
      <c r="X865" t="str">
        <f t="shared" si="39"/>
        <v>August</v>
      </c>
      <c r="Y865" t="str">
        <f t="shared" si="40"/>
        <v>Q3</v>
      </c>
      <c r="Z865" s="7">
        <f t="shared" si="41"/>
        <v>199.45999999999998</v>
      </c>
    </row>
    <row r="866" spans="1:26" x14ac:dyDescent="0.3">
      <c r="A866" s="2" t="s">
        <v>5158</v>
      </c>
      <c r="B866" s="8" t="s">
        <v>1469</v>
      </c>
      <c r="C866" s="2" t="s">
        <v>5159</v>
      </c>
      <c r="D866" s="2" t="s">
        <v>5160</v>
      </c>
      <c r="E866" s="2" t="s">
        <v>5161</v>
      </c>
      <c r="F866" s="2" t="s">
        <v>5162</v>
      </c>
      <c r="G866" s="2" t="s">
        <v>207</v>
      </c>
      <c r="H866" s="2" t="s">
        <v>141</v>
      </c>
      <c r="I866" s="2" t="s">
        <v>31</v>
      </c>
      <c r="J866" s="2" t="s">
        <v>5163</v>
      </c>
      <c r="K866" s="2" t="s">
        <v>48</v>
      </c>
      <c r="L866" s="2">
        <v>4</v>
      </c>
      <c r="M866" s="3">
        <v>294.93</v>
      </c>
      <c r="N866" s="2" t="s">
        <v>152</v>
      </c>
      <c r="O866" s="3">
        <v>14.75</v>
      </c>
      <c r="P866" s="3">
        <v>0</v>
      </c>
      <c r="Q866" s="3">
        <v>22.41</v>
      </c>
      <c r="R866" s="3">
        <v>302.58999999999997</v>
      </c>
      <c r="S866" s="2" t="s">
        <v>123</v>
      </c>
      <c r="T866" s="2" t="s">
        <v>99</v>
      </c>
      <c r="U866" s="2" t="s">
        <v>66</v>
      </c>
      <c r="V866" s="2" t="s">
        <v>542</v>
      </c>
      <c r="W866" s="3">
        <v>0</v>
      </c>
      <c r="X866" t="str">
        <f t="shared" si="39"/>
        <v>March</v>
      </c>
      <c r="Y866" t="str">
        <f t="shared" si="40"/>
        <v>Q1</v>
      </c>
      <c r="Z866" s="7">
        <f t="shared" si="41"/>
        <v>280.18</v>
      </c>
    </row>
    <row r="867" spans="1:26" x14ac:dyDescent="0.3">
      <c r="A867" s="4" t="s">
        <v>5164</v>
      </c>
      <c r="B867" s="9" t="s">
        <v>112</v>
      </c>
      <c r="C867" s="4" t="s">
        <v>5165</v>
      </c>
      <c r="D867" s="4" t="s">
        <v>3255</v>
      </c>
      <c r="E867" s="4" t="s">
        <v>5166</v>
      </c>
      <c r="F867" s="4" t="s">
        <v>5167</v>
      </c>
      <c r="G867" s="4" t="s">
        <v>251</v>
      </c>
      <c r="H867" s="4" t="s">
        <v>252</v>
      </c>
      <c r="I867" s="4" t="s">
        <v>31</v>
      </c>
      <c r="J867" s="4" t="s">
        <v>5168</v>
      </c>
      <c r="K867" s="4" t="s">
        <v>122</v>
      </c>
      <c r="L867" s="4">
        <v>3</v>
      </c>
      <c r="M867" s="5">
        <v>449.94</v>
      </c>
      <c r="N867" s="4" t="s">
        <v>78</v>
      </c>
      <c r="O867" s="5">
        <v>44.99</v>
      </c>
      <c r="P867" s="5">
        <v>0</v>
      </c>
      <c r="Q867" s="5">
        <v>36.450000000000003</v>
      </c>
      <c r="R867" s="5">
        <v>441.4</v>
      </c>
      <c r="S867" s="4" t="s">
        <v>64</v>
      </c>
      <c r="T867" s="4" t="s">
        <v>173</v>
      </c>
      <c r="U867" s="4" t="s">
        <v>66</v>
      </c>
      <c r="V867" s="4" t="s">
        <v>633</v>
      </c>
      <c r="W867" s="5">
        <v>0</v>
      </c>
      <c r="X867" t="str">
        <f t="shared" si="39"/>
        <v>January</v>
      </c>
      <c r="Y867" t="str">
        <f t="shared" si="40"/>
        <v>Q1</v>
      </c>
      <c r="Z867" s="7">
        <f t="shared" si="41"/>
        <v>404.95</v>
      </c>
    </row>
    <row r="868" spans="1:26" x14ac:dyDescent="0.3">
      <c r="A868" s="2" t="s">
        <v>5169</v>
      </c>
      <c r="B868" s="8" t="s">
        <v>1732</v>
      </c>
      <c r="C868" s="2" t="s">
        <v>5170</v>
      </c>
      <c r="D868" s="2" t="s">
        <v>5171</v>
      </c>
      <c r="E868" s="2" t="s">
        <v>5172</v>
      </c>
      <c r="F868" s="2" t="s">
        <v>5173</v>
      </c>
      <c r="G868" s="2" t="s">
        <v>207</v>
      </c>
      <c r="H868" s="2" t="s">
        <v>141</v>
      </c>
      <c r="I868" s="2" t="s">
        <v>31</v>
      </c>
      <c r="J868" s="2" t="s">
        <v>5174</v>
      </c>
      <c r="K868" s="2" t="s">
        <v>209</v>
      </c>
      <c r="L868" s="2">
        <v>2</v>
      </c>
      <c r="M868" s="3">
        <v>139.97999999999999</v>
      </c>
      <c r="N868" s="2" t="s">
        <v>34</v>
      </c>
      <c r="O868" s="3">
        <v>0</v>
      </c>
      <c r="P868" s="3">
        <v>0</v>
      </c>
      <c r="Q868" s="3">
        <v>11.9</v>
      </c>
      <c r="R868" s="3">
        <v>151.88</v>
      </c>
      <c r="S868" s="2" t="s">
        <v>35</v>
      </c>
      <c r="T868" s="2" t="s">
        <v>99</v>
      </c>
      <c r="U868" s="2" t="s">
        <v>66</v>
      </c>
      <c r="V868" s="2" t="s">
        <v>135</v>
      </c>
      <c r="W868" s="3">
        <v>0</v>
      </c>
      <c r="X868" t="str">
        <f t="shared" si="39"/>
        <v>July</v>
      </c>
      <c r="Y868" t="str">
        <f t="shared" si="40"/>
        <v>Q3</v>
      </c>
      <c r="Z868" s="7">
        <f t="shared" si="41"/>
        <v>139.97999999999999</v>
      </c>
    </row>
    <row r="869" spans="1:26" x14ac:dyDescent="0.3">
      <c r="A869" s="4" t="s">
        <v>5175</v>
      </c>
      <c r="B869" s="9" t="s">
        <v>849</v>
      </c>
      <c r="C869" s="4" t="s">
        <v>5176</v>
      </c>
      <c r="D869" s="4" t="s">
        <v>4954</v>
      </c>
      <c r="E869" s="4" t="s">
        <v>5177</v>
      </c>
      <c r="F869" s="4" t="s">
        <v>5178</v>
      </c>
      <c r="G869" s="4" t="s">
        <v>291</v>
      </c>
      <c r="H869" s="4" t="s">
        <v>292</v>
      </c>
      <c r="I869" s="4" t="s">
        <v>31</v>
      </c>
      <c r="J869" s="4" t="s">
        <v>5179</v>
      </c>
      <c r="K869" s="4" t="s">
        <v>48</v>
      </c>
      <c r="L869" s="4">
        <v>1</v>
      </c>
      <c r="M869" s="5">
        <v>104.97</v>
      </c>
      <c r="N869" s="4" t="s">
        <v>78</v>
      </c>
      <c r="O869" s="5">
        <v>10.5</v>
      </c>
      <c r="P869" s="5">
        <v>0</v>
      </c>
      <c r="Q869" s="5">
        <v>8.5</v>
      </c>
      <c r="R869" s="5">
        <v>102.97</v>
      </c>
      <c r="S869" s="4" t="s">
        <v>64</v>
      </c>
      <c r="T869" s="4" t="s">
        <v>36</v>
      </c>
      <c r="U869" s="4" t="s">
        <v>66</v>
      </c>
      <c r="V869" s="4" t="s">
        <v>3092</v>
      </c>
      <c r="W869" s="5">
        <v>0</v>
      </c>
      <c r="X869" t="str">
        <f t="shared" si="39"/>
        <v>March</v>
      </c>
      <c r="Y869" t="str">
        <f t="shared" si="40"/>
        <v>Q1</v>
      </c>
      <c r="Z869" s="7">
        <f t="shared" si="41"/>
        <v>94.47</v>
      </c>
    </row>
    <row r="870" spans="1:26" x14ac:dyDescent="0.3">
      <c r="A870" s="2" t="s">
        <v>5180</v>
      </c>
      <c r="B870" s="8" t="s">
        <v>1321</v>
      </c>
      <c r="C870" s="2" t="s">
        <v>5181</v>
      </c>
      <c r="D870" s="2" t="s">
        <v>4842</v>
      </c>
      <c r="E870" s="2" t="s">
        <v>5182</v>
      </c>
      <c r="F870" s="2" t="s">
        <v>5183</v>
      </c>
      <c r="G870" s="2" t="s">
        <v>347</v>
      </c>
      <c r="H870" s="2" t="s">
        <v>60</v>
      </c>
      <c r="I870" s="2" t="s">
        <v>31</v>
      </c>
      <c r="J870" s="2" t="s">
        <v>678</v>
      </c>
      <c r="K870" s="2" t="s">
        <v>679</v>
      </c>
      <c r="L870" s="2">
        <v>1</v>
      </c>
      <c r="M870" s="3">
        <v>14.99</v>
      </c>
      <c r="N870" s="2" t="s">
        <v>63</v>
      </c>
      <c r="O870" s="3">
        <v>3.75</v>
      </c>
      <c r="P870" s="3">
        <v>9.99</v>
      </c>
      <c r="Q870" s="3">
        <v>1.01</v>
      </c>
      <c r="R870" s="3">
        <v>22.24</v>
      </c>
      <c r="S870" s="2" t="s">
        <v>35</v>
      </c>
      <c r="T870" s="2" t="s">
        <v>36</v>
      </c>
      <c r="U870" s="2" t="s">
        <v>66</v>
      </c>
      <c r="V870" s="2" t="s">
        <v>2096</v>
      </c>
      <c r="W870" s="3">
        <v>0</v>
      </c>
      <c r="X870" t="str">
        <f t="shared" si="39"/>
        <v>March</v>
      </c>
      <c r="Y870" t="str">
        <f t="shared" si="40"/>
        <v>Q1</v>
      </c>
      <c r="Z870" s="7">
        <f t="shared" si="41"/>
        <v>11.24</v>
      </c>
    </row>
    <row r="871" spans="1:26" x14ac:dyDescent="0.3">
      <c r="A871" s="4" t="s">
        <v>5184</v>
      </c>
      <c r="B871" s="9" t="s">
        <v>703</v>
      </c>
      <c r="C871" s="4" t="s">
        <v>5185</v>
      </c>
      <c r="D871" s="4" t="s">
        <v>5186</v>
      </c>
      <c r="E871" s="4" t="s">
        <v>5187</v>
      </c>
      <c r="F871" s="4" t="s">
        <v>5188</v>
      </c>
      <c r="G871" s="4" t="s">
        <v>171</v>
      </c>
      <c r="H871" s="4" t="s">
        <v>88</v>
      </c>
      <c r="I871" s="4" t="s">
        <v>31</v>
      </c>
      <c r="J871" s="4" t="s">
        <v>5189</v>
      </c>
      <c r="K871" s="4" t="s">
        <v>110</v>
      </c>
      <c r="L871" s="4">
        <v>4</v>
      </c>
      <c r="M871" s="5">
        <v>176.94</v>
      </c>
      <c r="N871" s="4" t="s">
        <v>63</v>
      </c>
      <c r="O871" s="5">
        <v>44.24</v>
      </c>
      <c r="P871" s="5">
        <v>0</v>
      </c>
      <c r="Q871" s="5">
        <v>9.2899999999999991</v>
      </c>
      <c r="R871" s="5">
        <v>141.99</v>
      </c>
      <c r="S871" s="4" t="s">
        <v>123</v>
      </c>
      <c r="T871" s="4" t="s">
        <v>50</v>
      </c>
      <c r="U871" s="4" t="s">
        <v>51</v>
      </c>
      <c r="V871" s="4" t="s">
        <v>709</v>
      </c>
      <c r="W871" s="5">
        <v>0</v>
      </c>
      <c r="X871" t="str">
        <f t="shared" si="39"/>
        <v>January</v>
      </c>
      <c r="Y871" t="str">
        <f t="shared" si="40"/>
        <v>Q1</v>
      </c>
      <c r="Z871" s="7">
        <f t="shared" si="41"/>
        <v>132.69999999999999</v>
      </c>
    </row>
    <row r="872" spans="1:26" x14ac:dyDescent="0.3">
      <c r="A872" s="2" t="s">
        <v>5190</v>
      </c>
      <c r="B872" s="8" t="s">
        <v>3092</v>
      </c>
      <c r="C872" s="2" t="s">
        <v>5191</v>
      </c>
      <c r="D872" s="2" t="s">
        <v>3759</v>
      </c>
      <c r="E872" s="2" t="s">
        <v>5192</v>
      </c>
      <c r="F872" s="2" t="s">
        <v>5193</v>
      </c>
      <c r="G872" s="2" t="s">
        <v>242</v>
      </c>
      <c r="H872" s="2" t="s">
        <v>243</v>
      </c>
      <c r="I872" s="2" t="s">
        <v>31</v>
      </c>
      <c r="J872" s="2" t="s">
        <v>526</v>
      </c>
      <c r="K872" s="2" t="s">
        <v>110</v>
      </c>
      <c r="L872" s="2">
        <v>1</v>
      </c>
      <c r="M872" s="3">
        <v>32.99</v>
      </c>
      <c r="N872" s="2" t="s">
        <v>152</v>
      </c>
      <c r="O872" s="3">
        <v>1.65</v>
      </c>
      <c r="P872" s="3">
        <v>4.99</v>
      </c>
      <c r="Q872" s="3">
        <v>3.13</v>
      </c>
      <c r="R872" s="3">
        <v>39.46</v>
      </c>
      <c r="S872" s="2" t="s">
        <v>35</v>
      </c>
      <c r="T872" s="2" t="s">
        <v>36</v>
      </c>
      <c r="U872" s="2" t="s">
        <v>100</v>
      </c>
      <c r="V872" s="2"/>
      <c r="W872" s="3">
        <v>0</v>
      </c>
      <c r="X872" t="str">
        <f t="shared" si="39"/>
        <v>March</v>
      </c>
      <c r="Y872" t="str">
        <f t="shared" si="40"/>
        <v>Q1</v>
      </c>
      <c r="Z872" s="7">
        <f t="shared" si="41"/>
        <v>31.340000000000003</v>
      </c>
    </row>
    <row r="873" spans="1:26" x14ac:dyDescent="0.3">
      <c r="A873" s="4" t="s">
        <v>5194</v>
      </c>
      <c r="B873" s="9" t="s">
        <v>1334</v>
      </c>
      <c r="C873" s="4" t="s">
        <v>5195</v>
      </c>
      <c r="D873" s="4" t="s">
        <v>492</v>
      </c>
      <c r="E873" s="4" t="s">
        <v>5196</v>
      </c>
      <c r="F873" s="4" t="s">
        <v>5197</v>
      </c>
      <c r="G873" s="4" t="s">
        <v>107</v>
      </c>
      <c r="H873" s="4" t="s">
        <v>108</v>
      </c>
      <c r="I873" s="4" t="s">
        <v>31</v>
      </c>
      <c r="J873" s="4" t="s">
        <v>172</v>
      </c>
      <c r="K873" s="4" t="s">
        <v>122</v>
      </c>
      <c r="L873" s="4">
        <v>1</v>
      </c>
      <c r="M873" s="5">
        <v>69.989999999999995</v>
      </c>
      <c r="N873" s="4" t="s">
        <v>78</v>
      </c>
      <c r="O873" s="5">
        <v>7</v>
      </c>
      <c r="P873" s="5">
        <v>4.99</v>
      </c>
      <c r="Q873" s="5">
        <v>6.3</v>
      </c>
      <c r="R873" s="5">
        <v>74.28</v>
      </c>
      <c r="S873" s="4" t="s">
        <v>79</v>
      </c>
      <c r="T873" s="4" t="s">
        <v>36</v>
      </c>
      <c r="U873" s="4" t="s">
        <v>317</v>
      </c>
      <c r="V873" s="4"/>
      <c r="W873" s="5">
        <v>0</v>
      </c>
      <c r="X873" t="str">
        <f t="shared" si="39"/>
        <v>January</v>
      </c>
      <c r="Y873" t="str">
        <f t="shared" si="40"/>
        <v>Q1</v>
      </c>
      <c r="Z873" s="7">
        <f t="shared" si="41"/>
        <v>62.989999999999995</v>
      </c>
    </row>
    <row r="874" spans="1:26" x14ac:dyDescent="0.3">
      <c r="A874" s="2" t="s">
        <v>5198</v>
      </c>
      <c r="B874" s="8" t="s">
        <v>92</v>
      </c>
      <c r="C874" s="2" t="s">
        <v>5199</v>
      </c>
      <c r="D874" s="2" t="s">
        <v>2641</v>
      </c>
      <c r="E874" s="2" t="s">
        <v>5200</v>
      </c>
      <c r="F874" s="2" t="s">
        <v>5201</v>
      </c>
      <c r="G874" s="2" t="s">
        <v>180</v>
      </c>
      <c r="H874" s="2" t="s">
        <v>181</v>
      </c>
      <c r="I874" s="2" t="s">
        <v>31</v>
      </c>
      <c r="J874" s="2" t="s">
        <v>5202</v>
      </c>
      <c r="K874" s="2" t="s">
        <v>110</v>
      </c>
      <c r="L874" s="2">
        <v>3</v>
      </c>
      <c r="M874" s="3">
        <v>659.94</v>
      </c>
      <c r="N874" s="2" t="s">
        <v>78</v>
      </c>
      <c r="O874" s="3">
        <v>65.989999999999995</v>
      </c>
      <c r="P874" s="3">
        <v>0</v>
      </c>
      <c r="Q874" s="3">
        <v>35.64</v>
      </c>
      <c r="R874" s="3">
        <v>629.59</v>
      </c>
      <c r="S874" s="2" t="s">
        <v>64</v>
      </c>
      <c r="T874" s="2" t="s">
        <v>99</v>
      </c>
      <c r="U874" s="2" t="s">
        <v>51</v>
      </c>
      <c r="V874" s="2" t="s">
        <v>5203</v>
      </c>
      <c r="W874" s="3">
        <v>0</v>
      </c>
      <c r="X874" t="str">
        <f t="shared" si="39"/>
        <v>August</v>
      </c>
      <c r="Y874" t="str">
        <f t="shared" si="40"/>
        <v>Q3</v>
      </c>
      <c r="Z874" s="7">
        <f t="shared" si="41"/>
        <v>593.95000000000005</v>
      </c>
    </row>
    <row r="875" spans="1:26" x14ac:dyDescent="0.3">
      <c r="A875" s="4" t="s">
        <v>5204</v>
      </c>
      <c r="B875" s="9" t="s">
        <v>1000</v>
      </c>
      <c r="C875" s="4" t="s">
        <v>5205</v>
      </c>
      <c r="D875" s="4" t="s">
        <v>906</v>
      </c>
      <c r="E875" s="4" t="s">
        <v>5206</v>
      </c>
      <c r="F875" s="4" t="s">
        <v>5207</v>
      </c>
      <c r="G875" s="4" t="s">
        <v>74</v>
      </c>
      <c r="H875" s="4" t="s">
        <v>75</v>
      </c>
      <c r="I875" s="4" t="s">
        <v>31</v>
      </c>
      <c r="J875" s="4" t="s">
        <v>5208</v>
      </c>
      <c r="K875" s="4" t="s">
        <v>209</v>
      </c>
      <c r="L875" s="4">
        <v>2</v>
      </c>
      <c r="M875" s="5">
        <v>138.97999999999999</v>
      </c>
      <c r="N875" s="4" t="s">
        <v>34</v>
      </c>
      <c r="O875" s="5">
        <v>0</v>
      </c>
      <c r="P875" s="5">
        <v>0</v>
      </c>
      <c r="Q875" s="5">
        <v>11.12</v>
      </c>
      <c r="R875" s="5">
        <v>150.1</v>
      </c>
      <c r="S875" s="4" t="s">
        <v>35</v>
      </c>
      <c r="T875" s="4" t="s">
        <v>173</v>
      </c>
      <c r="U875" s="4" t="s">
        <v>66</v>
      </c>
      <c r="V875" s="4" t="s">
        <v>595</v>
      </c>
      <c r="W875" s="5">
        <v>0</v>
      </c>
      <c r="X875" t="str">
        <f t="shared" si="39"/>
        <v>April</v>
      </c>
      <c r="Y875" t="str">
        <f t="shared" si="40"/>
        <v>Q2</v>
      </c>
      <c r="Z875" s="7">
        <f t="shared" si="41"/>
        <v>138.97999999999999</v>
      </c>
    </row>
    <row r="876" spans="1:26" x14ac:dyDescent="0.3">
      <c r="A876" s="2" t="s">
        <v>5209</v>
      </c>
      <c r="B876" s="8" t="s">
        <v>1209</v>
      </c>
      <c r="C876" s="2" t="s">
        <v>5210</v>
      </c>
      <c r="D876" s="2" t="s">
        <v>3777</v>
      </c>
      <c r="E876" s="2" t="s">
        <v>5211</v>
      </c>
      <c r="F876" s="2" t="s">
        <v>5212</v>
      </c>
      <c r="G876" s="2" t="s">
        <v>119</v>
      </c>
      <c r="H876" s="2" t="s">
        <v>120</v>
      </c>
      <c r="I876" s="2" t="s">
        <v>31</v>
      </c>
      <c r="J876" s="2" t="s">
        <v>1148</v>
      </c>
      <c r="K876" s="2" t="s">
        <v>33</v>
      </c>
      <c r="L876" s="2">
        <v>1</v>
      </c>
      <c r="M876" s="3">
        <v>18.989999999999998</v>
      </c>
      <c r="N876" s="2" t="s">
        <v>34</v>
      </c>
      <c r="O876" s="3">
        <v>0</v>
      </c>
      <c r="P876" s="3">
        <v>4.99</v>
      </c>
      <c r="Q876" s="3">
        <v>1.52</v>
      </c>
      <c r="R876" s="3">
        <v>25.5</v>
      </c>
      <c r="S876" s="2" t="s">
        <v>35</v>
      </c>
      <c r="T876" s="2" t="s">
        <v>325</v>
      </c>
      <c r="U876" s="2" t="s">
        <v>51</v>
      </c>
      <c r="V876" s="2" t="s">
        <v>5213</v>
      </c>
      <c r="W876" s="3">
        <v>0</v>
      </c>
      <c r="X876" t="str">
        <f t="shared" si="39"/>
        <v>April</v>
      </c>
      <c r="Y876" t="str">
        <f t="shared" si="40"/>
        <v>Q2</v>
      </c>
      <c r="Z876" s="7">
        <f t="shared" si="41"/>
        <v>18.989999999999998</v>
      </c>
    </row>
    <row r="877" spans="1:26" x14ac:dyDescent="0.3">
      <c r="A877" s="4" t="s">
        <v>5214</v>
      </c>
      <c r="B877" s="9" t="s">
        <v>1919</v>
      </c>
      <c r="C877" s="4" t="s">
        <v>5215</v>
      </c>
      <c r="D877" s="4" t="s">
        <v>5216</v>
      </c>
      <c r="E877" s="4" t="s">
        <v>5217</v>
      </c>
      <c r="F877" s="4" t="s">
        <v>5218</v>
      </c>
      <c r="G877" s="4" t="s">
        <v>160</v>
      </c>
      <c r="H877" s="4" t="s">
        <v>161</v>
      </c>
      <c r="I877" s="4" t="s">
        <v>31</v>
      </c>
      <c r="J877" s="4" t="s">
        <v>5219</v>
      </c>
      <c r="K877" s="4" t="s">
        <v>48</v>
      </c>
      <c r="L877" s="4">
        <v>3</v>
      </c>
      <c r="M877" s="5">
        <v>204.95</v>
      </c>
      <c r="N877" s="4" t="s">
        <v>152</v>
      </c>
      <c r="O877" s="5">
        <v>10.25</v>
      </c>
      <c r="P877" s="5">
        <v>0</v>
      </c>
      <c r="Q877" s="5">
        <v>19.47</v>
      </c>
      <c r="R877" s="5">
        <v>214.17</v>
      </c>
      <c r="S877" s="4" t="s">
        <v>123</v>
      </c>
      <c r="T877" s="4" t="s">
        <v>65</v>
      </c>
      <c r="U877" s="4" t="s">
        <v>66</v>
      </c>
      <c r="V877" s="4" t="s">
        <v>4025</v>
      </c>
      <c r="W877" s="5">
        <v>0</v>
      </c>
      <c r="X877" t="str">
        <f t="shared" si="39"/>
        <v>November</v>
      </c>
      <c r="Y877" t="str">
        <f t="shared" si="40"/>
        <v>Q4</v>
      </c>
      <c r="Z877" s="7">
        <f t="shared" si="41"/>
        <v>194.7</v>
      </c>
    </row>
    <row r="878" spans="1:26" x14ac:dyDescent="0.3">
      <c r="A878" s="2" t="s">
        <v>5220</v>
      </c>
      <c r="B878" s="8" t="s">
        <v>619</v>
      </c>
      <c r="C878" s="2" t="s">
        <v>5221</v>
      </c>
      <c r="D878" s="2" t="s">
        <v>5222</v>
      </c>
      <c r="E878" s="2" t="s">
        <v>5223</v>
      </c>
      <c r="F878" s="2" t="s">
        <v>5224</v>
      </c>
      <c r="G878" s="2" t="s">
        <v>180</v>
      </c>
      <c r="H878" s="2" t="s">
        <v>181</v>
      </c>
      <c r="I878" s="2" t="s">
        <v>31</v>
      </c>
      <c r="J878" s="2" t="s">
        <v>495</v>
      </c>
      <c r="K878" s="2" t="s">
        <v>209</v>
      </c>
      <c r="L878" s="2">
        <v>1</v>
      </c>
      <c r="M878" s="3">
        <v>29.99</v>
      </c>
      <c r="N878" s="2" t="s">
        <v>152</v>
      </c>
      <c r="O878" s="3">
        <v>1.5</v>
      </c>
      <c r="P878" s="3">
        <v>4.99</v>
      </c>
      <c r="Q878" s="3">
        <v>1.71</v>
      </c>
      <c r="R878" s="3">
        <v>35.19</v>
      </c>
      <c r="S878" s="2" t="s">
        <v>111</v>
      </c>
      <c r="T878" s="2" t="s">
        <v>99</v>
      </c>
      <c r="U878" s="2" t="s">
        <v>51</v>
      </c>
      <c r="V878" s="2" t="s">
        <v>1625</v>
      </c>
      <c r="W878" s="3">
        <v>0</v>
      </c>
      <c r="X878" t="str">
        <f t="shared" si="39"/>
        <v>October</v>
      </c>
      <c r="Y878" t="str">
        <f t="shared" si="40"/>
        <v>Q4</v>
      </c>
      <c r="Z878" s="7">
        <f t="shared" si="41"/>
        <v>28.49</v>
      </c>
    </row>
    <row r="879" spans="1:26" x14ac:dyDescent="0.3">
      <c r="A879" s="4" t="s">
        <v>5225</v>
      </c>
      <c r="B879" s="9" t="s">
        <v>3092</v>
      </c>
      <c r="C879" s="4" t="s">
        <v>5226</v>
      </c>
      <c r="D879" s="4" t="s">
        <v>5227</v>
      </c>
      <c r="E879" s="4" t="s">
        <v>5228</v>
      </c>
      <c r="F879" s="4" t="s">
        <v>5229</v>
      </c>
      <c r="G879" s="4" t="s">
        <v>428</v>
      </c>
      <c r="H879" s="4" t="s">
        <v>429</v>
      </c>
      <c r="I879" s="4" t="s">
        <v>31</v>
      </c>
      <c r="J879" s="4" t="s">
        <v>61</v>
      </c>
      <c r="K879" s="4" t="s">
        <v>62</v>
      </c>
      <c r="L879" s="4">
        <v>1</v>
      </c>
      <c r="M879" s="5">
        <v>24.99</v>
      </c>
      <c r="N879" s="4" t="s">
        <v>34</v>
      </c>
      <c r="O879" s="5">
        <v>0</v>
      </c>
      <c r="P879" s="5">
        <v>4.99</v>
      </c>
      <c r="Q879" s="5">
        <v>2.12</v>
      </c>
      <c r="R879" s="5">
        <v>32.1</v>
      </c>
      <c r="S879" s="4" t="s">
        <v>35</v>
      </c>
      <c r="T879" s="4" t="s">
        <v>144</v>
      </c>
      <c r="U879" s="4" t="s">
        <v>66</v>
      </c>
      <c r="V879" s="4" t="s">
        <v>2096</v>
      </c>
      <c r="W879" s="5">
        <v>0</v>
      </c>
      <c r="X879" t="str">
        <f t="shared" si="39"/>
        <v>March</v>
      </c>
      <c r="Y879" t="str">
        <f t="shared" si="40"/>
        <v>Q1</v>
      </c>
      <c r="Z879" s="7">
        <f t="shared" si="41"/>
        <v>24.99</v>
      </c>
    </row>
    <row r="880" spans="1:26" x14ac:dyDescent="0.3">
      <c r="A880" s="2" t="s">
        <v>5230</v>
      </c>
      <c r="B880" s="8" t="s">
        <v>270</v>
      </c>
      <c r="C880" s="2" t="s">
        <v>5231</v>
      </c>
      <c r="D880" s="2" t="s">
        <v>1733</v>
      </c>
      <c r="E880" s="2" t="s">
        <v>5232</v>
      </c>
      <c r="F880" s="2" t="s">
        <v>5233</v>
      </c>
      <c r="G880" s="2" t="s">
        <v>676</v>
      </c>
      <c r="H880" s="2" t="s">
        <v>677</v>
      </c>
      <c r="I880" s="2" t="s">
        <v>31</v>
      </c>
      <c r="J880" s="2" t="s">
        <v>577</v>
      </c>
      <c r="K880" s="2" t="s">
        <v>364</v>
      </c>
      <c r="L880" s="2">
        <v>1</v>
      </c>
      <c r="M880" s="3">
        <v>19.989999999999998</v>
      </c>
      <c r="N880" s="2" t="s">
        <v>49</v>
      </c>
      <c r="O880" s="3">
        <v>3</v>
      </c>
      <c r="P880" s="3">
        <v>5.99</v>
      </c>
      <c r="Q880" s="3">
        <v>1.53</v>
      </c>
      <c r="R880" s="3">
        <v>24.51</v>
      </c>
      <c r="S880" s="2" t="s">
        <v>35</v>
      </c>
      <c r="T880" s="2" t="s">
        <v>99</v>
      </c>
      <c r="U880" s="2" t="s">
        <v>317</v>
      </c>
      <c r="V880" s="2"/>
      <c r="W880" s="3">
        <v>0</v>
      </c>
      <c r="X880" t="str">
        <f t="shared" si="39"/>
        <v>July</v>
      </c>
      <c r="Y880" t="str">
        <f t="shared" si="40"/>
        <v>Q3</v>
      </c>
      <c r="Z880" s="7">
        <f t="shared" si="41"/>
        <v>16.989999999999998</v>
      </c>
    </row>
    <row r="881" spans="1:26" x14ac:dyDescent="0.3">
      <c r="A881" s="4" t="s">
        <v>5234</v>
      </c>
      <c r="B881" s="9" t="s">
        <v>342</v>
      </c>
      <c r="C881" s="4" t="s">
        <v>5235</v>
      </c>
      <c r="D881" s="4" t="s">
        <v>5236</v>
      </c>
      <c r="E881" s="4" t="s">
        <v>5237</v>
      </c>
      <c r="F881" s="4" t="s">
        <v>5238</v>
      </c>
      <c r="G881" s="4" t="s">
        <v>74</v>
      </c>
      <c r="H881" s="4" t="s">
        <v>75</v>
      </c>
      <c r="I881" s="4" t="s">
        <v>31</v>
      </c>
      <c r="J881" s="4" t="s">
        <v>5239</v>
      </c>
      <c r="K881" s="4" t="s">
        <v>209</v>
      </c>
      <c r="L881" s="4">
        <v>2</v>
      </c>
      <c r="M881" s="5">
        <v>129.97</v>
      </c>
      <c r="N881" s="4" t="s">
        <v>34</v>
      </c>
      <c r="O881" s="5">
        <v>0</v>
      </c>
      <c r="P881" s="5">
        <v>0</v>
      </c>
      <c r="Q881" s="5">
        <v>11.7</v>
      </c>
      <c r="R881" s="5">
        <v>141.66999999999999</v>
      </c>
      <c r="S881" s="4" t="s">
        <v>35</v>
      </c>
      <c r="T881" s="4" t="s">
        <v>36</v>
      </c>
      <c r="U881" s="4" t="s">
        <v>66</v>
      </c>
      <c r="V881" s="4" t="s">
        <v>296</v>
      </c>
      <c r="W881" s="5">
        <v>0</v>
      </c>
      <c r="X881" t="str">
        <f t="shared" si="39"/>
        <v>August</v>
      </c>
      <c r="Y881" t="str">
        <f t="shared" si="40"/>
        <v>Q3</v>
      </c>
      <c r="Z881" s="7">
        <f t="shared" si="41"/>
        <v>129.97</v>
      </c>
    </row>
    <row r="882" spans="1:26" x14ac:dyDescent="0.3">
      <c r="A882" s="2" t="s">
        <v>5240</v>
      </c>
      <c r="B882" s="8" t="s">
        <v>155</v>
      </c>
      <c r="C882" s="2" t="s">
        <v>5241</v>
      </c>
      <c r="D882" s="2" t="s">
        <v>4016</v>
      </c>
      <c r="E882" s="2" t="s">
        <v>5242</v>
      </c>
      <c r="F882" s="2" t="s">
        <v>5243</v>
      </c>
      <c r="G882" s="2" t="s">
        <v>29</v>
      </c>
      <c r="H882" s="2" t="s">
        <v>30</v>
      </c>
      <c r="I882" s="2" t="s">
        <v>31</v>
      </c>
      <c r="J882" s="2" t="s">
        <v>5244</v>
      </c>
      <c r="K882" s="2" t="s">
        <v>122</v>
      </c>
      <c r="L882" s="2">
        <v>5</v>
      </c>
      <c r="M882" s="3">
        <v>312.95</v>
      </c>
      <c r="N882" s="2" t="s">
        <v>163</v>
      </c>
      <c r="O882" s="3">
        <v>62.59</v>
      </c>
      <c r="P882" s="3">
        <v>0</v>
      </c>
      <c r="Q882" s="3">
        <v>17.53</v>
      </c>
      <c r="R882" s="3">
        <v>267.89</v>
      </c>
      <c r="S882" s="2" t="s">
        <v>35</v>
      </c>
      <c r="T882" s="2" t="s">
        <v>36</v>
      </c>
      <c r="U882" s="2" t="s">
        <v>66</v>
      </c>
      <c r="V882" s="2" t="s">
        <v>24</v>
      </c>
      <c r="W882" s="3">
        <v>0</v>
      </c>
      <c r="X882" t="str">
        <f t="shared" si="39"/>
        <v>February</v>
      </c>
      <c r="Y882" t="str">
        <f t="shared" si="40"/>
        <v>Q1</v>
      </c>
      <c r="Z882" s="7">
        <f t="shared" si="41"/>
        <v>250.35999999999999</v>
      </c>
    </row>
    <row r="883" spans="1:26" x14ac:dyDescent="0.3">
      <c r="A883" s="4" t="s">
        <v>5245</v>
      </c>
      <c r="B883" s="9" t="s">
        <v>3421</v>
      </c>
      <c r="C883" s="4" t="s">
        <v>5246</v>
      </c>
      <c r="D883" s="4" t="s">
        <v>1733</v>
      </c>
      <c r="E883" s="4" t="s">
        <v>5247</v>
      </c>
      <c r="F883" s="4" t="s">
        <v>5248</v>
      </c>
      <c r="G883" s="4" t="s">
        <v>45</v>
      </c>
      <c r="H883" s="4" t="s">
        <v>46</v>
      </c>
      <c r="I883" s="4" t="s">
        <v>31</v>
      </c>
      <c r="J883" s="4" t="s">
        <v>1054</v>
      </c>
      <c r="K883" s="4" t="s">
        <v>364</v>
      </c>
      <c r="L883" s="4">
        <v>1</v>
      </c>
      <c r="M883" s="5">
        <v>44.99</v>
      </c>
      <c r="N883" s="4" t="s">
        <v>34</v>
      </c>
      <c r="O883" s="5">
        <v>0</v>
      </c>
      <c r="P883" s="5">
        <v>9.99</v>
      </c>
      <c r="Q883" s="5">
        <v>3.82</v>
      </c>
      <c r="R883" s="5">
        <v>58.8</v>
      </c>
      <c r="S883" s="4" t="s">
        <v>79</v>
      </c>
      <c r="T883" s="4" t="s">
        <v>173</v>
      </c>
      <c r="U883" s="4" t="s">
        <v>66</v>
      </c>
      <c r="V883" s="4" t="s">
        <v>268</v>
      </c>
      <c r="W883" s="5">
        <v>0</v>
      </c>
      <c r="X883" t="str">
        <f t="shared" si="39"/>
        <v>September</v>
      </c>
      <c r="Y883" t="str">
        <f t="shared" si="40"/>
        <v>Q3</v>
      </c>
      <c r="Z883" s="7">
        <f t="shared" si="41"/>
        <v>44.99</v>
      </c>
    </row>
    <row r="884" spans="1:26" x14ac:dyDescent="0.3">
      <c r="A884" s="2" t="s">
        <v>5249</v>
      </c>
      <c r="B884" s="8" t="s">
        <v>3042</v>
      </c>
      <c r="C884" s="2" t="s">
        <v>5250</v>
      </c>
      <c r="D884" s="2" t="s">
        <v>1938</v>
      </c>
      <c r="E884" s="2" t="s">
        <v>5251</v>
      </c>
      <c r="F884" s="2" t="s">
        <v>5252</v>
      </c>
      <c r="G884" s="2" t="s">
        <v>29</v>
      </c>
      <c r="H884" s="2" t="s">
        <v>30</v>
      </c>
      <c r="I884" s="2" t="s">
        <v>31</v>
      </c>
      <c r="J884" s="2" t="s">
        <v>5253</v>
      </c>
      <c r="K884" s="2" t="s">
        <v>209</v>
      </c>
      <c r="L884" s="2">
        <v>4</v>
      </c>
      <c r="M884" s="3">
        <v>449.95</v>
      </c>
      <c r="N884" s="2" t="s">
        <v>152</v>
      </c>
      <c r="O884" s="3">
        <v>22.5</v>
      </c>
      <c r="P884" s="3">
        <v>0</v>
      </c>
      <c r="Q884" s="3">
        <v>36.33</v>
      </c>
      <c r="R884" s="3">
        <v>463.78</v>
      </c>
      <c r="S884" s="2" t="s">
        <v>35</v>
      </c>
      <c r="T884" s="2" t="s">
        <v>36</v>
      </c>
      <c r="U884" s="2" t="s">
        <v>100</v>
      </c>
      <c r="V884" s="2"/>
      <c r="W884" s="3">
        <v>0</v>
      </c>
      <c r="X884" t="str">
        <f t="shared" si="39"/>
        <v>February</v>
      </c>
      <c r="Y884" t="str">
        <f t="shared" si="40"/>
        <v>Q1</v>
      </c>
      <c r="Z884" s="7">
        <f t="shared" si="41"/>
        <v>427.45</v>
      </c>
    </row>
    <row r="885" spans="1:26" x14ac:dyDescent="0.3">
      <c r="A885" s="4" t="s">
        <v>5254</v>
      </c>
      <c r="B885" s="9" t="s">
        <v>2015</v>
      </c>
      <c r="C885" s="4" t="s">
        <v>5255</v>
      </c>
      <c r="D885" s="4" t="s">
        <v>5256</v>
      </c>
      <c r="E885" s="4" t="s">
        <v>5257</v>
      </c>
      <c r="F885" s="4" t="s">
        <v>5258</v>
      </c>
      <c r="G885" s="4" t="s">
        <v>87</v>
      </c>
      <c r="H885" s="4" t="s">
        <v>88</v>
      </c>
      <c r="I885" s="4" t="s">
        <v>31</v>
      </c>
      <c r="J885" s="4" t="s">
        <v>5259</v>
      </c>
      <c r="K885" s="4" t="s">
        <v>209</v>
      </c>
      <c r="L885" s="4">
        <v>4</v>
      </c>
      <c r="M885" s="5">
        <v>337.94</v>
      </c>
      <c r="N885" s="4" t="s">
        <v>34</v>
      </c>
      <c r="O885" s="5">
        <v>0</v>
      </c>
      <c r="P885" s="5">
        <v>0</v>
      </c>
      <c r="Q885" s="5">
        <v>20.28</v>
      </c>
      <c r="R885" s="5">
        <v>358.22</v>
      </c>
      <c r="S885" s="4" t="s">
        <v>35</v>
      </c>
      <c r="T885" s="4" t="s">
        <v>99</v>
      </c>
      <c r="U885" s="4" t="s">
        <v>66</v>
      </c>
      <c r="V885" s="4" t="s">
        <v>455</v>
      </c>
      <c r="W885" s="5">
        <v>0</v>
      </c>
      <c r="X885" t="str">
        <f t="shared" si="39"/>
        <v>June</v>
      </c>
      <c r="Y885" t="str">
        <f t="shared" si="40"/>
        <v>Q2</v>
      </c>
      <c r="Z885" s="7">
        <f t="shared" si="41"/>
        <v>337.94</v>
      </c>
    </row>
    <row r="886" spans="1:26" x14ac:dyDescent="0.3">
      <c r="A886" s="2" t="s">
        <v>5260</v>
      </c>
      <c r="B886" s="8" t="s">
        <v>1575</v>
      </c>
      <c r="C886" s="2" t="s">
        <v>5261</v>
      </c>
      <c r="D886" s="2" t="s">
        <v>3065</v>
      </c>
      <c r="E886" s="2" t="s">
        <v>5262</v>
      </c>
      <c r="F886" s="2" t="s">
        <v>5263</v>
      </c>
      <c r="G886" s="2" t="s">
        <v>251</v>
      </c>
      <c r="H886" s="2" t="s">
        <v>252</v>
      </c>
      <c r="I886" s="2" t="s">
        <v>31</v>
      </c>
      <c r="J886" s="2" t="s">
        <v>5264</v>
      </c>
      <c r="K886" s="2" t="s">
        <v>122</v>
      </c>
      <c r="L886" s="2">
        <v>4</v>
      </c>
      <c r="M886" s="3">
        <v>613.91</v>
      </c>
      <c r="N886" s="2" t="s">
        <v>63</v>
      </c>
      <c r="O886" s="3">
        <v>153.47999999999999</v>
      </c>
      <c r="P886" s="3">
        <v>0</v>
      </c>
      <c r="Q886" s="3">
        <v>32.229999999999997</v>
      </c>
      <c r="R886" s="3">
        <v>492.66</v>
      </c>
      <c r="S886" s="2" t="s">
        <v>64</v>
      </c>
      <c r="T886" s="2" t="s">
        <v>325</v>
      </c>
      <c r="U886" s="2" t="s">
        <v>66</v>
      </c>
      <c r="V886" s="2" t="s">
        <v>986</v>
      </c>
      <c r="W886" s="3">
        <v>0</v>
      </c>
      <c r="X886" t="str">
        <f t="shared" si="39"/>
        <v>April</v>
      </c>
      <c r="Y886" t="str">
        <f t="shared" si="40"/>
        <v>Q2</v>
      </c>
      <c r="Z886" s="7">
        <f t="shared" si="41"/>
        <v>460.42999999999995</v>
      </c>
    </row>
    <row r="887" spans="1:26" x14ac:dyDescent="0.3">
      <c r="A887" s="4" t="s">
        <v>5265</v>
      </c>
      <c r="B887" s="9" t="s">
        <v>3042</v>
      </c>
      <c r="C887" s="4" t="s">
        <v>5266</v>
      </c>
      <c r="D887" s="4" t="s">
        <v>2151</v>
      </c>
      <c r="E887" s="4" t="s">
        <v>5267</v>
      </c>
      <c r="F887" s="4" t="s">
        <v>5268</v>
      </c>
      <c r="G887" s="4" t="s">
        <v>251</v>
      </c>
      <c r="H887" s="4" t="s">
        <v>252</v>
      </c>
      <c r="I887" s="4" t="s">
        <v>31</v>
      </c>
      <c r="J887" s="4" t="s">
        <v>5269</v>
      </c>
      <c r="K887" s="4" t="s">
        <v>33</v>
      </c>
      <c r="L887" s="4">
        <v>3</v>
      </c>
      <c r="M887" s="5">
        <v>125.96</v>
      </c>
      <c r="N887" s="4" t="s">
        <v>49</v>
      </c>
      <c r="O887" s="5">
        <v>18.89</v>
      </c>
      <c r="P887" s="5">
        <v>0</v>
      </c>
      <c r="Q887" s="5">
        <v>10.71</v>
      </c>
      <c r="R887" s="5">
        <v>117.78</v>
      </c>
      <c r="S887" s="4" t="s">
        <v>111</v>
      </c>
      <c r="T887" s="4" t="s">
        <v>36</v>
      </c>
      <c r="U887" s="4" t="s">
        <v>51</v>
      </c>
      <c r="V887" s="4" t="s">
        <v>744</v>
      </c>
      <c r="W887" s="5">
        <v>0</v>
      </c>
      <c r="X887" t="str">
        <f t="shared" si="39"/>
        <v>February</v>
      </c>
      <c r="Y887" t="str">
        <f t="shared" si="40"/>
        <v>Q1</v>
      </c>
      <c r="Z887" s="7">
        <f t="shared" si="41"/>
        <v>107.07</v>
      </c>
    </row>
    <row r="888" spans="1:26" x14ac:dyDescent="0.3">
      <c r="A888" s="2" t="s">
        <v>5270</v>
      </c>
      <c r="B888" s="8" t="s">
        <v>930</v>
      </c>
      <c r="C888" s="2" t="s">
        <v>5271</v>
      </c>
      <c r="D888" s="2" t="s">
        <v>3374</v>
      </c>
      <c r="E888" s="2" t="s">
        <v>5272</v>
      </c>
      <c r="F888" s="2" t="s">
        <v>5273</v>
      </c>
      <c r="G888" s="2" t="s">
        <v>1730</v>
      </c>
      <c r="H888" s="2" t="s">
        <v>161</v>
      </c>
      <c r="I888" s="2" t="s">
        <v>31</v>
      </c>
      <c r="J888" s="2" t="s">
        <v>191</v>
      </c>
      <c r="K888" s="2" t="s">
        <v>77</v>
      </c>
      <c r="L888" s="2">
        <v>1</v>
      </c>
      <c r="M888" s="3">
        <v>24.99</v>
      </c>
      <c r="N888" s="2" t="s">
        <v>49</v>
      </c>
      <c r="O888" s="3">
        <v>3.75</v>
      </c>
      <c r="P888" s="3">
        <v>4.99</v>
      </c>
      <c r="Q888" s="3">
        <v>2.12</v>
      </c>
      <c r="R888" s="3">
        <v>28.35</v>
      </c>
      <c r="S888" s="2" t="s">
        <v>35</v>
      </c>
      <c r="T888" s="2" t="s">
        <v>36</v>
      </c>
      <c r="U888" s="2" t="s">
        <v>66</v>
      </c>
      <c r="V888" s="2" t="s">
        <v>1631</v>
      </c>
      <c r="W888" s="3">
        <v>0</v>
      </c>
      <c r="X888" t="str">
        <f t="shared" si="39"/>
        <v>October</v>
      </c>
      <c r="Y888" t="str">
        <f t="shared" si="40"/>
        <v>Q4</v>
      </c>
      <c r="Z888" s="7">
        <f t="shared" si="41"/>
        <v>21.24</v>
      </c>
    </row>
    <row r="889" spans="1:26" x14ac:dyDescent="0.3">
      <c r="A889" s="4" t="s">
        <v>5274</v>
      </c>
      <c r="B889" s="9" t="s">
        <v>2210</v>
      </c>
      <c r="C889" s="4" t="s">
        <v>5275</v>
      </c>
      <c r="D889" s="4" t="s">
        <v>2596</v>
      </c>
      <c r="E889" s="4" t="s">
        <v>5276</v>
      </c>
      <c r="F889" s="4" t="s">
        <v>5277</v>
      </c>
      <c r="G889" s="4" t="s">
        <v>119</v>
      </c>
      <c r="H889" s="4" t="s">
        <v>120</v>
      </c>
      <c r="I889" s="4" t="s">
        <v>31</v>
      </c>
      <c r="J889" s="4" t="s">
        <v>5278</v>
      </c>
      <c r="K889" s="4" t="s">
        <v>143</v>
      </c>
      <c r="L889" s="4">
        <v>5</v>
      </c>
      <c r="M889" s="5">
        <v>383.93</v>
      </c>
      <c r="N889" s="4" t="s">
        <v>49</v>
      </c>
      <c r="O889" s="5">
        <v>57.59</v>
      </c>
      <c r="P889" s="5">
        <v>0</v>
      </c>
      <c r="Q889" s="5">
        <v>19.579999999999998</v>
      </c>
      <c r="R889" s="5">
        <v>345.92</v>
      </c>
      <c r="S889" s="4" t="s">
        <v>98</v>
      </c>
      <c r="T889" s="4" t="s">
        <v>36</v>
      </c>
      <c r="U889" s="4" t="s">
        <v>100</v>
      </c>
      <c r="V889" s="4"/>
      <c r="W889" s="5">
        <v>0</v>
      </c>
      <c r="X889" t="str">
        <f t="shared" si="39"/>
        <v>September</v>
      </c>
      <c r="Y889" t="str">
        <f t="shared" si="40"/>
        <v>Q3</v>
      </c>
      <c r="Z889" s="7">
        <f t="shared" si="41"/>
        <v>326.34000000000003</v>
      </c>
    </row>
    <row r="890" spans="1:26" x14ac:dyDescent="0.3">
      <c r="A890" s="2" t="s">
        <v>5279</v>
      </c>
      <c r="B890" s="8" t="s">
        <v>54</v>
      </c>
      <c r="C890" s="2" t="s">
        <v>5280</v>
      </c>
      <c r="D890" s="2" t="s">
        <v>5236</v>
      </c>
      <c r="E890" s="2" t="s">
        <v>5281</v>
      </c>
      <c r="F890" s="2" t="s">
        <v>5282</v>
      </c>
      <c r="G890" s="2" t="s">
        <v>802</v>
      </c>
      <c r="H890" s="2" t="s">
        <v>88</v>
      </c>
      <c r="I890" s="2" t="s">
        <v>31</v>
      </c>
      <c r="J890" s="2" t="s">
        <v>5283</v>
      </c>
      <c r="K890" s="2" t="s">
        <v>48</v>
      </c>
      <c r="L890" s="2">
        <v>3</v>
      </c>
      <c r="M890" s="3">
        <v>144.97</v>
      </c>
      <c r="N890" s="2" t="s">
        <v>34</v>
      </c>
      <c r="O890" s="3">
        <v>0</v>
      </c>
      <c r="P890" s="3">
        <v>0</v>
      </c>
      <c r="Q890" s="3">
        <v>12.32</v>
      </c>
      <c r="R890" s="3">
        <v>157.29</v>
      </c>
      <c r="S890" s="2" t="s">
        <v>332</v>
      </c>
      <c r="T890" s="2" t="s">
        <v>99</v>
      </c>
      <c r="U890" s="2" t="s">
        <v>317</v>
      </c>
      <c r="V890" s="2"/>
      <c r="W890" s="3">
        <v>0</v>
      </c>
      <c r="X890" t="str">
        <f t="shared" si="39"/>
        <v>July</v>
      </c>
      <c r="Y890" t="str">
        <f t="shared" si="40"/>
        <v>Q3</v>
      </c>
      <c r="Z890" s="7">
        <f t="shared" si="41"/>
        <v>144.97</v>
      </c>
    </row>
    <row r="891" spans="1:26" x14ac:dyDescent="0.3">
      <c r="A891" s="4" t="s">
        <v>5284</v>
      </c>
      <c r="B891" s="9" t="s">
        <v>3438</v>
      </c>
      <c r="C891" s="4" t="s">
        <v>5285</v>
      </c>
      <c r="D891" s="4" t="s">
        <v>5286</v>
      </c>
      <c r="E891" s="4" t="s">
        <v>5287</v>
      </c>
      <c r="F891" s="4" t="s">
        <v>5288</v>
      </c>
      <c r="G891" s="4" t="s">
        <v>160</v>
      </c>
      <c r="H891" s="4" t="s">
        <v>161</v>
      </c>
      <c r="I891" s="4" t="s">
        <v>31</v>
      </c>
      <c r="J891" s="4" t="s">
        <v>5289</v>
      </c>
      <c r="K891" s="4" t="s">
        <v>62</v>
      </c>
      <c r="L891" s="4">
        <v>2</v>
      </c>
      <c r="M891" s="5">
        <v>77.97</v>
      </c>
      <c r="N891" s="4" t="s">
        <v>34</v>
      </c>
      <c r="O891" s="5">
        <v>0</v>
      </c>
      <c r="P891" s="5">
        <v>0</v>
      </c>
      <c r="Q891" s="5">
        <v>4.68</v>
      </c>
      <c r="R891" s="5">
        <v>82.65</v>
      </c>
      <c r="S891" s="4" t="s">
        <v>332</v>
      </c>
      <c r="T891" s="4" t="s">
        <v>325</v>
      </c>
      <c r="U891" s="4" t="s">
        <v>66</v>
      </c>
      <c r="V891" s="4" t="s">
        <v>256</v>
      </c>
      <c r="W891" s="5">
        <v>0</v>
      </c>
      <c r="X891" t="str">
        <f t="shared" si="39"/>
        <v>June</v>
      </c>
      <c r="Y891" t="str">
        <f t="shared" si="40"/>
        <v>Q2</v>
      </c>
      <c r="Z891" s="7">
        <f t="shared" si="41"/>
        <v>77.97</v>
      </c>
    </row>
    <row r="892" spans="1:26" x14ac:dyDescent="0.3">
      <c r="A892" s="2" t="s">
        <v>5290</v>
      </c>
      <c r="B892" s="8" t="s">
        <v>284</v>
      </c>
      <c r="C892" s="2" t="s">
        <v>5291</v>
      </c>
      <c r="D892" s="2" t="s">
        <v>5292</v>
      </c>
      <c r="E892" s="2" t="s">
        <v>5293</v>
      </c>
      <c r="F892" s="2" t="s">
        <v>5294</v>
      </c>
      <c r="G892" s="2" t="s">
        <v>29</v>
      </c>
      <c r="H892" s="2" t="s">
        <v>30</v>
      </c>
      <c r="I892" s="2" t="s">
        <v>31</v>
      </c>
      <c r="J892" s="2" t="s">
        <v>1232</v>
      </c>
      <c r="K892" s="2" t="s">
        <v>77</v>
      </c>
      <c r="L892" s="2">
        <v>1</v>
      </c>
      <c r="M892" s="3">
        <v>34.99</v>
      </c>
      <c r="N892" s="2" t="s">
        <v>163</v>
      </c>
      <c r="O892" s="3">
        <v>7</v>
      </c>
      <c r="P892" s="3">
        <v>5.99</v>
      </c>
      <c r="Q892" s="3">
        <v>2.52</v>
      </c>
      <c r="R892" s="3">
        <v>36.5</v>
      </c>
      <c r="S892" s="2" t="s">
        <v>35</v>
      </c>
      <c r="T892" s="2" t="s">
        <v>99</v>
      </c>
      <c r="U892" s="2" t="s">
        <v>66</v>
      </c>
      <c r="V892" s="2" t="s">
        <v>372</v>
      </c>
      <c r="W892" s="3">
        <v>0</v>
      </c>
      <c r="X892" t="str">
        <f t="shared" si="39"/>
        <v>March</v>
      </c>
      <c r="Y892" t="str">
        <f t="shared" si="40"/>
        <v>Q1</v>
      </c>
      <c r="Z892" s="7">
        <f t="shared" si="41"/>
        <v>27.990000000000002</v>
      </c>
    </row>
    <row r="893" spans="1:26" x14ac:dyDescent="0.3">
      <c r="A893" s="4" t="s">
        <v>5295</v>
      </c>
      <c r="B893" s="9" t="s">
        <v>3475</v>
      </c>
      <c r="C893" s="4" t="s">
        <v>5296</v>
      </c>
      <c r="D893" s="4" t="s">
        <v>5297</v>
      </c>
      <c r="E893" s="4" t="s">
        <v>5298</v>
      </c>
      <c r="F893" s="4" t="s">
        <v>5299</v>
      </c>
      <c r="G893" s="4" t="s">
        <v>692</v>
      </c>
      <c r="H893" s="4" t="s">
        <v>693</v>
      </c>
      <c r="I893" s="4" t="s">
        <v>31</v>
      </c>
      <c r="J893" s="4" t="s">
        <v>1269</v>
      </c>
      <c r="K893" s="4" t="s">
        <v>77</v>
      </c>
      <c r="L893" s="4">
        <v>1</v>
      </c>
      <c r="M893" s="5">
        <v>27.99</v>
      </c>
      <c r="N893" s="4" t="s">
        <v>34</v>
      </c>
      <c r="O893" s="5">
        <v>0</v>
      </c>
      <c r="P893" s="5">
        <v>9.99</v>
      </c>
      <c r="Q893" s="5">
        <v>1.68</v>
      </c>
      <c r="R893" s="5">
        <v>39.659999999999997</v>
      </c>
      <c r="S893" s="4" t="s">
        <v>35</v>
      </c>
      <c r="T893" s="4" t="s">
        <v>99</v>
      </c>
      <c r="U893" s="4" t="s">
        <v>66</v>
      </c>
      <c r="V893" s="4" t="s">
        <v>478</v>
      </c>
      <c r="W893" s="5">
        <v>0</v>
      </c>
      <c r="X893" t="str">
        <f t="shared" si="39"/>
        <v>May</v>
      </c>
      <c r="Y893" t="str">
        <f t="shared" si="40"/>
        <v>Q2</v>
      </c>
      <c r="Z893" s="7">
        <f t="shared" si="41"/>
        <v>27.99</v>
      </c>
    </row>
    <row r="894" spans="1:26" x14ac:dyDescent="0.3">
      <c r="A894" s="2" t="s">
        <v>5300</v>
      </c>
      <c r="B894" s="8" t="s">
        <v>2723</v>
      </c>
      <c r="C894" s="2" t="s">
        <v>5301</v>
      </c>
      <c r="D894" s="2" t="s">
        <v>3667</v>
      </c>
      <c r="E894" s="2" t="s">
        <v>5302</v>
      </c>
      <c r="F894" s="2" t="s">
        <v>5303</v>
      </c>
      <c r="G894" s="2" t="s">
        <v>87</v>
      </c>
      <c r="H894" s="2" t="s">
        <v>88</v>
      </c>
      <c r="I894" s="2" t="s">
        <v>31</v>
      </c>
      <c r="J894" s="2" t="s">
        <v>5304</v>
      </c>
      <c r="K894" s="2" t="s">
        <v>62</v>
      </c>
      <c r="L894" s="2">
        <v>2</v>
      </c>
      <c r="M894" s="3">
        <v>104.96</v>
      </c>
      <c r="N894" s="2" t="s">
        <v>152</v>
      </c>
      <c r="O894" s="3">
        <v>5.25</v>
      </c>
      <c r="P894" s="3">
        <v>0</v>
      </c>
      <c r="Q894" s="3">
        <v>7.98</v>
      </c>
      <c r="R894" s="3">
        <v>107.69</v>
      </c>
      <c r="S894" s="2" t="s">
        <v>111</v>
      </c>
      <c r="T894" s="2" t="s">
        <v>99</v>
      </c>
      <c r="U894" s="2" t="s">
        <v>37</v>
      </c>
      <c r="V894" s="2" t="s">
        <v>1215</v>
      </c>
      <c r="W894" s="3">
        <v>107.69</v>
      </c>
      <c r="X894" t="str">
        <f t="shared" si="39"/>
        <v>September</v>
      </c>
      <c r="Y894" t="str">
        <f t="shared" si="40"/>
        <v>Q3</v>
      </c>
      <c r="Z894" s="7">
        <f t="shared" si="41"/>
        <v>99.71</v>
      </c>
    </row>
    <row r="895" spans="1:26" x14ac:dyDescent="0.3">
      <c r="A895" s="4" t="s">
        <v>5305</v>
      </c>
      <c r="B895" s="9" t="s">
        <v>328</v>
      </c>
      <c r="C895" s="4" t="s">
        <v>5306</v>
      </c>
      <c r="D895" s="4" t="s">
        <v>1562</v>
      </c>
      <c r="E895" s="4" t="s">
        <v>5307</v>
      </c>
      <c r="F895" s="4" t="s">
        <v>5308</v>
      </c>
      <c r="G895" s="4" t="s">
        <v>224</v>
      </c>
      <c r="H895" s="4" t="s">
        <v>225</v>
      </c>
      <c r="I895" s="4" t="s">
        <v>31</v>
      </c>
      <c r="J895" s="4" t="s">
        <v>5309</v>
      </c>
      <c r="K895" s="4" t="s">
        <v>62</v>
      </c>
      <c r="L895" s="4">
        <v>2</v>
      </c>
      <c r="M895" s="5">
        <v>121.96</v>
      </c>
      <c r="N895" s="4" t="s">
        <v>34</v>
      </c>
      <c r="O895" s="5">
        <v>0</v>
      </c>
      <c r="P895" s="5">
        <v>0</v>
      </c>
      <c r="Q895" s="5">
        <v>10.37</v>
      </c>
      <c r="R895" s="5">
        <v>132.33000000000001</v>
      </c>
      <c r="S895" s="4" t="s">
        <v>35</v>
      </c>
      <c r="T895" s="4" t="s">
        <v>183</v>
      </c>
      <c r="U895" s="4" t="s">
        <v>100</v>
      </c>
      <c r="V895" s="4"/>
      <c r="W895" s="5">
        <v>0</v>
      </c>
      <c r="X895" t="str">
        <f t="shared" si="39"/>
        <v>April</v>
      </c>
      <c r="Y895" t="str">
        <f t="shared" si="40"/>
        <v>Q2</v>
      </c>
      <c r="Z895" s="7">
        <f t="shared" si="41"/>
        <v>121.96</v>
      </c>
    </row>
    <row r="896" spans="1:26" x14ac:dyDescent="0.3">
      <c r="A896" s="2" t="s">
        <v>5310</v>
      </c>
      <c r="B896" s="8" t="s">
        <v>744</v>
      </c>
      <c r="C896" s="2" t="s">
        <v>5311</v>
      </c>
      <c r="D896" s="2" t="s">
        <v>5312</v>
      </c>
      <c r="E896" s="2" t="s">
        <v>5313</v>
      </c>
      <c r="F896" s="2" t="s">
        <v>5314</v>
      </c>
      <c r="G896" s="2" t="s">
        <v>160</v>
      </c>
      <c r="H896" s="2" t="s">
        <v>161</v>
      </c>
      <c r="I896" s="2" t="s">
        <v>31</v>
      </c>
      <c r="J896" s="2" t="s">
        <v>5315</v>
      </c>
      <c r="K896" s="2" t="s">
        <v>364</v>
      </c>
      <c r="L896" s="2">
        <v>2</v>
      </c>
      <c r="M896" s="3">
        <v>94.97</v>
      </c>
      <c r="N896" s="2" t="s">
        <v>34</v>
      </c>
      <c r="O896" s="3">
        <v>0</v>
      </c>
      <c r="P896" s="3">
        <v>0</v>
      </c>
      <c r="Q896" s="3">
        <v>5.7</v>
      </c>
      <c r="R896" s="3">
        <v>100.67</v>
      </c>
      <c r="S896" s="2" t="s">
        <v>123</v>
      </c>
      <c r="T896" s="2" t="s">
        <v>173</v>
      </c>
      <c r="U896" s="2" t="s">
        <v>66</v>
      </c>
      <c r="V896" s="2" t="s">
        <v>1490</v>
      </c>
      <c r="W896" s="3">
        <v>0</v>
      </c>
      <c r="X896" t="str">
        <f t="shared" si="39"/>
        <v>February</v>
      </c>
      <c r="Y896" t="str">
        <f t="shared" si="40"/>
        <v>Q1</v>
      </c>
      <c r="Z896" s="7">
        <f t="shared" si="41"/>
        <v>94.97</v>
      </c>
    </row>
    <row r="897" spans="1:26" x14ac:dyDescent="0.3">
      <c r="A897" s="4" t="s">
        <v>5316</v>
      </c>
      <c r="B897" s="9" t="s">
        <v>496</v>
      </c>
      <c r="C897" s="4" t="s">
        <v>5317</v>
      </c>
      <c r="D897" s="4" t="s">
        <v>4005</v>
      </c>
      <c r="E897" s="4" t="s">
        <v>5318</v>
      </c>
      <c r="F897" s="4" t="s">
        <v>5319</v>
      </c>
      <c r="G897" s="4" t="s">
        <v>291</v>
      </c>
      <c r="H897" s="4" t="s">
        <v>292</v>
      </c>
      <c r="I897" s="4" t="s">
        <v>31</v>
      </c>
      <c r="J897" s="4" t="s">
        <v>661</v>
      </c>
      <c r="K897" s="4" t="s">
        <v>143</v>
      </c>
      <c r="L897" s="4">
        <v>1</v>
      </c>
      <c r="M897" s="5">
        <v>79.989999999999995</v>
      </c>
      <c r="N897" s="4" t="s">
        <v>78</v>
      </c>
      <c r="O897" s="5">
        <v>8</v>
      </c>
      <c r="P897" s="5">
        <v>0</v>
      </c>
      <c r="Q897" s="5">
        <v>5.76</v>
      </c>
      <c r="R897" s="5">
        <v>77.75</v>
      </c>
      <c r="S897" s="4" t="s">
        <v>35</v>
      </c>
      <c r="T897" s="4" t="s">
        <v>99</v>
      </c>
      <c r="U897" s="4" t="s">
        <v>66</v>
      </c>
      <c r="V897" s="4" t="s">
        <v>192</v>
      </c>
      <c r="W897" s="5">
        <v>0</v>
      </c>
      <c r="X897" t="str">
        <f t="shared" si="39"/>
        <v>August</v>
      </c>
      <c r="Y897" t="str">
        <f t="shared" si="40"/>
        <v>Q3</v>
      </c>
      <c r="Z897" s="7">
        <f t="shared" si="41"/>
        <v>71.989999999999995</v>
      </c>
    </row>
    <row r="898" spans="1:26" x14ac:dyDescent="0.3">
      <c r="A898" s="2" t="s">
        <v>5320</v>
      </c>
      <c r="B898" s="8" t="s">
        <v>2149</v>
      </c>
      <c r="C898" s="2" t="s">
        <v>5321</v>
      </c>
      <c r="D898" s="2" t="s">
        <v>4435</v>
      </c>
      <c r="E898" s="2" t="s">
        <v>5322</v>
      </c>
      <c r="F898" s="2" t="s">
        <v>5323</v>
      </c>
      <c r="G898" s="2" t="s">
        <v>692</v>
      </c>
      <c r="H898" s="2" t="s">
        <v>693</v>
      </c>
      <c r="I898" s="2" t="s">
        <v>31</v>
      </c>
      <c r="J898" s="2" t="s">
        <v>5324</v>
      </c>
      <c r="K898" s="2" t="s">
        <v>209</v>
      </c>
      <c r="L898" s="2">
        <v>2</v>
      </c>
      <c r="M898" s="3">
        <v>79.97</v>
      </c>
      <c r="N898" s="2" t="s">
        <v>78</v>
      </c>
      <c r="O898" s="3">
        <v>8</v>
      </c>
      <c r="P898" s="3">
        <v>0</v>
      </c>
      <c r="Q898" s="3">
        <v>6.12</v>
      </c>
      <c r="R898" s="3">
        <v>78.09</v>
      </c>
      <c r="S898" s="2" t="s">
        <v>35</v>
      </c>
      <c r="T898" s="2" t="s">
        <v>99</v>
      </c>
      <c r="U898" s="2" t="s">
        <v>51</v>
      </c>
      <c r="V898" s="2" t="s">
        <v>696</v>
      </c>
      <c r="W898" s="3">
        <v>0</v>
      </c>
      <c r="X898" t="str">
        <f t="shared" si="39"/>
        <v>February</v>
      </c>
      <c r="Y898" t="str">
        <f t="shared" si="40"/>
        <v>Q1</v>
      </c>
      <c r="Z898" s="7">
        <f t="shared" si="41"/>
        <v>71.97</v>
      </c>
    </row>
    <row r="899" spans="1:26" x14ac:dyDescent="0.3">
      <c r="A899" s="4" t="s">
        <v>5325</v>
      </c>
      <c r="B899" s="9" t="s">
        <v>82</v>
      </c>
      <c r="C899" s="4" t="s">
        <v>5326</v>
      </c>
      <c r="D899" s="4" t="s">
        <v>5327</v>
      </c>
      <c r="E899" s="4" t="s">
        <v>5328</v>
      </c>
      <c r="F899" s="4" t="s">
        <v>5329</v>
      </c>
      <c r="G899" s="4" t="s">
        <v>74</v>
      </c>
      <c r="H899" s="4" t="s">
        <v>75</v>
      </c>
      <c r="I899" s="4" t="s">
        <v>31</v>
      </c>
      <c r="J899" s="4" t="s">
        <v>1695</v>
      </c>
      <c r="K899" s="4" t="s">
        <v>33</v>
      </c>
      <c r="L899" s="4">
        <v>1</v>
      </c>
      <c r="M899" s="5">
        <v>71.98</v>
      </c>
      <c r="N899" s="4" t="s">
        <v>152</v>
      </c>
      <c r="O899" s="5">
        <v>3.6</v>
      </c>
      <c r="P899" s="5">
        <v>4.99</v>
      </c>
      <c r="Q899" s="5">
        <v>4.0999999999999996</v>
      </c>
      <c r="R899" s="5">
        <v>77.47</v>
      </c>
      <c r="S899" s="4" t="s">
        <v>64</v>
      </c>
      <c r="T899" s="4" t="s">
        <v>173</v>
      </c>
      <c r="U899" s="4" t="s">
        <v>66</v>
      </c>
      <c r="V899" s="4" t="s">
        <v>219</v>
      </c>
      <c r="W899" s="5">
        <v>0</v>
      </c>
      <c r="X899" t="str">
        <f t="shared" ref="X899:X962" si="42">TEXT(B899,"MMMM")</f>
        <v>May</v>
      </c>
      <c r="Y899" t="str">
        <f t="shared" ref="Y899:Y962" si="43">IF(MONTH(B899)&lt;=3,"Q1",IF(MONTH(B899)&lt;=6,"Q2",IF(MONTH(B899)&lt;=9,"Q3","Q4")))</f>
        <v>Q2</v>
      </c>
      <c r="Z899" s="7">
        <f t="shared" ref="Z899:Z962" si="44">M899-O899</f>
        <v>68.38000000000001</v>
      </c>
    </row>
    <row r="900" spans="1:26" x14ac:dyDescent="0.3">
      <c r="A900" s="2" t="s">
        <v>5330</v>
      </c>
      <c r="B900" s="8" t="s">
        <v>891</v>
      </c>
      <c r="C900" s="2" t="s">
        <v>5331</v>
      </c>
      <c r="D900" s="2" t="s">
        <v>2455</v>
      </c>
      <c r="E900" s="2" t="s">
        <v>5332</v>
      </c>
      <c r="F900" s="2" t="s">
        <v>5333</v>
      </c>
      <c r="G900" s="2" t="s">
        <v>251</v>
      </c>
      <c r="H900" s="2" t="s">
        <v>252</v>
      </c>
      <c r="I900" s="2" t="s">
        <v>31</v>
      </c>
      <c r="J900" s="2" t="s">
        <v>632</v>
      </c>
      <c r="K900" s="2" t="s">
        <v>33</v>
      </c>
      <c r="L900" s="2">
        <v>1</v>
      </c>
      <c r="M900" s="3">
        <v>49.99</v>
      </c>
      <c r="N900" s="2" t="s">
        <v>63</v>
      </c>
      <c r="O900" s="3">
        <v>12.5</v>
      </c>
      <c r="P900" s="3">
        <v>7.99</v>
      </c>
      <c r="Q900" s="3">
        <v>3</v>
      </c>
      <c r="R900" s="3">
        <v>48.48</v>
      </c>
      <c r="S900" s="2" t="s">
        <v>35</v>
      </c>
      <c r="T900" s="2" t="s">
        <v>99</v>
      </c>
      <c r="U900" s="2" t="s">
        <v>66</v>
      </c>
      <c r="V900" s="2" t="s">
        <v>897</v>
      </c>
      <c r="W900" s="3">
        <v>0</v>
      </c>
      <c r="X900" t="str">
        <f t="shared" si="42"/>
        <v>May</v>
      </c>
      <c r="Y900" t="str">
        <f t="shared" si="43"/>
        <v>Q2</v>
      </c>
      <c r="Z900" s="7">
        <f t="shared" si="44"/>
        <v>37.49</v>
      </c>
    </row>
    <row r="901" spans="1:26" x14ac:dyDescent="0.3">
      <c r="A901" s="4" t="s">
        <v>5334</v>
      </c>
      <c r="B901" s="9" t="s">
        <v>663</v>
      </c>
      <c r="C901" s="4" t="s">
        <v>5335</v>
      </c>
      <c r="D901" s="4" t="s">
        <v>2449</v>
      </c>
      <c r="E901" s="4" t="s">
        <v>5336</v>
      </c>
      <c r="F901" s="4" t="s">
        <v>5337</v>
      </c>
      <c r="G901" s="4" t="s">
        <v>323</v>
      </c>
      <c r="H901" s="4" t="s">
        <v>324</v>
      </c>
      <c r="I901" s="4" t="s">
        <v>31</v>
      </c>
      <c r="J901" s="4" t="s">
        <v>5338</v>
      </c>
      <c r="K901" s="4" t="s">
        <v>77</v>
      </c>
      <c r="L901" s="4">
        <v>3</v>
      </c>
      <c r="M901" s="5">
        <v>172.96</v>
      </c>
      <c r="N901" s="4" t="s">
        <v>63</v>
      </c>
      <c r="O901" s="5">
        <v>43.24</v>
      </c>
      <c r="P901" s="5">
        <v>0</v>
      </c>
      <c r="Q901" s="5">
        <v>11.03</v>
      </c>
      <c r="R901" s="5">
        <v>140.75</v>
      </c>
      <c r="S901" s="4" t="s">
        <v>123</v>
      </c>
      <c r="T901" s="4" t="s">
        <v>99</v>
      </c>
      <c r="U901" s="4" t="s">
        <v>66</v>
      </c>
      <c r="V901" s="4" t="s">
        <v>1321</v>
      </c>
      <c r="W901" s="5">
        <v>0</v>
      </c>
      <c r="X901" t="str">
        <f t="shared" si="42"/>
        <v>March</v>
      </c>
      <c r="Y901" t="str">
        <f t="shared" si="43"/>
        <v>Q1</v>
      </c>
      <c r="Z901" s="7">
        <f t="shared" si="44"/>
        <v>129.72</v>
      </c>
    </row>
    <row r="902" spans="1:26" x14ac:dyDescent="0.3">
      <c r="A902" s="2" t="s">
        <v>5339</v>
      </c>
      <c r="B902" s="8" t="s">
        <v>1640</v>
      </c>
      <c r="C902" s="2" t="s">
        <v>5340</v>
      </c>
      <c r="D902" s="2" t="s">
        <v>2235</v>
      </c>
      <c r="E902" s="2" t="s">
        <v>5341</v>
      </c>
      <c r="F902" s="2" t="s">
        <v>5342</v>
      </c>
      <c r="G902" s="2" t="s">
        <v>107</v>
      </c>
      <c r="H902" s="2" t="s">
        <v>108</v>
      </c>
      <c r="I902" s="2" t="s">
        <v>31</v>
      </c>
      <c r="J902" s="2" t="s">
        <v>5343</v>
      </c>
      <c r="K902" s="2" t="s">
        <v>143</v>
      </c>
      <c r="L902" s="2">
        <v>2</v>
      </c>
      <c r="M902" s="3">
        <v>199.98</v>
      </c>
      <c r="N902" s="2" t="s">
        <v>34</v>
      </c>
      <c r="O902" s="3">
        <v>0</v>
      </c>
      <c r="P902" s="3">
        <v>0</v>
      </c>
      <c r="Q902" s="3">
        <v>17</v>
      </c>
      <c r="R902" s="3">
        <v>216.98</v>
      </c>
      <c r="S902" s="2" t="s">
        <v>35</v>
      </c>
      <c r="T902" s="2" t="s">
        <v>99</v>
      </c>
      <c r="U902" s="2" t="s">
        <v>66</v>
      </c>
      <c r="V902" s="2" t="s">
        <v>1713</v>
      </c>
      <c r="W902" s="3">
        <v>0</v>
      </c>
      <c r="X902" t="str">
        <f t="shared" si="42"/>
        <v>October</v>
      </c>
      <c r="Y902" t="str">
        <f t="shared" si="43"/>
        <v>Q4</v>
      </c>
      <c r="Z902" s="7">
        <f t="shared" si="44"/>
        <v>199.98</v>
      </c>
    </row>
    <row r="903" spans="1:26" x14ac:dyDescent="0.3">
      <c r="A903" s="4" t="s">
        <v>5344</v>
      </c>
      <c r="B903" s="9" t="s">
        <v>1334</v>
      </c>
      <c r="C903" s="4" t="s">
        <v>5345</v>
      </c>
      <c r="D903" s="4" t="s">
        <v>4231</v>
      </c>
      <c r="E903" s="4" t="s">
        <v>5346</v>
      </c>
      <c r="F903" s="4" t="s">
        <v>5347</v>
      </c>
      <c r="G903" s="4" t="s">
        <v>224</v>
      </c>
      <c r="H903" s="4" t="s">
        <v>225</v>
      </c>
      <c r="I903" s="4" t="s">
        <v>31</v>
      </c>
      <c r="J903" s="4" t="s">
        <v>5348</v>
      </c>
      <c r="K903" s="4" t="s">
        <v>209</v>
      </c>
      <c r="L903" s="4">
        <v>2</v>
      </c>
      <c r="M903" s="5">
        <v>82.98</v>
      </c>
      <c r="N903" s="4" t="s">
        <v>34</v>
      </c>
      <c r="O903" s="5">
        <v>0</v>
      </c>
      <c r="P903" s="5">
        <v>0</v>
      </c>
      <c r="Q903" s="5">
        <v>7.05</v>
      </c>
      <c r="R903" s="5">
        <v>90.03</v>
      </c>
      <c r="S903" s="4" t="s">
        <v>64</v>
      </c>
      <c r="T903" s="4" t="s">
        <v>36</v>
      </c>
      <c r="U903" s="4" t="s">
        <v>100</v>
      </c>
      <c r="V903" s="4"/>
      <c r="W903" s="5">
        <v>0</v>
      </c>
      <c r="X903" t="str">
        <f t="shared" si="42"/>
        <v>January</v>
      </c>
      <c r="Y903" t="str">
        <f t="shared" si="43"/>
        <v>Q1</v>
      </c>
      <c r="Z903" s="7">
        <f t="shared" si="44"/>
        <v>82.98</v>
      </c>
    </row>
    <row r="904" spans="1:26" x14ac:dyDescent="0.3">
      <c r="A904" s="2" t="s">
        <v>5349</v>
      </c>
      <c r="B904" s="8" t="s">
        <v>1088</v>
      </c>
      <c r="C904" s="2" t="s">
        <v>5350</v>
      </c>
      <c r="D904" s="2" t="s">
        <v>5351</v>
      </c>
      <c r="E904" s="2" t="s">
        <v>5352</v>
      </c>
      <c r="F904" s="2" t="s">
        <v>5353</v>
      </c>
      <c r="G904" s="2" t="s">
        <v>403</v>
      </c>
      <c r="H904" s="2" t="s">
        <v>404</v>
      </c>
      <c r="I904" s="2" t="s">
        <v>31</v>
      </c>
      <c r="J904" s="2" t="s">
        <v>5354</v>
      </c>
      <c r="K904" s="2" t="s">
        <v>62</v>
      </c>
      <c r="L904" s="2">
        <v>3</v>
      </c>
      <c r="M904" s="3">
        <v>159.96</v>
      </c>
      <c r="N904" s="2" t="s">
        <v>63</v>
      </c>
      <c r="O904" s="3">
        <v>39.99</v>
      </c>
      <c r="P904" s="3">
        <v>0</v>
      </c>
      <c r="Q904" s="3">
        <v>10.8</v>
      </c>
      <c r="R904" s="3">
        <v>130.77000000000001</v>
      </c>
      <c r="S904" s="2" t="s">
        <v>332</v>
      </c>
      <c r="T904" s="2" t="s">
        <v>99</v>
      </c>
      <c r="U904" s="2" t="s">
        <v>66</v>
      </c>
      <c r="V904" s="2" t="s">
        <v>309</v>
      </c>
      <c r="W904" s="3">
        <v>0</v>
      </c>
      <c r="X904" t="str">
        <f t="shared" si="42"/>
        <v>April</v>
      </c>
      <c r="Y904" t="str">
        <f t="shared" si="43"/>
        <v>Q2</v>
      </c>
      <c r="Z904" s="7">
        <f t="shared" si="44"/>
        <v>119.97</v>
      </c>
    </row>
    <row r="905" spans="1:26" x14ac:dyDescent="0.3">
      <c r="A905" s="4" t="s">
        <v>5355</v>
      </c>
      <c r="B905" s="9" t="s">
        <v>4141</v>
      </c>
      <c r="C905" s="4" t="s">
        <v>5356</v>
      </c>
      <c r="D905" s="4" t="s">
        <v>3326</v>
      </c>
      <c r="E905" s="4" t="s">
        <v>5357</v>
      </c>
      <c r="F905" s="4" t="s">
        <v>5358</v>
      </c>
      <c r="G905" s="4" t="s">
        <v>1183</v>
      </c>
      <c r="H905" s="4" t="s">
        <v>88</v>
      </c>
      <c r="I905" s="4" t="s">
        <v>31</v>
      </c>
      <c r="J905" s="4" t="s">
        <v>371</v>
      </c>
      <c r="K905" s="4" t="s">
        <v>122</v>
      </c>
      <c r="L905" s="4">
        <v>1</v>
      </c>
      <c r="M905" s="5">
        <v>109.99</v>
      </c>
      <c r="N905" s="4" t="s">
        <v>34</v>
      </c>
      <c r="O905" s="5">
        <v>0</v>
      </c>
      <c r="P905" s="5">
        <v>0</v>
      </c>
      <c r="Q905" s="5">
        <v>7.7</v>
      </c>
      <c r="R905" s="5">
        <v>117.69</v>
      </c>
      <c r="S905" s="4" t="s">
        <v>64</v>
      </c>
      <c r="T905" s="4" t="s">
        <v>36</v>
      </c>
      <c r="U905" s="4" t="s">
        <v>66</v>
      </c>
      <c r="V905" s="4" t="s">
        <v>335</v>
      </c>
      <c r="W905" s="5">
        <v>0</v>
      </c>
      <c r="X905" t="str">
        <f t="shared" si="42"/>
        <v>September</v>
      </c>
      <c r="Y905" t="str">
        <f t="shared" si="43"/>
        <v>Q3</v>
      </c>
      <c r="Z905" s="7">
        <f t="shared" si="44"/>
        <v>109.99</v>
      </c>
    </row>
    <row r="906" spans="1:26" x14ac:dyDescent="0.3">
      <c r="A906" s="2" t="s">
        <v>5359</v>
      </c>
      <c r="B906" s="8" t="s">
        <v>311</v>
      </c>
      <c r="C906" s="2" t="s">
        <v>5360</v>
      </c>
      <c r="D906" s="2" t="s">
        <v>5361</v>
      </c>
      <c r="E906" s="2" t="s">
        <v>5362</v>
      </c>
      <c r="F906" s="2" t="s">
        <v>5363</v>
      </c>
      <c r="G906" s="2" t="s">
        <v>403</v>
      </c>
      <c r="H906" s="2" t="s">
        <v>404</v>
      </c>
      <c r="I906" s="2" t="s">
        <v>31</v>
      </c>
      <c r="J906" s="2" t="s">
        <v>5364</v>
      </c>
      <c r="K906" s="2" t="s">
        <v>209</v>
      </c>
      <c r="L906" s="2">
        <v>3</v>
      </c>
      <c r="M906" s="3">
        <v>303.95999999999998</v>
      </c>
      <c r="N906" s="2" t="s">
        <v>78</v>
      </c>
      <c r="O906" s="3">
        <v>30.4</v>
      </c>
      <c r="P906" s="3">
        <v>0</v>
      </c>
      <c r="Q906" s="3">
        <v>21.88</v>
      </c>
      <c r="R906" s="3">
        <v>295.44</v>
      </c>
      <c r="S906" s="2" t="s">
        <v>35</v>
      </c>
      <c r="T906" s="2" t="s">
        <v>65</v>
      </c>
      <c r="U906" s="2" t="s">
        <v>317</v>
      </c>
      <c r="V906" s="2"/>
      <c r="W906" s="3">
        <v>0</v>
      </c>
      <c r="X906" t="str">
        <f t="shared" si="42"/>
        <v>June</v>
      </c>
      <c r="Y906" t="str">
        <f t="shared" si="43"/>
        <v>Q2</v>
      </c>
      <c r="Z906" s="7">
        <f t="shared" si="44"/>
        <v>273.56</v>
      </c>
    </row>
    <row r="907" spans="1:26" x14ac:dyDescent="0.3">
      <c r="A907" s="4" t="s">
        <v>5365</v>
      </c>
      <c r="B907" s="9" t="s">
        <v>1334</v>
      </c>
      <c r="C907" s="4" t="s">
        <v>5366</v>
      </c>
      <c r="D907" s="4" t="s">
        <v>5367</v>
      </c>
      <c r="E907" s="4" t="s">
        <v>5368</v>
      </c>
      <c r="F907" s="4" t="s">
        <v>5369</v>
      </c>
      <c r="G907" s="4" t="s">
        <v>347</v>
      </c>
      <c r="H907" s="4" t="s">
        <v>60</v>
      </c>
      <c r="I907" s="4" t="s">
        <v>31</v>
      </c>
      <c r="J907" s="4" t="s">
        <v>47</v>
      </c>
      <c r="K907" s="4" t="s">
        <v>48</v>
      </c>
      <c r="L907" s="4">
        <v>1</v>
      </c>
      <c r="M907" s="5">
        <v>42.99</v>
      </c>
      <c r="N907" s="4" t="s">
        <v>78</v>
      </c>
      <c r="O907" s="5">
        <v>4.3</v>
      </c>
      <c r="P907" s="5">
        <v>7.99</v>
      </c>
      <c r="Q907" s="5">
        <v>3.48</v>
      </c>
      <c r="R907" s="5">
        <v>50.16</v>
      </c>
      <c r="S907" s="4" t="s">
        <v>64</v>
      </c>
      <c r="T907" s="4" t="s">
        <v>99</v>
      </c>
      <c r="U907" s="4" t="s">
        <v>66</v>
      </c>
      <c r="V907" s="4" t="s">
        <v>1176</v>
      </c>
      <c r="W907" s="5">
        <v>0</v>
      </c>
      <c r="X907" t="str">
        <f t="shared" si="42"/>
        <v>January</v>
      </c>
      <c r="Y907" t="str">
        <f t="shared" si="43"/>
        <v>Q1</v>
      </c>
      <c r="Z907" s="7">
        <f t="shared" si="44"/>
        <v>38.690000000000005</v>
      </c>
    </row>
    <row r="908" spans="1:26" x14ac:dyDescent="0.3">
      <c r="A908" s="2" t="s">
        <v>5370</v>
      </c>
      <c r="B908" s="8" t="s">
        <v>5044</v>
      </c>
      <c r="C908" s="2" t="s">
        <v>5371</v>
      </c>
      <c r="D908" s="2" t="s">
        <v>5372</v>
      </c>
      <c r="E908" s="2" t="s">
        <v>5373</v>
      </c>
      <c r="F908" s="2" t="s">
        <v>5374</v>
      </c>
      <c r="G908" s="2" t="s">
        <v>74</v>
      </c>
      <c r="H908" s="2" t="s">
        <v>75</v>
      </c>
      <c r="I908" s="2" t="s">
        <v>31</v>
      </c>
      <c r="J908" s="2" t="s">
        <v>5375</v>
      </c>
      <c r="K908" s="2" t="s">
        <v>62</v>
      </c>
      <c r="L908" s="2">
        <v>2</v>
      </c>
      <c r="M908" s="3">
        <v>229.96</v>
      </c>
      <c r="N908" s="2" t="s">
        <v>78</v>
      </c>
      <c r="O908" s="3">
        <v>23</v>
      </c>
      <c r="P908" s="3">
        <v>0</v>
      </c>
      <c r="Q908" s="3">
        <v>14.49</v>
      </c>
      <c r="R908" s="3">
        <v>221.45</v>
      </c>
      <c r="S908" s="2" t="s">
        <v>64</v>
      </c>
      <c r="T908" s="2" t="s">
        <v>173</v>
      </c>
      <c r="U908" s="2" t="s">
        <v>66</v>
      </c>
      <c r="V908" s="2" t="s">
        <v>54</v>
      </c>
      <c r="W908" s="3">
        <v>0</v>
      </c>
      <c r="X908" t="str">
        <f t="shared" si="42"/>
        <v>July</v>
      </c>
      <c r="Y908" t="str">
        <f t="shared" si="43"/>
        <v>Q3</v>
      </c>
      <c r="Z908" s="7">
        <f t="shared" si="44"/>
        <v>206.96</v>
      </c>
    </row>
    <row r="909" spans="1:26" x14ac:dyDescent="0.3">
      <c r="A909" s="4" t="s">
        <v>5376</v>
      </c>
      <c r="B909" s="9" t="s">
        <v>1215</v>
      </c>
      <c r="C909" s="4" t="s">
        <v>5377</v>
      </c>
      <c r="D909" s="4" t="s">
        <v>5378</v>
      </c>
      <c r="E909" s="4" t="s">
        <v>5379</v>
      </c>
      <c r="F909" s="4" t="s">
        <v>5380</v>
      </c>
      <c r="G909" s="4" t="s">
        <v>224</v>
      </c>
      <c r="H909" s="4" t="s">
        <v>225</v>
      </c>
      <c r="I909" s="4" t="s">
        <v>31</v>
      </c>
      <c r="J909" s="4" t="s">
        <v>1232</v>
      </c>
      <c r="K909" s="4" t="s">
        <v>77</v>
      </c>
      <c r="L909" s="4">
        <v>1</v>
      </c>
      <c r="M909" s="5">
        <v>34.99</v>
      </c>
      <c r="N909" s="4" t="s">
        <v>34</v>
      </c>
      <c r="O909" s="5">
        <v>0</v>
      </c>
      <c r="P909" s="5">
        <v>7.99</v>
      </c>
      <c r="Q909" s="5">
        <v>2.4500000000000002</v>
      </c>
      <c r="R909" s="5">
        <v>45.43</v>
      </c>
      <c r="S909" s="4" t="s">
        <v>35</v>
      </c>
      <c r="T909" s="4" t="s">
        <v>99</v>
      </c>
      <c r="U909" s="4" t="s">
        <v>51</v>
      </c>
      <c r="V909" s="4" t="s">
        <v>1102</v>
      </c>
      <c r="W909" s="5">
        <v>0</v>
      </c>
      <c r="X909" t="str">
        <f t="shared" si="42"/>
        <v>September</v>
      </c>
      <c r="Y909" t="str">
        <f t="shared" si="43"/>
        <v>Q3</v>
      </c>
      <c r="Z909" s="7">
        <f t="shared" si="44"/>
        <v>34.99</v>
      </c>
    </row>
    <row r="910" spans="1:26" x14ac:dyDescent="0.3">
      <c r="A910" s="2" t="s">
        <v>5381</v>
      </c>
      <c r="B910" s="8" t="s">
        <v>633</v>
      </c>
      <c r="C910" s="2" t="s">
        <v>5382</v>
      </c>
      <c r="D910" s="2" t="s">
        <v>5383</v>
      </c>
      <c r="E910" s="2" t="s">
        <v>5384</v>
      </c>
      <c r="F910" s="2" t="s">
        <v>5385</v>
      </c>
      <c r="G910" s="2" t="s">
        <v>29</v>
      </c>
      <c r="H910" s="2" t="s">
        <v>30</v>
      </c>
      <c r="I910" s="2" t="s">
        <v>31</v>
      </c>
      <c r="J910" s="2" t="s">
        <v>217</v>
      </c>
      <c r="K910" s="2" t="s">
        <v>110</v>
      </c>
      <c r="L910" s="2">
        <v>1</v>
      </c>
      <c r="M910" s="3">
        <v>22.99</v>
      </c>
      <c r="N910" s="2" t="s">
        <v>163</v>
      </c>
      <c r="O910" s="3">
        <v>4.5999999999999996</v>
      </c>
      <c r="P910" s="3">
        <v>4.99</v>
      </c>
      <c r="Q910" s="3">
        <v>1.66</v>
      </c>
      <c r="R910" s="3">
        <v>25.04</v>
      </c>
      <c r="S910" s="2" t="s">
        <v>35</v>
      </c>
      <c r="T910" s="2" t="s">
        <v>325</v>
      </c>
      <c r="U910" s="2" t="s">
        <v>66</v>
      </c>
      <c r="V910" s="2" t="s">
        <v>2950</v>
      </c>
      <c r="W910" s="3">
        <v>0</v>
      </c>
      <c r="X910" t="str">
        <f t="shared" si="42"/>
        <v>February</v>
      </c>
      <c r="Y910" t="str">
        <f t="shared" si="43"/>
        <v>Q1</v>
      </c>
      <c r="Z910" s="7">
        <f t="shared" si="44"/>
        <v>18.39</v>
      </c>
    </row>
    <row r="911" spans="1:26" x14ac:dyDescent="0.3">
      <c r="A911" s="4" t="s">
        <v>5386</v>
      </c>
      <c r="B911" s="9" t="s">
        <v>2963</v>
      </c>
      <c r="C911" s="4" t="s">
        <v>5387</v>
      </c>
      <c r="D911" s="4" t="s">
        <v>5388</v>
      </c>
      <c r="E911" s="4" t="s">
        <v>5389</v>
      </c>
      <c r="F911" s="4" t="s">
        <v>5390</v>
      </c>
      <c r="G911" s="4" t="s">
        <v>140</v>
      </c>
      <c r="H911" s="4" t="s">
        <v>141</v>
      </c>
      <c r="I911" s="4" t="s">
        <v>31</v>
      </c>
      <c r="J911" s="4" t="s">
        <v>5391</v>
      </c>
      <c r="K911" s="4" t="s">
        <v>62</v>
      </c>
      <c r="L911" s="4">
        <v>4</v>
      </c>
      <c r="M911" s="5">
        <v>330.93</v>
      </c>
      <c r="N911" s="4" t="s">
        <v>78</v>
      </c>
      <c r="O911" s="5">
        <v>33.090000000000003</v>
      </c>
      <c r="P911" s="5">
        <v>0</v>
      </c>
      <c r="Q911" s="5">
        <v>25.32</v>
      </c>
      <c r="R911" s="5">
        <v>323.16000000000003</v>
      </c>
      <c r="S911" s="4" t="s">
        <v>35</v>
      </c>
      <c r="T911" s="4" t="s">
        <v>50</v>
      </c>
      <c r="U911" s="4" t="s">
        <v>317</v>
      </c>
      <c r="V911" s="4"/>
      <c r="W911" s="5">
        <v>0</v>
      </c>
      <c r="X911" t="str">
        <f t="shared" si="42"/>
        <v>January</v>
      </c>
      <c r="Y911" t="str">
        <f t="shared" si="43"/>
        <v>Q1</v>
      </c>
      <c r="Z911" s="7">
        <f t="shared" si="44"/>
        <v>297.84000000000003</v>
      </c>
    </row>
    <row r="912" spans="1:26" x14ac:dyDescent="0.3">
      <c r="A912" s="2" t="s">
        <v>5392</v>
      </c>
      <c r="B912" s="8" t="s">
        <v>2957</v>
      </c>
      <c r="C912" s="2" t="s">
        <v>5393</v>
      </c>
      <c r="D912" s="2" t="s">
        <v>5394</v>
      </c>
      <c r="E912" s="2" t="s">
        <v>5395</v>
      </c>
      <c r="F912" s="2" t="s">
        <v>5396</v>
      </c>
      <c r="G912" s="2" t="s">
        <v>207</v>
      </c>
      <c r="H912" s="2" t="s">
        <v>141</v>
      </c>
      <c r="I912" s="2" t="s">
        <v>31</v>
      </c>
      <c r="J912" s="2" t="s">
        <v>5397</v>
      </c>
      <c r="K912" s="2" t="s">
        <v>209</v>
      </c>
      <c r="L912" s="2">
        <v>5</v>
      </c>
      <c r="M912" s="3">
        <v>269.94</v>
      </c>
      <c r="N912" s="2" t="s">
        <v>49</v>
      </c>
      <c r="O912" s="3">
        <v>40.49</v>
      </c>
      <c r="P912" s="3">
        <v>0</v>
      </c>
      <c r="Q912" s="3">
        <v>18.36</v>
      </c>
      <c r="R912" s="3">
        <v>247.81</v>
      </c>
      <c r="S912" s="2" t="s">
        <v>123</v>
      </c>
      <c r="T912" s="2" t="s">
        <v>144</v>
      </c>
      <c r="U912" s="2" t="s">
        <v>66</v>
      </c>
      <c r="V912" s="2" t="s">
        <v>2285</v>
      </c>
      <c r="W912" s="3">
        <v>0</v>
      </c>
      <c r="X912" t="str">
        <f t="shared" si="42"/>
        <v>January</v>
      </c>
      <c r="Y912" t="str">
        <f t="shared" si="43"/>
        <v>Q1</v>
      </c>
      <c r="Z912" s="7">
        <f t="shared" si="44"/>
        <v>229.45</v>
      </c>
    </row>
    <row r="913" spans="1:26" x14ac:dyDescent="0.3">
      <c r="A913" s="4" t="s">
        <v>5398</v>
      </c>
      <c r="B913" s="9" t="s">
        <v>349</v>
      </c>
      <c r="C913" s="4" t="s">
        <v>5399</v>
      </c>
      <c r="D913" s="4" t="s">
        <v>4176</v>
      </c>
      <c r="E913" s="4" t="s">
        <v>5400</v>
      </c>
      <c r="F913" s="4" t="s">
        <v>5401</v>
      </c>
      <c r="G913" s="4" t="s">
        <v>282</v>
      </c>
      <c r="H913" s="4" t="s">
        <v>88</v>
      </c>
      <c r="I913" s="4" t="s">
        <v>31</v>
      </c>
      <c r="J913" s="4" t="s">
        <v>5402</v>
      </c>
      <c r="K913" s="4" t="s">
        <v>209</v>
      </c>
      <c r="L913" s="4">
        <v>3</v>
      </c>
      <c r="M913" s="5">
        <v>249.96</v>
      </c>
      <c r="N913" s="4" t="s">
        <v>63</v>
      </c>
      <c r="O913" s="5">
        <v>62.49</v>
      </c>
      <c r="P913" s="5">
        <v>0</v>
      </c>
      <c r="Q913" s="5">
        <v>18.75</v>
      </c>
      <c r="R913" s="5">
        <v>206.22</v>
      </c>
      <c r="S913" s="4" t="s">
        <v>332</v>
      </c>
      <c r="T913" s="4" t="s">
        <v>99</v>
      </c>
      <c r="U913" s="4" t="s">
        <v>37</v>
      </c>
      <c r="V913" s="4" t="s">
        <v>1036</v>
      </c>
      <c r="W913" s="5">
        <v>206.22</v>
      </c>
      <c r="X913" t="str">
        <f t="shared" si="42"/>
        <v>August</v>
      </c>
      <c r="Y913" t="str">
        <f t="shared" si="43"/>
        <v>Q3</v>
      </c>
      <c r="Z913" s="7">
        <f t="shared" si="44"/>
        <v>187.47</v>
      </c>
    </row>
    <row r="914" spans="1:26" x14ac:dyDescent="0.3">
      <c r="A914" s="2" t="s">
        <v>5403</v>
      </c>
      <c r="B914" s="8" t="s">
        <v>415</v>
      </c>
      <c r="C914" s="2" t="s">
        <v>5404</v>
      </c>
      <c r="D914" s="2" t="s">
        <v>4267</v>
      </c>
      <c r="E914" s="2" t="s">
        <v>5405</v>
      </c>
      <c r="F914" s="2" t="s">
        <v>5406</v>
      </c>
      <c r="G914" s="2" t="s">
        <v>131</v>
      </c>
      <c r="H914" s="2" t="s">
        <v>88</v>
      </c>
      <c r="I914" s="2" t="s">
        <v>31</v>
      </c>
      <c r="J914" s="2" t="s">
        <v>132</v>
      </c>
      <c r="K914" s="2" t="s">
        <v>48</v>
      </c>
      <c r="L914" s="2">
        <v>1</v>
      </c>
      <c r="M914" s="3">
        <v>129.97999999999999</v>
      </c>
      <c r="N914" s="2" t="s">
        <v>34</v>
      </c>
      <c r="O914" s="3">
        <v>0</v>
      </c>
      <c r="P914" s="3">
        <v>0</v>
      </c>
      <c r="Q914" s="3">
        <v>11.7</v>
      </c>
      <c r="R914" s="3">
        <v>141.68</v>
      </c>
      <c r="S914" s="2" t="s">
        <v>64</v>
      </c>
      <c r="T914" s="2" t="s">
        <v>99</v>
      </c>
      <c r="U914" s="2" t="s">
        <v>66</v>
      </c>
      <c r="V914" s="2" t="s">
        <v>1477</v>
      </c>
      <c r="W914" s="3">
        <v>0</v>
      </c>
      <c r="X914" t="str">
        <f t="shared" si="42"/>
        <v>June</v>
      </c>
      <c r="Y914" t="str">
        <f t="shared" si="43"/>
        <v>Q2</v>
      </c>
      <c r="Z914" s="7">
        <f t="shared" si="44"/>
        <v>129.97999999999999</v>
      </c>
    </row>
    <row r="915" spans="1:26" x14ac:dyDescent="0.3">
      <c r="A915" s="4" t="s">
        <v>5407</v>
      </c>
      <c r="B915" s="9" t="s">
        <v>2532</v>
      </c>
      <c r="C915" s="4" t="s">
        <v>5408</v>
      </c>
      <c r="D915" s="4" t="s">
        <v>2701</v>
      </c>
      <c r="E915" s="4" t="s">
        <v>5409</v>
      </c>
      <c r="F915" s="4" t="s">
        <v>5410</v>
      </c>
      <c r="G915" s="4" t="s">
        <v>180</v>
      </c>
      <c r="H915" s="4" t="s">
        <v>181</v>
      </c>
      <c r="I915" s="4" t="s">
        <v>31</v>
      </c>
      <c r="J915" s="4" t="s">
        <v>5411</v>
      </c>
      <c r="K915" s="4" t="s">
        <v>209</v>
      </c>
      <c r="L915" s="4">
        <v>3</v>
      </c>
      <c r="M915" s="5">
        <v>389.95</v>
      </c>
      <c r="N915" s="4" t="s">
        <v>34</v>
      </c>
      <c r="O915" s="5">
        <v>0</v>
      </c>
      <c r="P915" s="5">
        <v>0</v>
      </c>
      <c r="Q915" s="5">
        <v>31.2</v>
      </c>
      <c r="R915" s="5">
        <v>421.15</v>
      </c>
      <c r="S915" s="4" t="s">
        <v>35</v>
      </c>
      <c r="T915" s="4" t="s">
        <v>50</v>
      </c>
      <c r="U915" s="4" t="s">
        <v>317</v>
      </c>
      <c r="V915" s="4"/>
      <c r="W915" s="5">
        <v>0</v>
      </c>
      <c r="X915" t="str">
        <f t="shared" si="42"/>
        <v>November</v>
      </c>
      <c r="Y915" t="str">
        <f t="shared" si="43"/>
        <v>Q4</v>
      </c>
      <c r="Z915" s="7">
        <f t="shared" si="44"/>
        <v>389.95</v>
      </c>
    </row>
    <row r="916" spans="1:26" x14ac:dyDescent="0.3">
      <c r="A916" s="2" t="s">
        <v>5412</v>
      </c>
      <c r="B916" s="8" t="s">
        <v>1294</v>
      </c>
      <c r="C916" s="2" t="s">
        <v>5413</v>
      </c>
      <c r="D916" s="2" t="s">
        <v>3087</v>
      </c>
      <c r="E916" s="2" t="s">
        <v>5414</v>
      </c>
      <c r="F916" s="2" t="s">
        <v>5415</v>
      </c>
      <c r="G916" s="2" t="s">
        <v>802</v>
      </c>
      <c r="H916" s="2" t="s">
        <v>88</v>
      </c>
      <c r="I916" s="2" t="s">
        <v>31</v>
      </c>
      <c r="J916" s="2" t="s">
        <v>5416</v>
      </c>
      <c r="K916" s="2" t="s">
        <v>209</v>
      </c>
      <c r="L916" s="2">
        <v>3</v>
      </c>
      <c r="M916" s="3">
        <v>274.95</v>
      </c>
      <c r="N916" s="2" t="s">
        <v>49</v>
      </c>
      <c r="O916" s="3">
        <v>41.24</v>
      </c>
      <c r="P916" s="3">
        <v>0</v>
      </c>
      <c r="Q916" s="3">
        <v>19.87</v>
      </c>
      <c r="R916" s="3">
        <v>253.58</v>
      </c>
      <c r="S916" s="2" t="s">
        <v>111</v>
      </c>
      <c r="T916" s="2" t="s">
        <v>99</v>
      </c>
      <c r="U916" s="2" t="s">
        <v>66</v>
      </c>
      <c r="V916" s="2" t="s">
        <v>1823</v>
      </c>
      <c r="W916" s="3">
        <v>0</v>
      </c>
      <c r="X916" t="str">
        <f t="shared" si="42"/>
        <v>October</v>
      </c>
      <c r="Y916" t="str">
        <f t="shared" si="43"/>
        <v>Q4</v>
      </c>
      <c r="Z916" s="7">
        <f t="shared" si="44"/>
        <v>233.70999999999998</v>
      </c>
    </row>
    <row r="917" spans="1:26" x14ac:dyDescent="0.3">
      <c r="A917" s="4" t="s">
        <v>5417</v>
      </c>
      <c r="B917" s="9" t="s">
        <v>663</v>
      </c>
      <c r="C917" s="4" t="s">
        <v>5418</v>
      </c>
      <c r="D917" s="4" t="s">
        <v>5419</v>
      </c>
      <c r="E917" s="4" t="s">
        <v>5420</v>
      </c>
      <c r="F917" s="4" t="s">
        <v>5421</v>
      </c>
      <c r="G917" s="4" t="s">
        <v>29</v>
      </c>
      <c r="H917" s="4" t="s">
        <v>30</v>
      </c>
      <c r="I917" s="4" t="s">
        <v>31</v>
      </c>
      <c r="J917" s="4" t="s">
        <v>5422</v>
      </c>
      <c r="K917" s="4" t="s">
        <v>122</v>
      </c>
      <c r="L917" s="4">
        <v>3</v>
      </c>
      <c r="M917" s="5">
        <v>194.96</v>
      </c>
      <c r="N917" s="4" t="s">
        <v>34</v>
      </c>
      <c r="O917" s="5">
        <v>0</v>
      </c>
      <c r="P917" s="5">
        <v>0</v>
      </c>
      <c r="Q917" s="5">
        <v>16.57</v>
      </c>
      <c r="R917" s="5">
        <v>211.53</v>
      </c>
      <c r="S917" s="4" t="s">
        <v>64</v>
      </c>
      <c r="T917" s="4" t="s">
        <v>173</v>
      </c>
      <c r="U917" s="4" t="s">
        <v>100</v>
      </c>
      <c r="V917" s="4"/>
      <c r="W917" s="5">
        <v>0</v>
      </c>
      <c r="X917" t="str">
        <f t="shared" si="42"/>
        <v>March</v>
      </c>
      <c r="Y917" t="str">
        <f t="shared" si="43"/>
        <v>Q1</v>
      </c>
      <c r="Z917" s="7">
        <f t="shared" si="44"/>
        <v>194.96</v>
      </c>
    </row>
    <row r="918" spans="1:26" x14ac:dyDescent="0.3">
      <c r="A918" s="2" t="s">
        <v>5423</v>
      </c>
      <c r="B918" s="8" t="s">
        <v>2963</v>
      </c>
      <c r="C918" s="2" t="s">
        <v>5424</v>
      </c>
      <c r="D918" s="2" t="s">
        <v>5425</v>
      </c>
      <c r="E918" s="2" t="s">
        <v>5426</v>
      </c>
      <c r="F918" s="2" t="s">
        <v>5427</v>
      </c>
      <c r="G918" s="2" t="s">
        <v>640</v>
      </c>
      <c r="H918" s="2" t="s">
        <v>161</v>
      </c>
      <c r="I918" s="2" t="s">
        <v>31</v>
      </c>
      <c r="J918" s="2" t="s">
        <v>3682</v>
      </c>
      <c r="K918" s="2" t="s">
        <v>77</v>
      </c>
      <c r="L918" s="2">
        <v>1</v>
      </c>
      <c r="M918" s="3">
        <v>69.98</v>
      </c>
      <c r="N918" s="2" t="s">
        <v>34</v>
      </c>
      <c r="O918" s="3">
        <v>0</v>
      </c>
      <c r="P918" s="3">
        <v>9.99</v>
      </c>
      <c r="Q918" s="3">
        <v>4.9000000000000004</v>
      </c>
      <c r="R918" s="3">
        <v>84.87</v>
      </c>
      <c r="S918" s="2" t="s">
        <v>35</v>
      </c>
      <c r="T918" s="2" t="s">
        <v>99</v>
      </c>
      <c r="U918" s="2" t="s">
        <v>37</v>
      </c>
      <c r="V918" s="2" t="s">
        <v>572</v>
      </c>
      <c r="W918" s="3">
        <v>84.87</v>
      </c>
      <c r="X918" t="str">
        <f t="shared" si="42"/>
        <v>January</v>
      </c>
      <c r="Y918" t="str">
        <f t="shared" si="43"/>
        <v>Q1</v>
      </c>
      <c r="Z918" s="7">
        <f t="shared" si="44"/>
        <v>69.98</v>
      </c>
    </row>
    <row r="919" spans="1:26" x14ac:dyDescent="0.3">
      <c r="A919" s="4" t="s">
        <v>5428</v>
      </c>
      <c r="B919" s="9" t="s">
        <v>2950</v>
      </c>
      <c r="C919" s="4" t="s">
        <v>5429</v>
      </c>
      <c r="D919" s="4" t="s">
        <v>3011</v>
      </c>
      <c r="E919" s="4" t="s">
        <v>5430</v>
      </c>
      <c r="F919" s="4" t="s">
        <v>5431</v>
      </c>
      <c r="G919" s="4" t="s">
        <v>107</v>
      </c>
      <c r="H919" s="4" t="s">
        <v>108</v>
      </c>
      <c r="I919" s="4" t="s">
        <v>31</v>
      </c>
      <c r="J919" s="4" t="s">
        <v>5432</v>
      </c>
      <c r="K919" s="4" t="s">
        <v>679</v>
      </c>
      <c r="L919" s="4">
        <v>2</v>
      </c>
      <c r="M919" s="5">
        <v>33.979999999999997</v>
      </c>
      <c r="N919" s="4" t="s">
        <v>34</v>
      </c>
      <c r="O919" s="5">
        <v>0</v>
      </c>
      <c r="P919" s="5">
        <v>7.99</v>
      </c>
      <c r="Q919" s="5">
        <v>3.06</v>
      </c>
      <c r="R919" s="5">
        <v>45.03</v>
      </c>
      <c r="S919" s="4" t="s">
        <v>64</v>
      </c>
      <c r="T919" s="4" t="s">
        <v>99</v>
      </c>
      <c r="U919" s="4" t="s">
        <v>66</v>
      </c>
      <c r="V919" s="4" t="s">
        <v>3042</v>
      </c>
      <c r="W919" s="5">
        <v>0</v>
      </c>
      <c r="X919" t="str">
        <f t="shared" si="42"/>
        <v>February</v>
      </c>
      <c r="Y919" t="str">
        <f t="shared" si="43"/>
        <v>Q1</v>
      </c>
      <c r="Z919" s="7">
        <f t="shared" si="44"/>
        <v>33.979999999999997</v>
      </c>
    </row>
    <row r="920" spans="1:26" x14ac:dyDescent="0.3">
      <c r="A920" s="2" t="s">
        <v>5433</v>
      </c>
      <c r="B920" s="8" t="s">
        <v>1976</v>
      </c>
      <c r="C920" s="2" t="s">
        <v>5434</v>
      </c>
      <c r="D920" s="2" t="s">
        <v>5435</v>
      </c>
      <c r="E920" s="2" t="s">
        <v>5436</v>
      </c>
      <c r="F920" s="2" t="s">
        <v>5437</v>
      </c>
      <c r="G920" s="2" t="s">
        <v>676</v>
      </c>
      <c r="H920" s="2" t="s">
        <v>677</v>
      </c>
      <c r="I920" s="2" t="s">
        <v>31</v>
      </c>
      <c r="J920" s="2" t="s">
        <v>5438</v>
      </c>
      <c r="K920" s="2" t="s">
        <v>110</v>
      </c>
      <c r="L920" s="2">
        <v>2</v>
      </c>
      <c r="M920" s="3">
        <v>55.98</v>
      </c>
      <c r="N920" s="2" t="s">
        <v>49</v>
      </c>
      <c r="O920" s="3">
        <v>8.4</v>
      </c>
      <c r="P920" s="3">
        <v>7.99</v>
      </c>
      <c r="Q920" s="3">
        <v>4.28</v>
      </c>
      <c r="R920" s="3">
        <v>59.85</v>
      </c>
      <c r="S920" s="2" t="s">
        <v>64</v>
      </c>
      <c r="T920" s="2" t="s">
        <v>144</v>
      </c>
      <c r="U920" s="2" t="s">
        <v>100</v>
      </c>
      <c r="V920" s="2"/>
      <c r="W920" s="3">
        <v>0</v>
      </c>
      <c r="X920" t="str">
        <f t="shared" si="42"/>
        <v>August</v>
      </c>
      <c r="Y920" t="str">
        <f t="shared" si="43"/>
        <v>Q3</v>
      </c>
      <c r="Z920" s="7">
        <f t="shared" si="44"/>
        <v>47.58</v>
      </c>
    </row>
    <row r="921" spans="1:26" x14ac:dyDescent="0.3">
      <c r="A921" s="4" t="s">
        <v>5439</v>
      </c>
      <c r="B921" s="9" t="s">
        <v>5203</v>
      </c>
      <c r="C921" s="4" t="s">
        <v>5440</v>
      </c>
      <c r="D921" s="4" t="s">
        <v>5441</v>
      </c>
      <c r="E921" s="4" t="s">
        <v>5442</v>
      </c>
      <c r="F921" s="4" t="s">
        <v>5443</v>
      </c>
      <c r="G921" s="4" t="s">
        <v>242</v>
      </c>
      <c r="H921" s="4" t="s">
        <v>243</v>
      </c>
      <c r="I921" s="4" t="s">
        <v>31</v>
      </c>
      <c r="J921" s="4" t="s">
        <v>191</v>
      </c>
      <c r="K921" s="4" t="s">
        <v>77</v>
      </c>
      <c r="L921" s="4">
        <v>1</v>
      </c>
      <c r="M921" s="5">
        <v>24.99</v>
      </c>
      <c r="N921" s="4" t="s">
        <v>78</v>
      </c>
      <c r="O921" s="5">
        <v>2.5</v>
      </c>
      <c r="P921" s="5">
        <v>4.99</v>
      </c>
      <c r="Q921" s="5">
        <v>2.02</v>
      </c>
      <c r="R921" s="5">
        <v>29.5</v>
      </c>
      <c r="S921" s="4" t="s">
        <v>111</v>
      </c>
      <c r="T921" s="4" t="s">
        <v>36</v>
      </c>
      <c r="U921" s="4" t="s">
        <v>66</v>
      </c>
      <c r="V921" s="4" t="s">
        <v>2584</v>
      </c>
      <c r="W921" s="5">
        <v>0</v>
      </c>
      <c r="X921" t="str">
        <f t="shared" si="42"/>
        <v>August</v>
      </c>
      <c r="Y921" t="str">
        <f t="shared" si="43"/>
        <v>Q3</v>
      </c>
      <c r="Z921" s="7">
        <f t="shared" si="44"/>
        <v>22.49</v>
      </c>
    </row>
    <row r="922" spans="1:26" x14ac:dyDescent="0.3">
      <c r="A922" s="2" t="s">
        <v>5444</v>
      </c>
      <c r="B922" s="8" t="s">
        <v>2865</v>
      </c>
      <c r="C922" s="2" t="s">
        <v>5445</v>
      </c>
      <c r="D922" s="2" t="s">
        <v>5446</v>
      </c>
      <c r="E922" s="2" t="s">
        <v>5447</v>
      </c>
      <c r="F922" s="2" t="s">
        <v>5448</v>
      </c>
      <c r="G922" s="2" t="s">
        <v>347</v>
      </c>
      <c r="H922" s="2" t="s">
        <v>60</v>
      </c>
      <c r="I922" s="2" t="s">
        <v>31</v>
      </c>
      <c r="J922" s="2" t="s">
        <v>5449</v>
      </c>
      <c r="K922" s="2" t="s">
        <v>209</v>
      </c>
      <c r="L922" s="2">
        <v>2</v>
      </c>
      <c r="M922" s="3">
        <v>69.98</v>
      </c>
      <c r="N922" s="2" t="s">
        <v>63</v>
      </c>
      <c r="O922" s="3">
        <v>17.5</v>
      </c>
      <c r="P922" s="3">
        <v>9.99</v>
      </c>
      <c r="Q922" s="3">
        <v>3.67</v>
      </c>
      <c r="R922" s="3">
        <v>66.14</v>
      </c>
      <c r="S922" s="2" t="s">
        <v>123</v>
      </c>
      <c r="T922" s="2" t="s">
        <v>99</v>
      </c>
      <c r="U922" s="2" t="s">
        <v>317</v>
      </c>
      <c r="V922" s="2"/>
      <c r="W922" s="3">
        <v>0</v>
      </c>
      <c r="X922" t="str">
        <f t="shared" si="42"/>
        <v>August</v>
      </c>
      <c r="Y922" t="str">
        <f t="shared" si="43"/>
        <v>Q3</v>
      </c>
      <c r="Z922" s="7">
        <f t="shared" si="44"/>
        <v>52.480000000000004</v>
      </c>
    </row>
    <row r="923" spans="1:26" x14ac:dyDescent="0.3">
      <c r="A923" s="4" t="s">
        <v>5450</v>
      </c>
      <c r="B923" s="9" t="s">
        <v>3311</v>
      </c>
      <c r="C923" s="4" t="s">
        <v>5451</v>
      </c>
      <c r="D923" s="4" t="s">
        <v>5452</v>
      </c>
      <c r="E923" s="4" t="s">
        <v>5453</v>
      </c>
      <c r="F923" s="4" t="s">
        <v>5454</v>
      </c>
      <c r="G923" s="4" t="s">
        <v>190</v>
      </c>
      <c r="H923" s="4" t="s">
        <v>161</v>
      </c>
      <c r="I923" s="4" t="s">
        <v>31</v>
      </c>
      <c r="J923" s="4" t="s">
        <v>5455</v>
      </c>
      <c r="K923" s="4" t="s">
        <v>77</v>
      </c>
      <c r="L923" s="4">
        <v>2</v>
      </c>
      <c r="M923" s="5">
        <v>124.97</v>
      </c>
      <c r="N923" s="4" t="s">
        <v>34</v>
      </c>
      <c r="O923" s="5">
        <v>0</v>
      </c>
      <c r="P923" s="5">
        <v>0</v>
      </c>
      <c r="Q923" s="5">
        <v>11.25</v>
      </c>
      <c r="R923" s="5">
        <v>136.22</v>
      </c>
      <c r="S923" s="4" t="s">
        <v>35</v>
      </c>
      <c r="T923" s="4" t="s">
        <v>65</v>
      </c>
      <c r="U923" s="4" t="s">
        <v>66</v>
      </c>
      <c r="V923" s="4" t="s">
        <v>413</v>
      </c>
      <c r="W923" s="5">
        <v>0</v>
      </c>
      <c r="X923" t="str">
        <f t="shared" si="42"/>
        <v>July</v>
      </c>
      <c r="Y923" t="str">
        <f t="shared" si="43"/>
        <v>Q3</v>
      </c>
      <c r="Z923" s="7">
        <f t="shared" si="44"/>
        <v>124.97</v>
      </c>
    </row>
    <row r="924" spans="1:26" x14ac:dyDescent="0.3">
      <c r="A924" s="2" t="s">
        <v>5456</v>
      </c>
      <c r="B924" s="8" t="s">
        <v>1329</v>
      </c>
      <c r="C924" s="2" t="s">
        <v>5457</v>
      </c>
      <c r="D924" s="2" t="s">
        <v>104</v>
      </c>
      <c r="E924" s="2" t="s">
        <v>5458</v>
      </c>
      <c r="F924" s="2" t="s">
        <v>5459</v>
      </c>
      <c r="G924" s="2" t="s">
        <v>291</v>
      </c>
      <c r="H924" s="2" t="s">
        <v>292</v>
      </c>
      <c r="I924" s="2" t="s">
        <v>31</v>
      </c>
      <c r="J924" s="2" t="s">
        <v>4902</v>
      </c>
      <c r="K924" s="2" t="s">
        <v>62</v>
      </c>
      <c r="L924" s="2">
        <v>2</v>
      </c>
      <c r="M924" s="3">
        <v>97.98</v>
      </c>
      <c r="N924" s="2" t="s">
        <v>78</v>
      </c>
      <c r="O924" s="3">
        <v>9.8000000000000007</v>
      </c>
      <c r="P924" s="3">
        <v>0</v>
      </c>
      <c r="Q924" s="3">
        <v>7.94</v>
      </c>
      <c r="R924" s="3">
        <v>96.12</v>
      </c>
      <c r="S924" s="2" t="s">
        <v>64</v>
      </c>
      <c r="T924" s="2" t="s">
        <v>173</v>
      </c>
      <c r="U924" s="2" t="s">
        <v>66</v>
      </c>
      <c r="V924" s="2" t="s">
        <v>1170</v>
      </c>
      <c r="W924" s="3">
        <v>0</v>
      </c>
      <c r="X924" t="str">
        <f t="shared" si="42"/>
        <v>January</v>
      </c>
      <c r="Y924" t="str">
        <f t="shared" si="43"/>
        <v>Q1</v>
      </c>
      <c r="Z924" s="7">
        <f t="shared" si="44"/>
        <v>88.18</v>
      </c>
    </row>
    <row r="925" spans="1:26" x14ac:dyDescent="0.3">
      <c r="A925" s="4" t="s">
        <v>5460</v>
      </c>
      <c r="B925" s="9" t="s">
        <v>92</v>
      </c>
      <c r="C925" s="4" t="s">
        <v>5461</v>
      </c>
      <c r="D925" s="4" t="s">
        <v>3867</v>
      </c>
      <c r="E925" s="4" t="s">
        <v>5462</v>
      </c>
      <c r="F925" s="4" t="s">
        <v>5463</v>
      </c>
      <c r="G925" s="4" t="s">
        <v>107</v>
      </c>
      <c r="H925" s="4" t="s">
        <v>108</v>
      </c>
      <c r="I925" s="4" t="s">
        <v>31</v>
      </c>
      <c r="J925" s="4" t="s">
        <v>1085</v>
      </c>
      <c r="K925" s="4" t="s">
        <v>364</v>
      </c>
      <c r="L925" s="4">
        <v>2</v>
      </c>
      <c r="M925" s="5">
        <v>59.98</v>
      </c>
      <c r="N925" s="4" t="s">
        <v>34</v>
      </c>
      <c r="O925" s="5">
        <v>0</v>
      </c>
      <c r="P925" s="5">
        <v>5.99</v>
      </c>
      <c r="Q925" s="5">
        <v>5.4</v>
      </c>
      <c r="R925" s="5">
        <v>71.37</v>
      </c>
      <c r="S925" s="4" t="s">
        <v>35</v>
      </c>
      <c r="T925" s="4" t="s">
        <v>99</v>
      </c>
      <c r="U925" s="4" t="s">
        <v>66</v>
      </c>
      <c r="V925" s="4" t="s">
        <v>1086</v>
      </c>
      <c r="W925" s="5">
        <v>0</v>
      </c>
      <c r="X925" t="str">
        <f t="shared" si="42"/>
        <v>August</v>
      </c>
      <c r="Y925" t="str">
        <f t="shared" si="43"/>
        <v>Q3</v>
      </c>
      <c r="Z925" s="7">
        <f t="shared" si="44"/>
        <v>59.98</v>
      </c>
    </row>
    <row r="926" spans="1:26" x14ac:dyDescent="0.3">
      <c r="A926" s="2" t="s">
        <v>5464</v>
      </c>
      <c r="B926" s="8" t="s">
        <v>1070</v>
      </c>
      <c r="C926" s="2" t="s">
        <v>5465</v>
      </c>
      <c r="D926" s="2" t="s">
        <v>5466</v>
      </c>
      <c r="E926" s="2" t="s">
        <v>5467</v>
      </c>
      <c r="F926" s="2" t="s">
        <v>5468</v>
      </c>
      <c r="G926" s="2" t="s">
        <v>140</v>
      </c>
      <c r="H926" s="2" t="s">
        <v>141</v>
      </c>
      <c r="I926" s="2" t="s">
        <v>31</v>
      </c>
      <c r="J926" s="2" t="s">
        <v>5469</v>
      </c>
      <c r="K926" s="2" t="s">
        <v>110</v>
      </c>
      <c r="L926" s="2">
        <v>2</v>
      </c>
      <c r="M926" s="3">
        <v>62.98</v>
      </c>
      <c r="N926" s="2" t="s">
        <v>34</v>
      </c>
      <c r="O926" s="3">
        <v>0</v>
      </c>
      <c r="P926" s="3">
        <v>9.99</v>
      </c>
      <c r="Q926" s="3">
        <v>4.41</v>
      </c>
      <c r="R926" s="3">
        <v>77.38</v>
      </c>
      <c r="S926" s="2" t="s">
        <v>35</v>
      </c>
      <c r="T926" s="2" t="s">
        <v>36</v>
      </c>
      <c r="U926" s="2" t="s">
        <v>37</v>
      </c>
      <c r="V926" s="2" t="s">
        <v>166</v>
      </c>
      <c r="W926" s="3">
        <v>77.38</v>
      </c>
      <c r="X926" t="str">
        <f t="shared" si="42"/>
        <v>November</v>
      </c>
      <c r="Y926" t="str">
        <f t="shared" si="43"/>
        <v>Q4</v>
      </c>
      <c r="Z926" s="7">
        <f t="shared" si="44"/>
        <v>62.98</v>
      </c>
    </row>
    <row r="927" spans="1:26" x14ac:dyDescent="0.3">
      <c r="A927" s="4" t="s">
        <v>5470</v>
      </c>
      <c r="B927" s="9" t="s">
        <v>806</v>
      </c>
      <c r="C927" s="4" t="s">
        <v>5471</v>
      </c>
      <c r="D927" s="4" t="s">
        <v>5472</v>
      </c>
      <c r="E927" s="4" t="s">
        <v>5473</v>
      </c>
      <c r="F927" s="4" t="s">
        <v>5474</v>
      </c>
      <c r="G927" s="4" t="s">
        <v>802</v>
      </c>
      <c r="H927" s="4" t="s">
        <v>88</v>
      </c>
      <c r="I927" s="4" t="s">
        <v>31</v>
      </c>
      <c r="J927" s="4" t="s">
        <v>632</v>
      </c>
      <c r="K927" s="4" t="s">
        <v>33</v>
      </c>
      <c r="L927" s="4">
        <v>1</v>
      </c>
      <c r="M927" s="5">
        <v>49.99</v>
      </c>
      <c r="N927" s="4" t="s">
        <v>152</v>
      </c>
      <c r="O927" s="5">
        <v>2.5</v>
      </c>
      <c r="P927" s="5">
        <v>7.99</v>
      </c>
      <c r="Q927" s="5">
        <v>2.85</v>
      </c>
      <c r="R927" s="5">
        <v>58.33</v>
      </c>
      <c r="S927" s="4" t="s">
        <v>35</v>
      </c>
      <c r="T927" s="4" t="s">
        <v>99</v>
      </c>
      <c r="U927" s="4" t="s">
        <v>37</v>
      </c>
      <c r="V927" s="4" t="s">
        <v>1539</v>
      </c>
      <c r="W927" s="5">
        <v>58.33</v>
      </c>
      <c r="X927" t="str">
        <f t="shared" si="42"/>
        <v>March</v>
      </c>
      <c r="Y927" t="str">
        <f t="shared" si="43"/>
        <v>Q1</v>
      </c>
      <c r="Z927" s="7">
        <f t="shared" si="44"/>
        <v>47.49</v>
      </c>
    </row>
    <row r="928" spans="1:26" x14ac:dyDescent="0.3">
      <c r="A928" s="2" t="s">
        <v>5475</v>
      </c>
      <c r="B928" s="8" t="s">
        <v>237</v>
      </c>
      <c r="C928" s="2" t="s">
        <v>5476</v>
      </c>
      <c r="D928" s="2" t="s">
        <v>3320</v>
      </c>
      <c r="E928" s="2" t="s">
        <v>5477</v>
      </c>
      <c r="F928" s="2" t="s">
        <v>5478</v>
      </c>
      <c r="G928" s="2" t="s">
        <v>107</v>
      </c>
      <c r="H928" s="2" t="s">
        <v>108</v>
      </c>
      <c r="I928" s="2" t="s">
        <v>31</v>
      </c>
      <c r="J928" s="2" t="s">
        <v>678</v>
      </c>
      <c r="K928" s="2" t="s">
        <v>679</v>
      </c>
      <c r="L928" s="2">
        <v>1</v>
      </c>
      <c r="M928" s="3">
        <v>14.99</v>
      </c>
      <c r="N928" s="2" t="s">
        <v>34</v>
      </c>
      <c r="O928" s="3">
        <v>0</v>
      </c>
      <c r="P928" s="3">
        <v>5.99</v>
      </c>
      <c r="Q928" s="3">
        <v>1.35</v>
      </c>
      <c r="R928" s="3">
        <v>22.33</v>
      </c>
      <c r="S928" s="2" t="s">
        <v>79</v>
      </c>
      <c r="T928" s="2" t="s">
        <v>36</v>
      </c>
      <c r="U928" s="2" t="s">
        <v>66</v>
      </c>
      <c r="V928" s="2" t="s">
        <v>619</v>
      </c>
      <c r="W928" s="3">
        <v>0</v>
      </c>
      <c r="X928" t="str">
        <f t="shared" si="42"/>
        <v>October</v>
      </c>
      <c r="Y928" t="str">
        <f t="shared" si="43"/>
        <v>Q4</v>
      </c>
      <c r="Z928" s="7">
        <f t="shared" si="44"/>
        <v>14.99</v>
      </c>
    </row>
    <row r="929" spans="1:26" x14ac:dyDescent="0.3">
      <c r="A929" s="4" t="s">
        <v>5479</v>
      </c>
      <c r="B929" s="9" t="s">
        <v>1976</v>
      </c>
      <c r="C929" s="4" t="s">
        <v>5480</v>
      </c>
      <c r="D929" s="4" t="s">
        <v>5481</v>
      </c>
      <c r="E929" s="4" t="s">
        <v>5482</v>
      </c>
      <c r="F929" s="4" t="s">
        <v>5483</v>
      </c>
      <c r="G929" s="4" t="s">
        <v>251</v>
      </c>
      <c r="H929" s="4" t="s">
        <v>252</v>
      </c>
      <c r="I929" s="4" t="s">
        <v>31</v>
      </c>
      <c r="J929" s="4" t="s">
        <v>1141</v>
      </c>
      <c r="K929" s="4" t="s">
        <v>122</v>
      </c>
      <c r="L929" s="4">
        <v>1</v>
      </c>
      <c r="M929" s="5">
        <v>74.989999999999995</v>
      </c>
      <c r="N929" s="4" t="s">
        <v>163</v>
      </c>
      <c r="O929" s="5">
        <v>15</v>
      </c>
      <c r="P929" s="5">
        <v>5.99</v>
      </c>
      <c r="Q929" s="5">
        <v>6</v>
      </c>
      <c r="R929" s="5">
        <v>71.98</v>
      </c>
      <c r="S929" s="4" t="s">
        <v>123</v>
      </c>
      <c r="T929" s="4" t="s">
        <v>65</v>
      </c>
      <c r="U929" s="4" t="s">
        <v>66</v>
      </c>
      <c r="V929" s="4" t="s">
        <v>296</v>
      </c>
      <c r="W929" s="5">
        <v>0</v>
      </c>
      <c r="X929" t="str">
        <f t="shared" si="42"/>
        <v>August</v>
      </c>
      <c r="Y929" t="str">
        <f t="shared" si="43"/>
        <v>Q3</v>
      </c>
      <c r="Z929" s="7">
        <f t="shared" si="44"/>
        <v>59.989999999999995</v>
      </c>
    </row>
    <row r="930" spans="1:26" x14ac:dyDescent="0.3">
      <c r="A930" s="2" t="s">
        <v>5484</v>
      </c>
      <c r="B930" s="8" t="s">
        <v>609</v>
      </c>
      <c r="C930" s="2" t="s">
        <v>5485</v>
      </c>
      <c r="D930" s="2" t="s">
        <v>5486</v>
      </c>
      <c r="E930" s="2" t="s">
        <v>5487</v>
      </c>
      <c r="F930" s="2" t="s">
        <v>5488</v>
      </c>
      <c r="G930" s="2" t="s">
        <v>29</v>
      </c>
      <c r="H930" s="2" t="s">
        <v>30</v>
      </c>
      <c r="I930" s="2" t="s">
        <v>31</v>
      </c>
      <c r="J930" s="2" t="s">
        <v>970</v>
      </c>
      <c r="K930" s="2" t="s">
        <v>209</v>
      </c>
      <c r="L930" s="2">
        <v>1</v>
      </c>
      <c r="M930" s="3">
        <v>149.97</v>
      </c>
      <c r="N930" s="2" t="s">
        <v>152</v>
      </c>
      <c r="O930" s="3">
        <v>7.5</v>
      </c>
      <c r="P930" s="3">
        <v>0</v>
      </c>
      <c r="Q930" s="3">
        <v>14.25</v>
      </c>
      <c r="R930" s="3">
        <v>156.72</v>
      </c>
      <c r="S930" s="2" t="s">
        <v>79</v>
      </c>
      <c r="T930" s="2" t="s">
        <v>99</v>
      </c>
      <c r="U930" s="2" t="s">
        <v>66</v>
      </c>
      <c r="V930" s="2" t="s">
        <v>1430</v>
      </c>
      <c r="W930" s="3">
        <v>0</v>
      </c>
      <c r="X930" t="str">
        <f t="shared" si="42"/>
        <v>December</v>
      </c>
      <c r="Y930" t="str">
        <f t="shared" si="43"/>
        <v>Q4</v>
      </c>
      <c r="Z930" s="7">
        <f t="shared" si="44"/>
        <v>142.47</v>
      </c>
    </row>
    <row r="931" spans="1:26" x14ac:dyDescent="0.3">
      <c r="A931" s="4" t="s">
        <v>5489</v>
      </c>
      <c r="B931" s="9" t="s">
        <v>542</v>
      </c>
      <c r="C931" s="4" t="s">
        <v>5490</v>
      </c>
      <c r="D931" s="4" t="s">
        <v>5491</v>
      </c>
      <c r="E931" s="4" t="s">
        <v>5492</v>
      </c>
      <c r="F931" s="4" t="s">
        <v>5493</v>
      </c>
      <c r="G931" s="4" t="s">
        <v>1183</v>
      </c>
      <c r="H931" s="4" t="s">
        <v>88</v>
      </c>
      <c r="I931" s="4" t="s">
        <v>31</v>
      </c>
      <c r="J931" s="4" t="s">
        <v>3130</v>
      </c>
      <c r="K931" s="4" t="s">
        <v>209</v>
      </c>
      <c r="L931" s="4">
        <v>1</v>
      </c>
      <c r="M931" s="5">
        <v>359.97</v>
      </c>
      <c r="N931" s="4" t="s">
        <v>78</v>
      </c>
      <c r="O931" s="5">
        <v>36</v>
      </c>
      <c r="P931" s="5">
        <v>0</v>
      </c>
      <c r="Q931" s="5">
        <v>25.92</v>
      </c>
      <c r="R931" s="5">
        <v>349.89</v>
      </c>
      <c r="S931" s="4" t="s">
        <v>64</v>
      </c>
      <c r="T931" s="4" t="s">
        <v>99</v>
      </c>
      <c r="U931" s="4" t="s">
        <v>51</v>
      </c>
      <c r="V931" s="4" t="s">
        <v>1580</v>
      </c>
      <c r="W931" s="5">
        <v>0</v>
      </c>
      <c r="X931" t="str">
        <f t="shared" si="42"/>
        <v>March</v>
      </c>
      <c r="Y931" t="str">
        <f t="shared" si="43"/>
        <v>Q1</v>
      </c>
      <c r="Z931" s="7">
        <f t="shared" si="44"/>
        <v>323.97000000000003</v>
      </c>
    </row>
    <row r="932" spans="1:26" x14ac:dyDescent="0.3">
      <c r="A932" s="2" t="s">
        <v>5494</v>
      </c>
      <c r="B932" s="8" t="s">
        <v>849</v>
      </c>
      <c r="C932" s="2" t="s">
        <v>5495</v>
      </c>
      <c r="D932" s="2" t="s">
        <v>5496</v>
      </c>
      <c r="E932" s="2" t="s">
        <v>5497</v>
      </c>
      <c r="F932" s="2" t="s">
        <v>5498</v>
      </c>
      <c r="G932" s="2" t="s">
        <v>251</v>
      </c>
      <c r="H932" s="2" t="s">
        <v>252</v>
      </c>
      <c r="I932" s="2" t="s">
        <v>31</v>
      </c>
      <c r="J932" s="2" t="s">
        <v>5499</v>
      </c>
      <c r="K932" s="2" t="s">
        <v>209</v>
      </c>
      <c r="L932" s="2">
        <v>2</v>
      </c>
      <c r="M932" s="3">
        <v>52.98</v>
      </c>
      <c r="N932" s="2" t="s">
        <v>34</v>
      </c>
      <c r="O932" s="3">
        <v>0</v>
      </c>
      <c r="P932" s="3">
        <v>9.99</v>
      </c>
      <c r="Q932" s="3">
        <v>3.71</v>
      </c>
      <c r="R932" s="3">
        <v>66.680000000000007</v>
      </c>
      <c r="S932" s="2" t="s">
        <v>332</v>
      </c>
      <c r="T932" s="2" t="s">
        <v>325</v>
      </c>
      <c r="U932" s="2" t="s">
        <v>51</v>
      </c>
      <c r="V932" s="2" t="s">
        <v>3092</v>
      </c>
      <c r="W932" s="3">
        <v>0</v>
      </c>
      <c r="X932" t="str">
        <f t="shared" si="42"/>
        <v>March</v>
      </c>
      <c r="Y932" t="str">
        <f t="shared" si="43"/>
        <v>Q1</v>
      </c>
      <c r="Z932" s="7">
        <f t="shared" si="44"/>
        <v>52.98</v>
      </c>
    </row>
    <row r="933" spans="1:26" x14ac:dyDescent="0.3">
      <c r="A933" s="4" t="s">
        <v>5500</v>
      </c>
      <c r="B933" s="9" t="s">
        <v>461</v>
      </c>
      <c r="C933" s="4" t="s">
        <v>5501</v>
      </c>
      <c r="D933" s="4" t="s">
        <v>3737</v>
      </c>
      <c r="E933" s="4" t="s">
        <v>5502</v>
      </c>
      <c r="F933" s="4" t="s">
        <v>5503</v>
      </c>
      <c r="G933" s="4" t="s">
        <v>171</v>
      </c>
      <c r="H933" s="4" t="s">
        <v>88</v>
      </c>
      <c r="I933" s="4" t="s">
        <v>31</v>
      </c>
      <c r="J933" s="4" t="s">
        <v>632</v>
      </c>
      <c r="K933" s="4" t="s">
        <v>33</v>
      </c>
      <c r="L933" s="4">
        <v>1</v>
      </c>
      <c r="M933" s="5">
        <v>49.99</v>
      </c>
      <c r="N933" s="4" t="s">
        <v>78</v>
      </c>
      <c r="O933" s="5">
        <v>5</v>
      </c>
      <c r="P933" s="5">
        <v>7.99</v>
      </c>
      <c r="Q933" s="5">
        <v>4.05</v>
      </c>
      <c r="R933" s="5">
        <v>57.03</v>
      </c>
      <c r="S933" s="4" t="s">
        <v>35</v>
      </c>
      <c r="T933" s="4" t="s">
        <v>50</v>
      </c>
      <c r="U933" s="4" t="s">
        <v>51</v>
      </c>
      <c r="V933" s="4" t="s">
        <v>2435</v>
      </c>
      <c r="W933" s="5">
        <v>0</v>
      </c>
      <c r="X933" t="str">
        <f t="shared" si="42"/>
        <v>June</v>
      </c>
      <c r="Y933" t="str">
        <f t="shared" si="43"/>
        <v>Q2</v>
      </c>
      <c r="Z933" s="7">
        <f t="shared" si="44"/>
        <v>44.99</v>
      </c>
    </row>
    <row r="934" spans="1:26" x14ac:dyDescent="0.3">
      <c r="A934" s="2" t="s">
        <v>5504</v>
      </c>
      <c r="B934" s="8" t="s">
        <v>1209</v>
      </c>
      <c r="C934" s="2" t="s">
        <v>5505</v>
      </c>
      <c r="D934" s="2" t="s">
        <v>5506</v>
      </c>
      <c r="E934" s="2" t="s">
        <v>5507</v>
      </c>
      <c r="F934" s="2" t="s">
        <v>5508</v>
      </c>
      <c r="G934" s="2" t="s">
        <v>1730</v>
      </c>
      <c r="H934" s="2" t="s">
        <v>161</v>
      </c>
      <c r="I934" s="2" t="s">
        <v>31</v>
      </c>
      <c r="J934" s="2" t="s">
        <v>5509</v>
      </c>
      <c r="K934" s="2" t="s">
        <v>122</v>
      </c>
      <c r="L934" s="2">
        <v>5</v>
      </c>
      <c r="M934" s="3">
        <v>574.91</v>
      </c>
      <c r="N934" s="2" t="s">
        <v>163</v>
      </c>
      <c r="O934" s="3">
        <v>114.98</v>
      </c>
      <c r="P934" s="3">
        <v>0</v>
      </c>
      <c r="Q934" s="3">
        <v>45.99</v>
      </c>
      <c r="R934" s="3">
        <v>505.92</v>
      </c>
      <c r="S934" s="2" t="s">
        <v>123</v>
      </c>
      <c r="T934" s="2" t="s">
        <v>65</v>
      </c>
      <c r="U934" s="2" t="s">
        <v>66</v>
      </c>
      <c r="V934" s="2" t="s">
        <v>1633</v>
      </c>
      <c r="W934" s="3">
        <v>0</v>
      </c>
      <c r="X934" t="str">
        <f t="shared" si="42"/>
        <v>April</v>
      </c>
      <c r="Y934" t="str">
        <f t="shared" si="43"/>
        <v>Q2</v>
      </c>
      <c r="Z934" s="7">
        <f t="shared" si="44"/>
        <v>459.92999999999995</v>
      </c>
    </row>
    <row r="935" spans="1:26" x14ac:dyDescent="0.3">
      <c r="A935" s="4" t="s">
        <v>5510</v>
      </c>
      <c r="B935" s="9" t="s">
        <v>5511</v>
      </c>
      <c r="C935" s="4" t="s">
        <v>5512</v>
      </c>
      <c r="D935" s="4" t="s">
        <v>507</v>
      </c>
      <c r="E935" s="4" t="s">
        <v>5513</v>
      </c>
      <c r="F935" s="4" t="s">
        <v>5514</v>
      </c>
      <c r="G935" s="4" t="s">
        <v>428</v>
      </c>
      <c r="H935" s="4" t="s">
        <v>429</v>
      </c>
      <c r="I935" s="4" t="s">
        <v>31</v>
      </c>
      <c r="J935" s="4" t="s">
        <v>903</v>
      </c>
      <c r="K935" s="4" t="s">
        <v>62</v>
      </c>
      <c r="L935" s="4">
        <v>1</v>
      </c>
      <c r="M935" s="5">
        <v>74.97</v>
      </c>
      <c r="N935" s="4" t="s">
        <v>34</v>
      </c>
      <c r="O935" s="5">
        <v>0</v>
      </c>
      <c r="P935" s="5">
        <v>7.99</v>
      </c>
      <c r="Q935" s="5">
        <v>7.5</v>
      </c>
      <c r="R935" s="5">
        <v>90.46</v>
      </c>
      <c r="S935" s="4" t="s">
        <v>332</v>
      </c>
      <c r="T935" s="4" t="s">
        <v>183</v>
      </c>
      <c r="U935" s="4" t="s">
        <v>100</v>
      </c>
      <c r="V935" s="4"/>
      <c r="W935" s="5">
        <v>0</v>
      </c>
      <c r="X935" t="str">
        <f t="shared" si="42"/>
        <v>March</v>
      </c>
      <c r="Y935" t="str">
        <f t="shared" si="43"/>
        <v>Q1</v>
      </c>
      <c r="Z935" s="7">
        <f t="shared" si="44"/>
        <v>74.97</v>
      </c>
    </row>
    <row r="936" spans="1:26" x14ac:dyDescent="0.3">
      <c r="A936" s="2" t="s">
        <v>5515</v>
      </c>
      <c r="B936" s="8" t="s">
        <v>2210</v>
      </c>
      <c r="C936" s="2" t="s">
        <v>5516</v>
      </c>
      <c r="D936" s="2" t="s">
        <v>5517</v>
      </c>
      <c r="E936" s="2" t="s">
        <v>5518</v>
      </c>
      <c r="F936" s="2" t="s">
        <v>5519</v>
      </c>
      <c r="G936" s="2" t="s">
        <v>160</v>
      </c>
      <c r="H936" s="2" t="s">
        <v>161</v>
      </c>
      <c r="I936" s="2" t="s">
        <v>31</v>
      </c>
      <c r="J936" s="2" t="s">
        <v>5520</v>
      </c>
      <c r="K936" s="2" t="s">
        <v>364</v>
      </c>
      <c r="L936" s="2">
        <v>5</v>
      </c>
      <c r="M936" s="3">
        <v>494.91</v>
      </c>
      <c r="N936" s="2" t="s">
        <v>49</v>
      </c>
      <c r="O936" s="3">
        <v>74.239999999999995</v>
      </c>
      <c r="P936" s="3">
        <v>0</v>
      </c>
      <c r="Q936" s="3">
        <v>35.76</v>
      </c>
      <c r="R936" s="3">
        <v>456.43</v>
      </c>
      <c r="S936" s="2" t="s">
        <v>64</v>
      </c>
      <c r="T936" s="2" t="s">
        <v>325</v>
      </c>
      <c r="U936" s="2" t="s">
        <v>100</v>
      </c>
      <c r="V936" s="2"/>
      <c r="W936" s="3">
        <v>0</v>
      </c>
      <c r="X936" t="str">
        <f t="shared" si="42"/>
        <v>September</v>
      </c>
      <c r="Y936" t="str">
        <f t="shared" si="43"/>
        <v>Q3</v>
      </c>
      <c r="Z936" s="7">
        <f t="shared" si="44"/>
        <v>420.67</v>
      </c>
    </row>
    <row r="937" spans="1:26" x14ac:dyDescent="0.3">
      <c r="A937" s="4" t="s">
        <v>5521</v>
      </c>
      <c r="B937" s="9" t="s">
        <v>166</v>
      </c>
      <c r="C937" s="4" t="s">
        <v>5522</v>
      </c>
      <c r="D937" s="4" t="s">
        <v>4372</v>
      </c>
      <c r="E937" s="4" t="s">
        <v>5523</v>
      </c>
      <c r="F937" s="4" t="s">
        <v>5524</v>
      </c>
      <c r="G937" s="4" t="s">
        <v>160</v>
      </c>
      <c r="H937" s="4" t="s">
        <v>161</v>
      </c>
      <c r="I937" s="4" t="s">
        <v>31</v>
      </c>
      <c r="J937" s="4" t="s">
        <v>5525</v>
      </c>
      <c r="K937" s="4" t="s">
        <v>77</v>
      </c>
      <c r="L937" s="4">
        <v>3</v>
      </c>
      <c r="M937" s="5">
        <v>152.97</v>
      </c>
      <c r="N937" s="4" t="s">
        <v>34</v>
      </c>
      <c r="O937" s="5">
        <v>0</v>
      </c>
      <c r="P937" s="5">
        <v>0</v>
      </c>
      <c r="Q937" s="5">
        <v>10.71</v>
      </c>
      <c r="R937" s="5">
        <v>163.68</v>
      </c>
      <c r="S937" s="4" t="s">
        <v>35</v>
      </c>
      <c r="T937" s="4" t="s">
        <v>99</v>
      </c>
      <c r="U937" s="4" t="s">
        <v>66</v>
      </c>
      <c r="V937" s="4" t="s">
        <v>406</v>
      </c>
      <c r="W937" s="5">
        <v>0</v>
      </c>
      <c r="X937" t="str">
        <f t="shared" si="42"/>
        <v>November</v>
      </c>
      <c r="Y937" t="str">
        <f t="shared" si="43"/>
        <v>Q4</v>
      </c>
      <c r="Z937" s="7">
        <f t="shared" si="44"/>
        <v>152.97</v>
      </c>
    </row>
    <row r="938" spans="1:26" x14ac:dyDescent="0.3">
      <c r="A938" s="2" t="s">
        <v>5526</v>
      </c>
      <c r="B938" s="8" t="s">
        <v>2886</v>
      </c>
      <c r="C938" s="2" t="s">
        <v>5527</v>
      </c>
      <c r="D938" s="2" t="s">
        <v>5528</v>
      </c>
      <c r="E938" s="2" t="s">
        <v>5529</v>
      </c>
      <c r="F938" s="2" t="s">
        <v>5530</v>
      </c>
      <c r="G938" s="2" t="s">
        <v>428</v>
      </c>
      <c r="H938" s="2" t="s">
        <v>429</v>
      </c>
      <c r="I938" s="2" t="s">
        <v>31</v>
      </c>
      <c r="J938" s="2" t="s">
        <v>5531</v>
      </c>
      <c r="K938" s="2" t="s">
        <v>33</v>
      </c>
      <c r="L938" s="2">
        <v>2</v>
      </c>
      <c r="M938" s="3">
        <v>95.97</v>
      </c>
      <c r="N938" s="2" t="s">
        <v>34</v>
      </c>
      <c r="O938" s="3">
        <v>0</v>
      </c>
      <c r="P938" s="3">
        <v>0</v>
      </c>
      <c r="Q938" s="3">
        <v>5.76</v>
      </c>
      <c r="R938" s="3">
        <v>101.73</v>
      </c>
      <c r="S938" s="2" t="s">
        <v>98</v>
      </c>
      <c r="T938" s="2" t="s">
        <v>99</v>
      </c>
      <c r="U938" s="2" t="s">
        <v>317</v>
      </c>
      <c r="V938" s="2"/>
      <c r="W938" s="3">
        <v>0</v>
      </c>
      <c r="X938" t="str">
        <f t="shared" si="42"/>
        <v>June</v>
      </c>
      <c r="Y938" t="str">
        <f t="shared" si="43"/>
        <v>Q2</v>
      </c>
      <c r="Z938" s="7">
        <f t="shared" si="44"/>
        <v>95.97</v>
      </c>
    </row>
    <row r="939" spans="1:26" x14ac:dyDescent="0.3">
      <c r="A939" s="4" t="s">
        <v>5532</v>
      </c>
      <c r="B939" s="9" t="s">
        <v>210</v>
      </c>
      <c r="C939" s="4" t="s">
        <v>5533</v>
      </c>
      <c r="D939" s="4" t="s">
        <v>5534</v>
      </c>
      <c r="E939" s="4" t="s">
        <v>5535</v>
      </c>
      <c r="F939" s="4" t="s">
        <v>5536</v>
      </c>
      <c r="G939" s="4" t="s">
        <v>428</v>
      </c>
      <c r="H939" s="4" t="s">
        <v>429</v>
      </c>
      <c r="I939" s="4" t="s">
        <v>31</v>
      </c>
      <c r="J939" s="4" t="s">
        <v>4024</v>
      </c>
      <c r="K939" s="4" t="s">
        <v>77</v>
      </c>
      <c r="L939" s="4">
        <v>2</v>
      </c>
      <c r="M939" s="5">
        <v>77.98</v>
      </c>
      <c r="N939" s="4" t="s">
        <v>34</v>
      </c>
      <c r="O939" s="5">
        <v>0</v>
      </c>
      <c r="P939" s="5">
        <v>0</v>
      </c>
      <c r="Q939" s="5">
        <v>5.46</v>
      </c>
      <c r="R939" s="5">
        <v>83.44</v>
      </c>
      <c r="S939" s="4" t="s">
        <v>111</v>
      </c>
      <c r="T939" s="4" t="s">
        <v>99</v>
      </c>
      <c r="U939" s="4" t="s">
        <v>51</v>
      </c>
      <c r="V939" s="4" t="s">
        <v>2142</v>
      </c>
      <c r="W939" s="5">
        <v>0</v>
      </c>
      <c r="X939" t="str">
        <f t="shared" si="42"/>
        <v>August</v>
      </c>
      <c r="Y939" t="str">
        <f t="shared" si="43"/>
        <v>Q3</v>
      </c>
      <c r="Z939" s="7">
        <f t="shared" si="44"/>
        <v>77.98</v>
      </c>
    </row>
    <row r="940" spans="1:26" x14ac:dyDescent="0.3">
      <c r="A940" s="2" t="s">
        <v>5537</v>
      </c>
      <c r="B940" s="8" t="s">
        <v>5213</v>
      </c>
      <c r="C940" s="2" t="s">
        <v>5538</v>
      </c>
      <c r="D940" s="2" t="s">
        <v>5539</v>
      </c>
      <c r="E940" s="2" t="s">
        <v>5540</v>
      </c>
      <c r="F940" s="2" t="s">
        <v>5541</v>
      </c>
      <c r="G940" s="2" t="s">
        <v>29</v>
      </c>
      <c r="H940" s="2" t="s">
        <v>30</v>
      </c>
      <c r="I940" s="2" t="s">
        <v>31</v>
      </c>
      <c r="J940" s="2" t="s">
        <v>5542</v>
      </c>
      <c r="K940" s="2" t="s">
        <v>77</v>
      </c>
      <c r="L940" s="2">
        <v>2</v>
      </c>
      <c r="M940" s="3">
        <v>94.97</v>
      </c>
      <c r="N940" s="2" t="s">
        <v>152</v>
      </c>
      <c r="O940" s="3">
        <v>4.75</v>
      </c>
      <c r="P940" s="3">
        <v>0</v>
      </c>
      <c r="Q940" s="3">
        <v>8.1199999999999992</v>
      </c>
      <c r="R940" s="3">
        <v>98.34</v>
      </c>
      <c r="S940" s="2" t="s">
        <v>64</v>
      </c>
      <c r="T940" s="2" t="s">
        <v>99</v>
      </c>
      <c r="U940" s="2" t="s">
        <v>66</v>
      </c>
      <c r="V940" s="2" t="s">
        <v>1000</v>
      </c>
      <c r="W940" s="3">
        <v>0</v>
      </c>
      <c r="X940" t="str">
        <f t="shared" si="42"/>
        <v>April</v>
      </c>
      <c r="Y940" t="str">
        <f t="shared" si="43"/>
        <v>Q2</v>
      </c>
      <c r="Z940" s="7">
        <f t="shared" si="44"/>
        <v>90.22</v>
      </c>
    </row>
    <row r="941" spans="1:26" x14ac:dyDescent="0.3">
      <c r="A941" s="4" t="s">
        <v>5543</v>
      </c>
      <c r="B941" s="9" t="s">
        <v>455</v>
      </c>
      <c r="C941" s="4" t="s">
        <v>5544</v>
      </c>
      <c r="D941" s="4" t="s">
        <v>5545</v>
      </c>
      <c r="E941" s="4" t="s">
        <v>5546</v>
      </c>
      <c r="F941" s="4" t="s">
        <v>5547</v>
      </c>
      <c r="G941" s="4" t="s">
        <v>242</v>
      </c>
      <c r="H941" s="4" t="s">
        <v>243</v>
      </c>
      <c r="I941" s="4" t="s">
        <v>31</v>
      </c>
      <c r="J941" s="4" t="s">
        <v>61</v>
      </c>
      <c r="K941" s="4" t="s">
        <v>62</v>
      </c>
      <c r="L941" s="4">
        <v>1</v>
      </c>
      <c r="M941" s="5">
        <v>24.99</v>
      </c>
      <c r="N941" s="4" t="s">
        <v>63</v>
      </c>
      <c r="O941" s="5">
        <v>6.25</v>
      </c>
      <c r="P941" s="5">
        <v>9.99</v>
      </c>
      <c r="Q941" s="5">
        <v>1.59</v>
      </c>
      <c r="R941" s="5">
        <v>30.32</v>
      </c>
      <c r="S941" s="4" t="s">
        <v>123</v>
      </c>
      <c r="T941" s="4" t="s">
        <v>99</v>
      </c>
      <c r="U941" s="4" t="s">
        <v>66</v>
      </c>
      <c r="V941" s="4" t="s">
        <v>261</v>
      </c>
      <c r="W941" s="5">
        <v>0</v>
      </c>
      <c r="X941" t="str">
        <f t="shared" si="42"/>
        <v>June</v>
      </c>
      <c r="Y941" t="str">
        <f t="shared" si="43"/>
        <v>Q2</v>
      </c>
      <c r="Z941" s="7">
        <f t="shared" si="44"/>
        <v>18.739999999999998</v>
      </c>
    </row>
    <row r="942" spans="1:26" x14ac:dyDescent="0.3">
      <c r="A942" s="2" t="s">
        <v>5548</v>
      </c>
      <c r="B942" s="8" t="s">
        <v>463</v>
      </c>
      <c r="C942" s="2" t="s">
        <v>5549</v>
      </c>
      <c r="D942" s="2" t="s">
        <v>5550</v>
      </c>
      <c r="E942" s="2" t="s">
        <v>5551</v>
      </c>
      <c r="F942" s="2" t="s">
        <v>5552</v>
      </c>
      <c r="G942" s="2" t="s">
        <v>59</v>
      </c>
      <c r="H942" s="2" t="s">
        <v>60</v>
      </c>
      <c r="I942" s="2" t="s">
        <v>31</v>
      </c>
      <c r="J942" s="2" t="s">
        <v>5553</v>
      </c>
      <c r="K942" s="2" t="s">
        <v>143</v>
      </c>
      <c r="L942" s="2">
        <v>2</v>
      </c>
      <c r="M942" s="3">
        <v>184.98</v>
      </c>
      <c r="N942" s="2" t="s">
        <v>152</v>
      </c>
      <c r="O942" s="3">
        <v>9.25</v>
      </c>
      <c r="P942" s="3">
        <v>0</v>
      </c>
      <c r="Q942" s="3">
        <v>15.82</v>
      </c>
      <c r="R942" s="3">
        <v>191.55</v>
      </c>
      <c r="S942" s="2" t="s">
        <v>79</v>
      </c>
      <c r="T942" s="2" t="s">
        <v>173</v>
      </c>
      <c r="U942" s="2" t="s">
        <v>66</v>
      </c>
      <c r="V942" s="2" t="s">
        <v>80</v>
      </c>
      <c r="W942" s="3">
        <v>0</v>
      </c>
      <c r="X942" t="str">
        <f t="shared" si="42"/>
        <v>June</v>
      </c>
      <c r="Y942" t="str">
        <f t="shared" si="43"/>
        <v>Q2</v>
      </c>
      <c r="Z942" s="7">
        <f t="shared" si="44"/>
        <v>175.73</v>
      </c>
    </row>
    <row r="943" spans="1:26" x14ac:dyDescent="0.3">
      <c r="A943" s="4" t="s">
        <v>5554</v>
      </c>
      <c r="B943" s="9" t="s">
        <v>3372</v>
      </c>
      <c r="C943" s="4" t="s">
        <v>5555</v>
      </c>
      <c r="D943" s="4" t="s">
        <v>3652</v>
      </c>
      <c r="E943" s="4" t="s">
        <v>5556</v>
      </c>
      <c r="F943" s="4" t="s">
        <v>5557</v>
      </c>
      <c r="G943" s="4" t="s">
        <v>242</v>
      </c>
      <c r="H943" s="4" t="s">
        <v>243</v>
      </c>
      <c r="I943" s="4" t="s">
        <v>31</v>
      </c>
      <c r="J943" s="4" t="s">
        <v>1141</v>
      </c>
      <c r="K943" s="4" t="s">
        <v>122</v>
      </c>
      <c r="L943" s="4">
        <v>1</v>
      </c>
      <c r="M943" s="5">
        <v>74.989999999999995</v>
      </c>
      <c r="N943" s="4" t="s">
        <v>34</v>
      </c>
      <c r="O943" s="5">
        <v>0</v>
      </c>
      <c r="P943" s="5">
        <v>7.99</v>
      </c>
      <c r="Q943" s="5">
        <v>4.5</v>
      </c>
      <c r="R943" s="5">
        <v>87.48</v>
      </c>
      <c r="S943" s="4" t="s">
        <v>64</v>
      </c>
      <c r="T943" s="4" t="s">
        <v>65</v>
      </c>
      <c r="U943" s="4" t="s">
        <v>51</v>
      </c>
      <c r="V943" s="4" t="s">
        <v>3075</v>
      </c>
      <c r="W943" s="5">
        <v>0</v>
      </c>
      <c r="X943" t="str">
        <f t="shared" si="42"/>
        <v>January</v>
      </c>
      <c r="Y943" t="str">
        <f t="shared" si="43"/>
        <v>Q1</v>
      </c>
      <c r="Z943" s="7">
        <f t="shared" si="44"/>
        <v>74.989999999999995</v>
      </c>
    </row>
    <row r="944" spans="1:26" x14ac:dyDescent="0.3">
      <c r="A944" s="2" t="s">
        <v>5558</v>
      </c>
      <c r="B944" s="8" t="s">
        <v>797</v>
      </c>
      <c r="C944" s="2" t="s">
        <v>5559</v>
      </c>
      <c r="D944" s="2" t="s">
        <v>5560</v>
      </c>
      <c r="E944" s="2" t="s">
        <v>5561</v>
      </c>
      <c r="F944" s="2" t="s">
        <v>5562</v>
      </c>
      <c r="G944" s="2" t="s">
        <v>1730</v>
      </c>
      <c r="H944" s="2" t="s">
        <v>161</v>
      </c>
      <c r="I944" s="2" t="s">
        <v>31</v>
      </c>
      <c r="J944" s="2" t="s">
        <v>5563</v>
      </c>
      <c r="K944" s="2" t="s">
        <v>48</v>
      </c>
      <c r="L944" s="2">
        <v>2</v>
      </c>
      <c r="M944" s="3">
        <v>70.98</v>
      </c>
      <c r="N944" s="2" t="s">
        <v>78</v>
      </c>
      <c r="O944" s="3">
        <v>7.1</v>
      </c>
      <c r="P944" s="3">
        <v>5.99</v>
      </c>
      <c r="Q944" s="3">
        <v>5.75</v>
      </c>
      <c r="R944" s="3">
        <v>75.62</v>
      </c>
      <c r="S944" s="2" t="s">
        <v>123</v>
      </c>
      <c r="T944" s="2" t="s">
        <v>36</v>
      </c>
      <c r="U944" s="2" t="s">
        <v>66</v>
      </c>
      <c r="V944" s="2" t="s">
        <v>1063</v>
      </c>
      <c r="W944" s="3">
        <v>0</v>
      </c>
      <c r="X944" t="str">
        <f t="shared" si="42"/>
        <v>December</v>
      </c>
      <c r="Y944" t="str">
        <f t="shared" si="43"/>
        <v>Q4</v>
      </c>
      <c r="Z944" s="7">
        <f t="shared" si="44"/>
        <v>63.88</v>
      </c>
    </row>
    <row r="945" spans="1:26" x14ac:dyDescent="0.3">
      <c r="A945" s="4" t="s">
        <v>5564</v>
      </c>
      <c r="B945" s="9" t="s">
        <v>1259</v>
      </c>
      <c r="C945" s="4" t="s">
        <v>5565</v>
      </c>
      <c r="D945" s="4" t="s">
        <v>2713</v>
      </c>
      <c r="E945" s="4" t="s">
        <v>5566</v>
      </c>
      <c r="F945" s="4" t="s">
        <v>5567</v>
      </c>
      <c r="G945" s="4" t="s">
        <v>107</v>
      </c>
      <c r="H945" s="4" t="s">
        <v>108</v>
      </c>
      <c r="I945" s="4" t="s">
        <v>31</v>
      </c>
      <c r="J945" s="4" t="s">
        <v>1320</v>
      </c>
      <c r="K945" s="4" t="s">
        <v>364</v>
      </c>
      <c r="L945" s="4">
        <v>1</v>
      </c>
      <c r="M945" s="5">
        <v>89.98</v>
      </c>
      <c r="N945" s="4" t="s">
        <v>34</v>
      </c>
      <c r="O945" s="5">
        <v>0</v>
      </c>
      <c r="P945" s="5">
        <v>0</v>
      </c>
      <c r="Q945" s="5">
        <v>6.3</v>
      </c>
      <c r="R945" s="5">
        <v>96.28</v>
      </c>
      <c r="S945" s="4" t="s">
        <v>123</v>
      </c>
      <c r="T945" s="4" t="s">
        <v>65</v>
      </c>
      <c r="U945" s="4" t="s">
        <v>66</v>
      </c>
      <c r="V945" s="4" t="s">
        <v>1873</v>
      </c>
      <c r="W945" s="5">
        <v>0</v>
      </c>
      <c r="X945" t="str">
        <f t="shared" si="42"/>
        <v>November</v>
      </c>
      <c r="Y945" t="str">
        <f t="shared" si="43"/>
        <v>Q4</v>
      </c>
      <c r="Z945" s="7">
        <f t="shared" si="44"/>
        <v>89.98</v>
      </c>
    </row>
    <row r="946" spans="1:26" x14ac:dyDescent="0.3">
      <c r="A946" s="2" t="s">
        <v>5568</v>
      </c>
      <c r="B946" s="8" t="s">
        <v>470</v>
      </c>
      <c r="C946" s="2" t="s">
        <v>5569</v>
      </c>
      <c r="D946" s="2" t="s">
        <v>779</v>
      </c>
      <c r="E946" s="2" t="s">
        <v>5570</v>
      </c>
      <c r="F946" s="2" t="s">
        <v>5571</v>
      </c>
      <c r="G946" s="2" t="s">
        <v>403</v>
      </c>
      <c r="H946" s="2" t="s">
        <v>404</v>
      </c>
      <c r="I946" s="2" t="s">
        <v>31</v>
      </c>
      <c r="J946" s="2" t="s">
        <v>5572</v>
      </c>
      <c r="K946" s="2" t="s">
        <v>62</v>
      </c>
      <c r="L946" s="2">
        <v>2</v>
      </c>
      <c r="M946" s="3">
        <v>99.96</v>
      </c>
      <c r="N946" s="2" t="s">
        <v>34</v>
      </c>
      <c r="O946" s="3">
        <v>0</v>
      </c>
      <c r="P946" s="3">
        <v>0</v>
      </c>
      <c r="Q946" s="3">
        <v>8.5</v>
      </c>
      <c r="R946" s="3">
        <v>108.46</v>
      </c>
      <c r="S946" s="2" t="s">
        <v>79</v>
      </c>
      <c r="T946" s="2" t="s">
        <v>99</v>
      </c>
      <c r="U946" s="2" t="s">
        <v>66</v>
      </c>
      <c r="V946" s="2" t="s">
        <v>194</v>
      </c>
      <c r="W946" s="3">
        <v>0</v>
      </c>
      <c r="X946" t="str">
        <f t="shared" si="42"/>
        <v>December</v>
      </c>
      <c r="Y946" t="str">
        <f t="shared" si="43"/>
        <v>Q4</v>
      </c>
      <c r="Z946" s="7">
        <f t="shared" si="44"/>
        <v>99.96</v>
      </c>
    </row>
    <row r="947" spans="1:26" x14ac:dyDescent="0.3">
      <c r="A947" s="4" t="s">
        <v>5573</v>
      </c>
      <c r="B947" s="9" t="s">
        <v>2671</v>
      </c>
      <c r="C947" s="4" t="s">
        <v>5574</v>
      </c>
      <c r="D947" s="4" t="s">
        <v>545</v>
      </c>
      <c r="E947" s="4" t="s">
        <v>5575</v>
      </c>
      <c r="F947" s="4" t="s">
        <v>5576</v>
      </c>
      <c r="G947" s="4" t="s">
        <v>74</v>
      </c>
      <c r="H947" s="4" t="s">
        <v>75</v>
      </c>
      <c r="I947" s="4" t="s">
        <v>31</v>
      </c>
      <c r="J947" s="4" t="s">
        <v>1269</v>
      </c>
      <c r="K947" s="4" t="s">
        <v>77</v>
      </c>
      <c r="L947" s="4">
        <v>1</v>
      </c>
      <c r="M947" s="5">
        <v>27.99</v>
      </c>
      <c r="N947" s="4" t="s">
        <v>163</v>
      </c>
      <c r="O947" s="5">
        <v>5.6</v>
      </c>
      <c r="P947" s="5">
        <v>7.99</v>
      </c>
      <c r="Q947" s="5">
        <v>1.9</v>
      </c>
      <c r="R947" s="5">
        <v>32.28</v>
      </c>
      <c r="S947" s="4" t="s">
        <v>79</v>
      </c>
      <c r="T947" s="4" t="s">
        <v>36</v>
      </c>
      <c r="U947" s="4" t="s">
        <v>66</v>
      </c>
      <c r="V947" s="4" t="s">
        <v>114</v>
      </c>
      <c r="W947" s="5">
        <v>0</v>
      </c>
      <c r="X947" t="str">
        <f t="shared" si="42"/>
        <v>October</v>
      </c>
      <c r="Y947" t="str">
        <f t="shared" si="43"/>
        <v>Q4</v>
      </c>
      <c r="Z947" s="7">
        <f t="shared" si="44"/>
        <v>22.39</v>
      </c>
    </row>
    <row r="948" spans="1:26" x14ac:dyDescent="0.3">
      <c r="A948" s="2" t="s">
        <v>5577</v>
      </c>
      <c r="B948" s="8" t="s">
        <v>2142</v>
      </c>
      <c r="C948" s="2" t="s">
        <v>5578</v>
      </c>
      <c r="D948" s="2" t="s">
        <v>698</v>
      </c>
      <c r="E948" s="2" t="s">
        <v>5579</v>
      </c>
      <c r="F948" s="2" t="s">
        <v>5580</v>
      </c>
      <c r="G948" s="2" t="s">
        <v>160</v>
      </c>
      <c r="H948" s="2" t="s">
        <v>161</v>
      </c>
      <c r="I948" s="2" t="s">
        <v>31</v>
      </c>
      <c r="J948" s="2" t="s">
        <v>5581</v>
      </c>
      <c r="K948" s="2" t="s">
        <v>62</v>
      </c>
      <c r="L948" s="2">
        <v>2</v>
      </c>
      <c r="M948" s="3">
        <v>159.96</v>
      </c>
      <c r="N948" s="2" t="s">
        <v>34</v>
      </c>
      <c r="O948" s="3">
        <v>0</v>
      </c>
      <c r="P948" s="3">
        <v>0</v>
      </c>
      <c r="Q948" s="3">
        <v>9.6</v>
      </c>
      <c r="R948" s="3">
        <v>169.56</v>
      </c>
      <c r="S948" s="2" t="s">
        <v>79</v>
      </c>
      <c r="T948" s="2" t="s">
        <v>36</v>
      </c>
      <c r="U948" s="2" t="s">
        <v>66</v>
      </c>
      <c r="V948" s="2" t="s">
        <v>1323</v>
      </c>
      <c r="W948" s="3">
        <v>0</v>
      </c>
      <c r="X948" t="str">
        <f t="shared" si="42"/>
        <v>August</v>
      </c>
      <c r="Y948" t="str">
        <f t="shared" si="43"/>
        <v>Q3</v>
      </c>
      <c r="Z948" s="7">
        <f t="shared" si="44"/>
        <v>159.96</v>
      </c>
    </row>
    <row r="949" spans="1:26" x14ac:dyDescent="0.3">
      <c r="A949" s="4" t="s">
        <v>5582</v>
      </c>
      <c r="B949" s="9" t="s">
        <v>2406</v>
      </c>
      <c r="C949" s="4" t="s">
        <v>5583</v>
      </c>
      <c r="D949" s="4" t="s">
        <v>5584</v>
      </c>
      <c r="E949" s="4" t="s">
        <v>5585</v>
      </c>
      <c r="F949" s="4" t="s">
        <v>5586</v>
      </c>
      <c r="G949" s="4" t="s">
        <v>87</v>
      </c>
      <c r="H949" s="4" t="s">
        <v>88</v>
      </c>
      <c r="I949" s="4" t="s">
        <v>31</v>
      </c>
      <c r="J949" s="4" t="s">
        <v>1232</v>
      </c>
      <c r="K949" s="4" t="s">
        <v>77</v>
      </c>
      <c r="L949" s="4">
        <v>1</v>
      </c>
      <c r="M949" s="5">
        <v>34.99</v>
      </c>
      <c r="N949" s="4" t="s">
        <v>78</v>
      </c>
      <c r="O949" s="5">
        <v>3.5</v>
      </c>
      <c r="P949" s="5">
        <v>9.99</v>
      </c>
      <c r="Q949" s="5">
        <v>1.89</v>
      </c>
      <c r="R949" s="5">
        <v>43.37</v>
      </c>
      <c r="S949" s="4" t="s">
        <v>35</v>
      </c>
      <c r="T949" s="4" t="s">
        <v>99</v>
      </c>
      <c r="U949" s="4" t="s">
        <v>66</v>
      </c>
      <c r="V949" s="4" t="s">
        <v>2412</v>
      </c>
      <c r="W949" s="5">
        <v>0</v>
      </c>
      <c r="X949" t="str">
        <f t="shared" si="42"/>
        <v>May</v>
      </c>
      <c r="Y949" t="str">
        <f t="shared" si="43"/>
        <v>Q2</v>
      </c>
      <c r="Z949" s="7">
        <f t="shared" si="44"/>
        <v>31.490000000000002</v>
      </c>
    </row>
    <row r="950" spans="1:26" x14ac:dyDescent="0.3">
      <c r="A950" s="2" t="s">
        <v>5587</v>
      </c>
      <c r="B950" s="8" t="s">
        <v>1259</v>
      </c>
      <c r="C950" s="2" t="s">
        <v>5588</v>
      </c>
      <c r="D950" s="2" t="s">
        <v>5425</v>
      </c>
      <c r="E950" s="2" t="s">
        <v>5589</v>
      </c>
      <c r="F950" s="2" t="s">
        <v>5590</v>
      </c>
      <c r="G950" s="2" t="s">
        <v>224</v>
      </c>
      <c r="H950" s="2" t="s">
        <v>225</v>
      </c>
      <c r="I950" s="2" t="s">
        <v>31</v>
      </c>
      <c r="J950" s="2" t="s">
        <v>5591</v>
      </c>
      <c r="K950" s="2" t="s">
        <v>209</v>
      </c>
      <c r="L950" s="2">
        <v>4</v>
      </c>
      <c r="M950" s="3">
        <v>162.96</v>
      </c>
      <c r="N950" s="2" t="s">
        <v>34</v>
      </c>
      <c r="O950" s="3">
        <v>0</v>
      </c>
      <c r="P950" s="3">
        <v>0</v>
      </c>
      <c r="Q950" s="3">
        <v>16.3</v>
      </c>
      <c r="R950" s="3">
        <v>179.26</v>
      </c>
      <c r="S950" s="2" t="s">
        <v>111</v>
      </c>
      <c r="T950" s="2" t="s">
        <v>183</v>
      </c>
      <c r="U950" s="2" t="s">
        <v>66</v>
      </c>
      <c r="V950" s="2" t="s">
        <v>1065</v>
      </c>
      <c r="W950" s="3">
        <v>0</v>
      </c>
      <c r="X950" t="str">
        <f t="shared" si="42"/>
        <v>November</v>
      </c>
      <c r="Y950" t="str">
        <f t="shared" si="43"/>
        <v>Q4</v>
      </c>
      <c r="Z950" s="7">
        <f t="shared" si="44"/>
        <v>162.96</v>
      </c>
    </row>
    <row r="951" spans="1:26" x14ac:dyDescent="0.3">
      <c r="A951" s="4" t="s">
        <v>5592</v>
      </c>
      <c r="B951" s="9" t="s">
        <v>2203</v>
      </c>
      <c r="C951" s="4" t="s">
        <v>5593</v>
      </c>
      <c r="D951" s="4" t="s">
        <v>893</v>
      </c>
      <c r="E951" s="4" t="s">
        <v>5594</v>
      </c>
      <c r="F951" s="4" t="s">
        <v>5595</v>
      </c>
      <c r="G951" s="4" t="s">
        <v>171</v>
      </c>
      <c r="H951" s="4" t="s">
        <v>88</v>
      </c>
      <c r="I951" s="4" t="s">
        <v>31</v>
      </c>
      <c r="J951" s="4" t="s">
        <v>5596</v>
      </c>
      <c r="K951" s="4" t="s">
        <v>143</v>
      </c>
      <c r="L951" s="4">
        <v>2</v>
      </c>
      <c r="M951" s="5">
        <v>239.97</v>
      </c>
      <c r="N951" s="4" t="s">
        <v>34</v>
      </c>
      <c r="O951" s="5">
        <v>0</v>
      </c>
      <c r="P951" s="5">
        <v>0</v>
      </c>
      <c r="Q951" s="5">
        <v>20.399999999999999</v>
      </c>
      <c r="R951" s="5">
        <v>260.37</v>
      </c>
      <c r="S951" s="4" t="s">
        <v>35</v>
      </c>
      <c r="T951" s="4" t="s">
        <v>99</v>
      </c>
      <c r="U951" s="4" t="s">
        <v>66</v>
      </c>
      <c r="V951" s="4" t="s">
        <v>2671</v>
      </c>
      <c r="W951" s="5">
        <v>0</v>
      </c>
      <c r="X951" t="str">
        <f t="shared" si="42"/>
        <v>September</v>
      </c>
      <c r="Y951" t="str">
        <f t="shared" si="43"/>
        <v>Q3</v>
      </c>
      <c r="Z951" s="7">
        <f t="shared" si="44"/>
        <v>239.97</v>
      </c>
    </row>
    <row r="952" spans="1:26" x14ac:dyDescent="0.3">
      <c r="A952" s="2" t="s">
        <v>5597</v>
      </c>
      <c r="B952" s="8" t="s">
        <v>2902</v>
      </c>
      <c r="C952" s="2" t="s">
        <v>5598</v>
      </c>
      <c r="D952" s="2" t="s">
        <v>2047</v>
      </c>
      <c r="E952" s="2" t="s">
        <v>5599</v>
      </c>
      <c r="F952" s="2" t="s">
        <v>5600</v>
      </c>
      <c r="G952" s="2" t="s">
        <v>291</v>
      </c>
      <c r="H952" s="2" t="s">
        <v>292</v>
      </c>
      <c r="I952" s="2" t="s">
        <v>31</v>
      </c>
      <c r="J952" s="2" t="s">
        <v>5601</v>
      </c>
      <c r="K952" s="2" t="s">
        <v>364</v>
      </c>
      <c r="L952" s="2">
        <v>3</v>
      </c>
      <c r="M952" s="3">
        <v>114.96</v>
      </c>
      <c r="N952" s="2" t="s">
        <v>163</v>
      </c>
      <c r="O952" s="3">
        <v>22.99</v>
      </c>
      <c r="P952" s="3">
        <v>0</v>
      </c>
      <c r="Q952" s="3">
        <v>8.2799999999999994</v>
      </c>
      <c r="R952" s="3">
        <v>100.25</v>
      </c>
      <c r="S952" s="2" t="s">
        <v>123</v>
      </c>
      <c r="T952" s="2" t="s">
        <v>99</v>
      </c>
      <c r="U952" s="2" t="s">
        <v>66</v>
      </c>
      <c r="V952" s="2" t="s">
        <v>3851</v>
      </c>
      <c r="W952" s="3">
        <v>0</v>
      </c>
      <c r="X952" t="str">
        <f t="shared" si="42"/>
        <v>December</v>
      </c>
      <c r="Y952" t="str">
        <f t="shared" si="43"/>
        <v>Q4</v>
      </c>
      <c r="Z952" s="7">
        <f t="shared" si="44"/>
        <v>91.97</v>
      </c>
    </row>
    <row r="953" spans="1:26" x14ac:dyDescent="0.3">
      <c r="A953" s="4" t="s">
        <v>5602</v>
      </c>
      <c r="B953" s="9" t="s">
        <v>656</v>
      </c>
      <c r="C953" s="4" t="s">
        <v>5603</v>
      </c>
      <c r="D953" s="4" t="s">
        <v>4449</v>
      </c>
      <c r="E953" s="4" t="s">
        <v>5604</v>
      </c>
      <c r="F953" s="4" t="s">
        <v>5605</v>
      </c>
      <c r="G953" s="4" t="s">
        <v>29</v>
      </c>
      <c r="H953" s="4" t="s">
        <v>30</v>
      </c>
      <c r="I953" s="4" t="s">
        <v>31</v>
      </c>
      <c r="J953" s="4" t="s">
        <v>151</v>
      </c>
      <c r="K953" s="4" t="s">
        <v>110</v>
      </c>
      <c r="L953" s="4">
        <v>1</v>
      </c>
      <c r="M953" s="5">
        <v>39.99</v>
      </c>
      <c r="N953" s="4" t="s">
        <v>78</v>
      </c>
      <c r="O953" s="5">
        <v>4</v>
      </c>
      <c r="P953" s="5">
        <v>7.99</v>
      </c>
      <c r="Q953" s="5">
        <v>3.6</v>
      </c>
      <c r="R953" s="5">
        <v>47.58</v>
      </c>
      <c r="S953" s="4" t="s">
        <v>111</v>
      </c>
      <c r="T953" s="4" t="s">
        <v>99</v>
      </c>
      <c r="U953" s="4" t="s">
        <v>37</v>
      </c>
      <c r="V953" s="4" t="s">
        <v>268</v>
      </c>
      <c r="W953" s="5">
        <v>47.58</v>
      </c>
      <c r="X953" t="str">
        <f t="shared" si="42"/>
        <v>September</v>
      </c>
      <c r="Y953" t="str">
        <f t="shared" si="43"/>
        <v>Q3</v>
      </c>
      <c r="Z953" s="7">
        <f t="shared" si="44"/>
        <v>35.99</v>
      </c>
    </row>
    <row r="954" spans="1:26" x14ac:dyDescent="0.3">
      <c r="A954" s="2" t="s">
        <v>5606</v>
      </c>
      <c r="B954" s="8" t="s">
        <v>1070</v>
      </c>
      <c r="C954" s="2" t="s">
        <v>5607</v>
      </c>
      <c r="D954" s="2" t="s">
        <v>221</v>
      </c>
      <c r="E954" s="2" t="s">
        <v>5608</v>
      </c>
      <c r="F954" s="2" t="s">
        <v>5609</v>
      </c>
      <c r="G954" s="2" t="s">
        <v>131</v>
      </c>
      <c r="H954" s="2" t="s">
        <v>88</v>
      </c>
      <c r="I954" s="2" t="s">
        <v>31</v>
      </c>
      <c r="J954" s="2" t="s">
        <v>283</v>
      </c>
      <c r="K954" s="2" t="s">
        <v>209</v>
      </c>
      <c r="L954" s="2">
        <v>1</v>
      </c>
      <c r="M954" s="3">
        <v>49.99</v>
      </c>
      <c r="N954" s="2" t="s">
        <v>78</v>
      </c>
      <c r="O954" s="3">
        <v>5</v>
      </c>
      <c r="P954" s="3">
        <v>7.99</v>
      </c>
      <c r="Q954" s="3">
        <v>4.5</v>
      </c>
      <c r="R954" s="3">
        <v>57.48</v>
      </c>
      <c r="S954" s="2" t="s">
        <v>35</v>
      </c>
      <c r="T954" s="2" t="s">
        <v>36</v>
      </c>
      <c r="U954" s="2" t="s">
        <v>66</v>
      </c>
      <c r="V954" s="2" t="s">
        <v>1873</v>
      </c>
      <c r="W954" s="3">
        <v>0</v>
      </c>
      <c r="X954" t="str">
        <f t="shared" si="42"/>
        <v>November</v>
      </c>
      <c r="Y954" t="str">
        <f t="shared" si="43"/>
        <v>Q4</v>
      </c>
      <c r="Z954" s="7">
        <f t="shared" si="44"/>
        <v>44.99</v>
      </c>
    </row>
    <row r="955" spans="1:26" x14ac:dyDescent="0.3">
      <c r="A955" s="4" t="s">
        <v>5610</v>
      </c>
      <c r="B955" s="9" t="s">
        <v>716</v>
      </c>
      <c r="C955" s="4" t="s">
        <v>5611</v>
      </c>
      <c r="D955" s="4" t="s">
        <v>5612</v>
      </c>
      <c r="E955" s="4" t="s">
        <v>5613</v>
      </c>
      <c r="F955" s="4" t="s">
        <v>5614</v>
      </c>
      <c r="G955" s="4" t="s">
        <v>180</v>
      </c>
      <c r="H955" s="4" t="s">
        <v>181</v>
      </c>
      <c r="I955" s="4" t="s">
        <v>31</v>
      </c>
      <c r="J955" s="4" t="s">
        <v>5615</v>
      </c>
      <c r="K955" s="4" t="s">
        <v>143</v>
      </c>
      <c r="L955" s="4">
        <v>2</v>
      </c>
      <c r="M955" s="5">
        <v>149.97999999999999</v>
      </c>
      <c r="N955" s="4" t="s">
        <v>34</v>
      </c>
      <c r="O955" s="5">
        <v>0</v>
      </c>
      <c r="P955" s="5">
        <v>0</v>
      </c>
      <c r="Q955" s="5">
        <v>15</v>
      </c>
      <c r="R955" s="5">
        <v>164.98</v>
      </c>
      <c r="S955" s="4" t="s">
        <v>35</v>
      </c>
      <c r="T955" s="4" t="s">
        <v>99</v>
      </c>
      <c r="U955" s="4" t="s">
        <v>37</v>
      </c>
      <c r="V955" s="4" t="s">
        <v>891</v>
      </c>
      <c r="W955" s="5">
        <v>164.98</v>
      </c>
      <c r="X955" t="str">
        <f t="shared" si="42"/>
        <v>May</v>
      </c>
      <c r="Y955" t="str">
        <f t="shared" si="43"/>
        <v>Q2</v>
      </c>
      <c r="Z955" s="7">
        <f t="shared" si="44"/>
        <v>149.97999999999999</v>
      </c>
    </row>
    <row r="956" spans="1:26" x14ac:dyDescent="0.3">
      <c r="A956" s="2" t="s">
        <v>5616</v>
      </c>
      <c r="B956" s="8" t="s">
        <v>1070</v>
      </c>
      <c r="C956" s="2" t="s">
        <v>5617</v>
      </c>
      <c r="D956" s="2" t="s">
        <v>3554</v>
      </c>
      <c r="E956" s="2" t="s">
        <v>5618</v>
      </c>
      <c r="F956" s="2" t="s">
        <v>5619</v>
      </c>
      <c r="G956" s="2" t="s">
        <v>692</v>
      </c>
      <c r="H956" s="2" t="s">
        <v>693</v>
      </c>
      <c r="I956" s="2" t="s">
        <v>31</v>
      </c>
      <c r="J956" s="2" t="s">
        <v>5620</v>
      </c>
      <c r="K956" s="2" t="s">
        <v>62</v>
      </c>
      <c r="L956" s="2">
        <v>2</v>
      </c>
      <c r="M956" s="3">
        <v>144.97</v>
      </c>
      <c r="N956" s="2" t="s">
        <v>163</v>
      </c>
      <c r="O956" s="3">
        <v>28.99</v>
      </c>
      <c r="P956" s="3">
        <v>0</v>
      </c>
      <c r="Q956" s="3">
        <v>11.6</v>
      </c>
      <c r="R956" s="3">
        <v>127.58</v>
      </c>
      <c r="S956" s="2" t="s">
        <v>79</v>
      </c>
      <c r="T956" s="2" t="s">
        <v>36</v>
      </c>
      <c r="U956" s="2" t="s">
        <v>66</v>
      </c>
      <c r="V956" s="2" t="s">
        <v>1873</v>
      </c>
      <c r="W956" s="3">
        <v>0</v>
      </c>
      <c r="X956" t="str">
        <f t="shared" si="42"/>
        <v>November</v>
      </c>
      <c r="Y956" t="str">
        <f t="shared" si="43"/>
        <v>Q4</v>
      </c>
      <c r="Z956" s="7">
        <f t="shared" si="44"/>
        <v>115.98</v>
      </c>
    </row>
    <row r="957" spans="1:26" x14ac:dyDescent="0.3">
      <c r="A957" s="4" t="s">
        <v>5621</v>
      </c>
      <c r="B957" s="9" t="s">
        <v>372</v>
      </c>
      <c r="C957" s="4" t="s">
        <v>5622</v>
      </c>
      <c r="D957" s="4" t="s">
        <v>3912</v>
      </c>
      <c r="E957" s="4" t="s">
        <v>5623</v>
      </c>
      <c r="F957" s="4" t="s">
        <v>5624</v>
      </c>
      <c r="G957" s="4" t="s">
        <v>190</v>
      </c>
      <c r="H957" s="4" t="s">
        <v>161</v>
      </c>
      <c r="I957" s="4" t="s">
        <v>31</v>
      </c>
      <c r="J957" s="4" t="s">
        <v>5625</v>
      </c>
      <c r="K957" s="4" t="s">
        <v>122</v>
      </c>
      <c r="L957" s="4">
        <v>3</v>
      </c>
      <c r="M957" s="5">
        <v>223.96</v>
      </c>
      <c r="N957" s="4" t="s">
        <v>34</v>
      </c>
      <c r="O957" s="5">
        <v>0</v>
      </c>
      <c r="P957" s="5">
        <v>0</v>
      </c>
      <c r="Q957" s="5">
        <v>15.68</v>
      </c>
      <c r="R957" s="5">
        <v>239.64</v>
      </c>
      <c r="S957" s="4" t="s">
        <v>35</v>
      </c>
      <c r="T957" s="4" t="s">
        <v>99</v>
      </c>
      <c r="U957" s="4" t="s">
        <v>66</v>
      </c>
      <c r="V957" s="4" t="s">
        <v>536</v>
      </c>
      <c r="W957" s="5">
        <v>0</v>
      </c>
      <c r="X957" t="str">
        <f t="shared" si="42"/>
        <v>March</v>
      </c>
      <c r="Y957" t="str">
        <f t="shared" si="43"/>
        <v>Q1</v>
      </c>
      <c r="Z957" s="7">
        <f t="shared" si="44"/>
        <v>223.96</v>
      </c>
    </row>
    <row r="958" spans="1:26" x14ac:dyDescent="0.3">
      <c r="A958" s="2" t="s">
        <v>5626</v>
      </c>
      <c r="B958" s="8" t="s">
        <v>374</v>
      </c>
      <c r="C958" s="2" t="s">
        <v>5627</v>
      </c>
      <c r="D958" s="2" t="s">
        <v>5628</v>
      </c>
      <c r="E958" s="2" t="s">
        <v>5629</v>
      </c>
      <c r="F958" s="2" t="s">
        <v>5630</v>
      </c>
      <c r="G958" s="2" t="s">
        <v>291</v>
      </c>
      <c r="H958" s="2" t="s">
        <v>292</v>
      </c>
      <c r="I958" s="2" t="s">
        <v>31</v>
      </c>
      <c r="J958" s="2" t="s">
        <v>1148</v>
      </c>
      <c r="K958" s="2" t="s">
        <v>33</v>
      </c>
      <c r="L958" s="2">
        <v>1</v>
      </c>
      <c r="M958" s="3">
        <v>18.989999999999998</v>
      </c>
      <c r="N958" s="2" t="s">
        <v>78</v>
      </c>
      <c r="O958" s="3">
        <v>1.9</v>
      </c>
      <c r="P958" s="3">
        <v>4.99</v>
      </c>
      <c r="Q958" s="3">
        <v>1.54</v>
      </c>
      <c r="R958" s="3">
        <v>23.62</v>
      </c>
      <c r="S958" s="2" t="s">
        <v>35</v>
      </c>
      <c r="T958" s="2" t="s">
        <v>173</v>
      </c>
      <c r="U958" s="2" t="s">
        <v>37</v>
      </c>
      <c r="V958" s="2" t="s">
        <v>585</v>
      </c>
      <c r="W958" s="3">
        <v>23.62</v>
      </c>
      <c r="X958" t="str">
        <f t="shared" si="42"/>
        <v>July</v>
      </c>
      <c r="Y958" t="str">
        <f t="shared" si="43"/>
        <v>Q3</v>
      </c>
      <c r="Z958" s="7">
        <f t="shared" si="44"/>
        <v>17.09</v>
      </c>
    </row>
    <row r="959" spans="1:26" x14ac:dyDescent="0.3">
      <c r="A959" s="4" t="s">
        <v>5631</v>
      </c>
      <c r="B959" s="9" t="s">
        <v>924</v>
      </c>
      <c r="C959" s="4" t="s">
        <v>5632</v>
      </c>
      <c r="D959" s="4" t="s">
        <v>5633</v>
      </c>
      <c r="E959" s="4" t="s">
        <v>5634</v>
      </c>
      <c r="F959" s="4" t="s">
        <v>5635</v>
      </c>
      <c r="G959" s="4" t="s">
        <v>323</v>
      </c>
      <c r="H959" s="4" t="s">
        <v>324</v>
      </c>
      <c r="I959" s="4" t="s">
        <v>31</v>
      </c>
      <c r="J959" s="4" t="s">
        <v>5636</v>
      </c>
      <c r="K959" s="4" t="s">
        <v>143</v>
      </c>
      <c r="L959" s="4">
        <v>5</v>
      </c>
      <c r="M959" s="5">
        <v>700.92</v>
      </c>
      <c r="N959" s="4" t="s">
        <v>63</v>
      </c>
      <c r="O959" s="5">
        <v>175.23</v>
      </c>
      <c r="P959" s="5">
        <v>0</v>
      </c>
      <c r="Q959" s="5">
        <v>52.57</v>
      </c>
      <c r="R959" s="5">
        <v>578.26</v>
      </c>
      <c r="S959" s="4" t="s">
        <v>332</v>
      </c>
      <c r="T959" s="4" t="s">
        <v>99</v>
      </c>
      <c r="U959" s="4" t="s">
        <v>37</v>
      </c>
      <c r="V959" s="4" t="s">
        <v>625</v>
      </c>
      <c r="W959" s="5">
        <v>578.26</v>
      </c>
      <c r="X959" t="str">
        <f t="shared" si="42"/>
        <v>October</v>
      </c>
      <c r="Y959" t="str">
        <f t="shared" si="43"/>
        <v>Q4</v>
      </c>
      <c r="Z959" s="7">
        <f t="shared" si="44"/>
        <v>525.68999999999994</v>
      </c>
    </row>
    <row r="960" spans="1:26" x14ac:dyDescent="0.3">
      <c r="A960" s="2" t="s">
        <v>5637</v>
      </c>
      <c r="B960" s="8" t="s">
        <v>917</v>
      </c>
      <c r="C960" s="2" t="s">
        <v>5638</v>
      </c>
      <c r="D960" s="2" t="s">
        <v>5639</v>
      </c>
      <c r="E960" s="2" t="s">
        <v>5640</v>
      </c>
      <c r="F960" s="2" t="s">
        <v>5641</v>
      </c>
      <c r="G960" s="2" t="s">
        <v>74</v>
      </c>
      <c r="H960" s="2" t="s">
        <v>75</v>
      </c>
      <c r="I960" s="2" t="s">
        <v>31</v>
      </c>
      <c r="J960" s="2" t="s">
        <v>5642</v>
      </c>
      <c r="K960" s="2" t="s">
        <v>209</v>
      </c>
      <c r="L960" s="2">
        <v>2</v>
      </c>
      <c r="M960" s="3">
        <v>44.98</v>
      </c>
      <c r="N960" s="2" t="s">
        <v>34</v>
      </c>
      <c r="O960" s="3">
        <v>0</v>
      </c>
      <c r="P960" s="3">
        <v>5.99</v>
      </c>
      <c r="Q960" s="3">
        <v>2.7</v>
      </c>
      <c r="R960" s="3">
        <v>53.67</v>
      </c>
      <c r="S960" s="2" t="s">
        <v>35</v>
      </c>
      <c r="T960" s="2" t="s">
        <v>99</v>
      </c>
      <c r="U960" s="2" t="s">
        <v>66</v>
      </c>
      <c r="V960" s="2" t="s">
        <v>1683</v>
      </c>
      <c r="W960" s="3">
        <v>0</v>
      </c>
      <c r="X960" t="str">
        <f t="shared" si="42"/>
        <v>September</v>
      </c>
      <c r="Y960" t="str">
        <f t="shared" si="43"/>
        <v>Q3</v>
      </c>
      <c r="Z960" s="7">
        <f t="shared" si="44"/>
        <v>44.98</v>
      </c>
    </row>
    <row r="961" spans="1:26" x14ac:dyDescent="0.3">
      <c r="A961" s="4" t="s">
        <v>5643</v>
      </c>
      <c r="B961" s="9" t="s">
        <v>496</v>
      </c>
      <c r="C961" s="4" t="s">
        <v>5644</v>
      </c>
      <c r="D961" s="4" t="s">
        <v>5645</v>
      </c>
      <c r="E961" s="4" t="s">
        <v>5646</v>
      </c>
      <c r="F961" s="4" t="s">
        <v>5647</v>
      </c>
      <c r="G961" s="4" t="s">
        <v>180</v>
      </c>
      <c r="H961" s="4" t="s">
        <v>181</v>
      </c>
      <c r="I961" s="4" t="s">
        <v>31</v>
      </c>
      <c r="J961" s="4" t="s">
        <v>5648</v>
      </c>
      <c r="K961" s="4" t="s">
        <v>122</v>
      </c>
      <c r="L961" s="4">
        <v>2</v>
      </c>
      <c r="M961" s="5">
        <v>89.98</v>
      </c>
      <c r="N961" s="4" t="s">
        <v>34</v>
      </c>
      <c r="O961" s="5">
        <v>0</v>
      </c>
      <c r="P961" s="5">
        <v>0</v>
      </c>
      <c r="Q961" s="5">
        <v>8.1</v>
      </c>
      <c r="R961" s="5">
        <v>98.08</v>
      </c>
      <c r="S961" s="4" t="s">
        <v>111</v>
      </c>
      <c r="T961" s="4" t="s">
        <v>173</v>
      </c>
      <c r="U961" s="4" t="s">
        <v>51</v>
      </c>
      <c r="V961" s="4" t="s">
        <v>2865</v>
      </c>
      <c r="W961" s="5">
        <v>0</v>
      </c>
      <c r="X961" t="str">
        <f t="shared" si="42"/>
        <v>August</v>
      </c>
      <c r="Y961" t="str">
        <f t="shared" si="43"/>
        <v>Q3</v>
      </c>
      <c r="Z961" s="7">
        <f t="shared" si="44"/>
        <v>89.98</v>
      </c>
    </row>
    <row r="962" spans="1:26" x14ac:dyDescent="0.3">
      <c r="A962" s="2" t="s">
        <v>5649</v>
      </c>
      <c r="B962" s="8" t="s">
        <v>245</v>
      </c>
      <c r="C962" s="2" t="s">
        <v>5650</v>
      </c>
      <c r="D962" s="2" t="s">
        <v>4403</v>
      </c>
      <c r="E962" s="2" t="s">
        <v>5651</v>
      </c>
      <c r="F962" s="2" t="s">
        <v>5652</v>
      </c>
      <c r="G962" s="2" t="s">
        <v>29</v>
      </c>
      <c r="H962" s="2" t="s">
        <v>30</v>
      </c>
      <c r="I962" s="2" t="s">
        <v>31</v>
      </c>
      <c r="J962" s="2" t="s">
        <v>5653</v>
      </c>
      <c r="K962" s="2" t="s">
        <v>122</v>
      </c>
      <c r="L962" s="2">
        <v>4</v>
      </c>
      <c r="M962" s="3">
        <v>372.94</v>
      </c>
      <c r="N962" s="2" t="s">
        <v>78</v>
      </c>
      <c r="O962" s="3">
        <v>37.29</v>
      </c>
      <c r="P962" s="3">
        <v>0</v>
      </c>
      <c r="Q962" s="3">
        <v>30.21</v>
      </c>
      <c r="R962" s="3">
        <v>365.86</v>
      </c>
      <c r="S962" s="2" t="s">
        <v>332</v>
      </c>
      <c r="T962" s="2" t="s">
        <v>183</v>
      </c>
      <c r="U962" s="2" t="s">
        <v>66</v>
      </c>
      <c r="V962" s="2" t="s">
        <v>924</v>
      </c>
      <c r="W962" s="3">
        <v>0</v>
      </c>
      <c r="X962" t="str">
        <f t="shared" si="42"/>
        <v>October</v>
      </c>
      <c r="Y962" t="str">
        <f t="shared" si="43"/>
        <v>Q4</v>
      </c>
      <c r="Z962" s="7">
        <f t="shared" si="44"/>
        <v>335.65</v>
      </c>
    </row>
    <row r="963" spans="1:26" x14ac:dyDescent="0.3">
      <c r="A963" s="4" t="s">
        <v>5654</v>
      </c>
      <c r="B963" s="9" t="s">
        <v>1867</v>
      </c>
      <c r="C963" s="4" t="s">
        <v>5655</v>
      </c>
      <c r="D963" s="4" t="s">
        <v>5656</v>
      </c>
      <c r="E963" s="4" t="s">
        <v>5657</v>
      </c>
      <c r="F963" s="4" t="s">
        <v>5658</v>
      </c>
      <c r="G963" s="4" t="s">
        <v>676</v>
      </c>
      <c r="H963" s="4" t="s">
        <v>677</v>
      </c>
      <c r="I963" s="4" t="s">
        <v>31</v>
      </c>
      <c r="J963" s="4" t="s">
        <v>503</v>
      </c>
      <c r="K963" s="4" t="s">
        <v>122</v>
      </c>
      <c r="L963" s="4">
        <v>1</v>
      </c>
      <c r="M963" s="5">
        <v>59.99</v>
      </c>
      <c r="N963" s="4" t="s">
        <v>152</v>
      </c>
      <c r="O963" s="5">
        <v>3</v>
      </c>
      <c r="P963" s="5">
        <v>9.99</v>
      </c>
      <c r="Q963" s="5">
        <v>5.13</v>
      </c>
      <c r="R963" s="5">
        <v>72.11</v>
      </c>
      <c r="S963" s="4" t="s">
        <v>79</v>
      </c>
      <c r="T963" s="4" t="s">
        <v>144</v>
      </c>
      <c r="U963" s="4" t="s">
        <v>66</v>
      </c>
      <c r="V963" s="4" t="s">
        <v>5659</v>
      </c>
      <c r="W963" s="5">
        <v>0</v>
      </c>
      <c r="X963" t="str">
        <f t="shared" ref="X963:X1001" si="45">TEXT(B963,"MMMM")</f>
        <v>March</v>
      </c>
      <c r="Y963" t="str">
        <f t="shared" ref="Y963:Y1001" si="46">IF(MONTH(B963)&lt;=3,"Q1",IF(MONTH(B963)&lt;=6,"Q2",IF(MONTH(B963)&lt;=9,"Q3","Q4")))</f>
        <v>Q1</v>
      </c>
      <c r="Z963" s="7">
        <f t="shared" ref="Z963:Z1001" si="47">M963-O963</f>
        <v>56.99</v>
      </c>
    </row>
    <row r="964" spans="1:26" x14ac:dyDescent="0.3">
      <c r="A964" s="2" t="s">
        <v>5660</v>
      </c>
      <c r="B964" s="8" t="s">
        <v>2149</v>
      </c>
      <c r="C964" s="2" t="s">
        <v>5661</v>
      </c>
      <c r="D964" s="2" t="s">
        <v>3673</v>
      </c>
      <c r="E964" s="2" t="s">
        <v>5662</v>
      </c>
      <c r="F964" s="2" t="s">
        <v>5663</v>
      </c>
      <c r="G964" s="2" t="s">
        <v>428</v>
      </c>
      <c r="H964" s="2" t="s">
        <v>429</v>
      </c>
      <c r="I964" s="2" t="s">
        <v>31</v>
      </c>
      <c r="J964" s="2" t="s">
        <v>2576</v>
      </c>
      <c r="K964" s="2" t="s">
        <v>33</v>
      </c>
      <c r="L964" s="2">
        <v>1</v>
      </c>
      <c r="M964" s="3">
        <v>99.98</v>
      </c>
      <c r="N964" s="2" t="s">
        <v>34</v>
      </c>
      <c r="O964" s="3">
        <v>0</v>
      </c>
      <c r="P964" s="3">
        <v>0</v>
      </c>
      <c r="Q964" s="3">
        <v>7</v>
      </c>
      <c r="R964" s="3">
        <v>106.98</v>
      </c>
      <c r="S964" s="2" t="s">
        <v>332</v>
      </c>
      <c r="T964" s="2" t="s">
        <v>99</v>
      </c>
      <c r="U964" s="2" t="s">
        <v>66</v>
      </c>
      <c r="V964" s="2" t="s">
        <v>1867</v>
      </c>
      <c r="W964" s="3">
        <v>0</v>
      </c>
      <c r="X964" t="str">
        <f t="shared" si="45"/>
        <v>February</v>
      </c>
      <c r="Y964" t="str">
        <f t="shared" si="46"/>
        <v>Q1</v>
      </c>
      <c r="Z964" s="7">
        <f t="shared" si="47"/>
        <v>99.98</v>
      </c>
    </row>
    <row r="965" spans="1:26" x14ac:dyDescent="0.3">
      <c r="A965" s="4" t="s">
        <v>5664</v>
      </c>
      <c r="B965" s="9" t="s">
        <v>527</v>
      </c>
      <c r="C965" s="4" t="s">
        <v>5665</v>
      </c>
      <c r="D965" s="4" t="s">
        <v>2035</v>
      </c>
      <c r="E965" s="4" t="s">
        <v>5666</v>
      </c>
      <c r="F965" s="4" t="s">
        <v>5667</v>
      </c>
      <c r="G965" s="4" t="s">
        <v>347</v>
      </c>
      <c r="H965" s="4" t="s">
        <v>60</v>
      </c>
      <c r="I965" s="4" t="s">
        <v>31</v>
      </c>
      <c r="J965" s="4" t="s">
        <v>5668</v>
      </c>
      <c r="K965" s="4" t="s">
        <v>62</v>
      </c>
      <c r="L965" s="4">
        <v>4</v>
      </c>
      <c r="M965" s="5">
        <v>234.95</v>
      </c>
      <c r="N965" s="4" t="s">
        <v>78</v>
      </c>
      <c r="O965" s="5">
        <v>23.5</v>
      </c>
      <c r="P965" s="5">
        <v>0</v>
      </c>
      <c r="Q965" s="5">
        <v>21.14</v>
      </c>
      <c r="R965" s="5">
        <v>232.59</v>
      </c>
      <c r="S965" s="4" t="s">
        <v>123</v>
      </c>
      <c r="T965" s="4" t="s">
        <v>99</v>
      </c>
      <c r="U965" s="4" t="s">
        <v>37</v>
      </c>
      <c r="V965" s="4" t="s">
        <v>2205</v>
      </c>
      <c r="W965" s="5">
        <v>232.59</v>
      </c>
      <c r="X965" t="str">
        <f t="shared" si="45"/>
        <v>November</v>
      </c>
      <c r="Y965" t="str">
        <f t="shared" si="46"/>
        <v>Q4</v>
      </c>
      <c r="Z965" s="7">
        <f t="shared" si="47"/>
        <v>211.45</v>
      </c>
    </row>
    <row r="966" spans="1:26" x14ac:dyDescent="0.3">
      <c r="A966" s="2" t="s">
        <v>5669</v>
      </c>
      <c r="B966" s="8" t="s">
        <v>519</v>
      </c>
      <c r="C966" s="2" t="s">
        <v>5670</v>
      </c>
      <c r="D966" s="2" t="s">
        <v>1511</v>
      </c>
      <c r="E966" s="2" t="s">
        <v>5671</v>
      </c>
      <c r="F966" s="2" t="s">
        <v>5672</v>
      </c>
      <c r="G966" s="2" t="s">
        <v>87</v>
      </c>
      <c r="H966" s="2" t="s">
        <v>88</v>
      </c>
      <c r="I966" s="2" t="s">
        <v>31</v>
      </c>
      <c r="J966" s="2" t="s">
        <v>5673</v>
      </c>
      <c r="K966" s="2" t="s">
        <v>48</v>
      </c>
      <c r="L966" s="2">
        <v>2</v>
      </c>
      <c r="M966" s="3">
        <v>169.97</v>
      </c>
      <c r="N966" s="2" t="s">
        <v>34</v>
      </c>
      <c r="O966" s="3">
        <v>0</v>
      </c>
      <c r="P966" s="3">
        <v>0</v>
      </c>
      <c r="Q966" s="3">
        <v>14.45</v>
      </c>
      <c r="R966" s="3">
        <v>184.42</v>
      </c>
      <c r="S966" s="2" t="s">
        <v>35</v>
      </c>
      <c r="T966" s="2" t="s">
        <v>183</v>
      </c>
      <c r="U966" s="2" t="s">
        <v>66</v>
      </c>
      <c r="V966" s="2" t="s">
        <v>482</v>
      </c>
      <c r="W966" s="3">
        <v>0</v>
      </c>
      <c r="X966" t="str">
        <f t="shared" si="45"/>
        <v>May</v>
      </c>
      <c r="Y966" t="str">
        <f t="shared" si="46"/>
        <v>Q2</v>
      </c>
      <c r="Z966" s="7">
        <f t="shared" si="47"/>
        <v>169.97</v>
      </c>
    </row>
    <row r="967" spans="1:26" x14ac:dyDescent="0.3">
      <c r="A967" s="4" t="s">
        <v>5674</v>
      </c>
      <c r="B967" s="9" t="s">
        <v>1430</v>
      </c>
      <c r="C967" s="4" t="s">
        <v>5675</v>
      </c>
      <c r="D967" s="4" t="s">
        <v>3726</v>
      </c>
      <c r="E967" s="4" t="s">
        <v>5676</v>
      </c>
      <c r="F967" s="4" t="s">
        <v>5677</v>
      </c>
      <c r="G967" s="4" t="s">
        <v>107</v>
      </c>
      <c r="H967" s="4" t="s">
        <v>108</v>
      </c>
      <c r="I967" s="4" t="s">
        <v>31</v>
      </c>
      <c r="J967" s="4" t="s">
        <v>5678</v>
      </c>
      <c r="K967" s="4" t="s">
        <v>110</v>
      </c>
      <c r="L967" s="4">
        <v>2</v>
      </c>
      <c r="M967" s="5">
        <v>75.98</v>
      </c>
      <c r="N967" s="4" t="s">
        <v>78</v>
      </c>
      <c r="O967" s="5">
        <v>7.6</v>
      </c>
      <c r="P967" s="5">
        <v>0</v>
      </c>
      <c r="Q967" s="5">
        <v>4.79</v>
      </c>
      <c r="R967" s="5">
        <v>73.17</v>
      </c>
      <c r="S967" s="4" t="s">
        <v>123</v>
      </c>
      <c r="T967" s="4" t="s">
        <v>36</v>
      </c>
      <c r="U967" s="4" t="s">
        <v>37</v>
      </c>
      <c r="V967" s="4" t="s">
        <v>133</v>
      </c>
      <c r="W967" s="5">
        <v>73.17</v>
      </c>
      <c r="X967" t="str">
        <f t="shared" si="45"/>
        <v>December</v>
      </c>
      <c r="Y967" t="str">
        <f t="shared" si="46"/>
        <v>Q4</v>
      </c>
      <c r="Z967" s="7">
        <f t="shared" si="47"/>
        <v>68.38000000000001</v>
      </c>
    </row>
    <row r="968" spans="1:26" x14ac:dyDescent="0.3">
      <c r="A968" s="2" t="s">
        <v>5679</v>
      </c>
      <c r="B968" s="8" t="s">
        <v>1529</v>
      </c>
      <c r="C968" s="2" t="s">
        <v>5680</v>
      </c>
      <c r="D968" s="2" t="s">
        <v>5681</v>
      </c>
      <c r="E968" s="2" t="s">
        <v>5682</v>
      </c>
      <c r="F968" s="2" t="s">
        <v>5683</v>
      </c>
      <c r="G968" s="2" t="s">
        <v>119</v>
      </c>
      <c r="H968" s="2" t="s">
        <v>120</v>
      </c>
      <c r="I968" s="2" t="s">
        <v>31</v>
      </c>
      <c r="J968" s="2" t="s">
        <v>5684</v>
      </c>
      <c r="K968" s="2" t="s">
        <v>209</v>
      </c>
      <c r="L968" s="2">
        <v>2</v>
      </c>
      <c r="M968" s="3">
        <v>112.96</v>
      </c>
      <c r="N968" s="2" t="s">
        <v>34</v>
      </c>
      <c r="O968" s="3">
        <v>0</v>
      </c>
      <c r="P968" s="3">
        <v>0</v>
      </c>
      <c r="Q968" s="3">
        <v>11.3</v>
      </c>
      <c r="R968" s="3">
        <v>124.26</v>
      </c>
      <c r="S968" s="2" t="s">
        <v>35</v>
      </c>
      <c r="T968" s="2" t="s">
        <v>99</v>
      </c>
      <c r="U968" s="2" t="s">
        <v>66</v>
      </c>
      <c r="V968" s="2" t="s">
        <v>5685</v>
      </c>
      <c r="W968" s="3">
        <v>0</v>
      </c>
      <c r="X968" t="str">
        <f t="shared" si="45"/>
        <v>September</v>
      </c>
      <c r="Y968" t="str">
        <f t="shared" si="46"/>
        <v>Q3</v>
      </c>
      <c r="Z968" s="7">
        <f t="shared" si="47"/>
        <v>112.96</v>
      </c>
    </row>
    <row r="969" spans="1:26" x14ac:dyDescent="0.3">
      <c r="A969" s="4" t="s">
        <v>5686</v>
      </c>
      <c r="B969" s="9" t="s">
        <v>1618</v>
      </c>
      <c r="C969" s="4" t="s">
        <v>5687</v>
      </c>
      <c r="D969" s="4" t="s">
        <v>2499</v>
      </c>
      <c r="E969" s="4" t="s">
        <v>5688</v>
      </c>
      <c r="F969" s="4" t="s">
        <v>5689</v>
      </c>
      <c r="G969" s="4" t="s">
        <v>347</v>
      </c>
      <c r="H969" s="4" t="s">
        <v>60</v>
      </c>
      <c r="I969" s="4" t="s">
        <v>31</v>
      </c>
      <c r="J969" s="4" t="s">
        <v>5690</v>
      </c>
      <c r="K969" s="4" t="s">
        <v>33</v>
      </c>
      <c r="L969" s="4">
        <v>2</v>
      </c>
      <c r="M969" s="5">
        <v>85.98</v>
      </c>
      <c r="N969" s="4" t="s">
        <v>49</v>
      </c>
      <c r="O969" s="5">
        <v>12.9</v>
      </c>
      <c r="P969" s="5">
        <v>0</v>
      </c>
      <c r="Q969" s="5">
        <v>4.38</v>
      </c>
      <c r="R969" s="5">
        <v>77.459999999999994</v>
      </c>
      <c r="S969" s="4" t="s">
        <v>35</v>
      </c>
      <c r="T969" s="4" t="s">
        <v>99</v>
      </c>
      <c r="U969" s="4" t="s">
        <v>66</v>
      </c>
      <c r="V969" s="4" t="s">
        <v>1623</v>
      </c>
      <c r="W969" s="5">
        <v>0</v>
      </c>
      <c r="X969" t="str">
        <f t="shared" si="45"/>
        <v>February</v>
      </c>
      <c r="Y969" t="str">
        <f t="shared" si="46"/>
        <v>Q1</v>
      </c>
      <c r="Z969" s="7">
        <f t="shared" si="47"/>
        <v>73.08</v>
      </c>
    </row>
    <row r="970" spans="1:26" x14ac:dyDescent="0.3">
      <c r="A970" s="2" t="s">
        <v>5691</v>
      </c>
      <c r="B970" s="8" t="s">
        <v>470</v>
      </c>
      <c r="C970" s="2" t="s">
        <v>5692</v>
      </c>
      <c r="D970" s="2" t="s">
        <v>1518</v>
      </c>
      <c r="E970" s="2" t="s">
        <v>5693</v>
      </c>
      <c r="F970" s="2" t="s">
        <v>5694</v>
      </c>
      <c r="G970" s="2" t="s">
        <v>282</v>
      </c>
      <c r="H970" s="2" t="s">
        <v>88</v>
      </c>
      <c r="I970" s="2" t="s">
        <v>31</v>
      </c>
      <c r="J970" s="2" t="s">
        <v>61</v>
      </c>
      <c r="K970" s="2" t="s">
        <v>62</v>
      </c>
      <c r="L970" s="2">
        <v>1</v>
      </c>
      <c r="M970" s="3">
        <v>24.99</v>
      </c>
      <c r="N970" s="2" t="s">
        <v>34</v>
      </c>
      <c r="O970" s="3">
        <v>0</v>
      </c>
      <c r="P970" s="3">
        <v>4.99</v>
      </c>
      <c r="Q970" s="3">
        <v>2</v>
      </c>
      <c r="R970" s="3">
        <v>31.98</v>
      </c>
      <c r="S970" s="2" t="s">
        <v>64</v>
      </c>
      <c r="T970" s="2" t="s">
        <v>173</v>
      </c>
      <c r="U970" s="2" t="s">
        <v>51</v>
      </c>
      <c r="V970" s="2" t="s">
        <v>1207</v>
      </c>
      <c r="W970" s="3">
        <v>0</v>
      </c>
      <c r="X970" t="str">
        <f t="shared" si="45"/>
        <v>December</v>
      </c>
      <c r="Y970" t="str">
        <f t="shared" si="46"/>
        <v>Q4</v>
      </c>
      <c r="Z970" s="7">
        <f t="shared" si="47"/>
        <v>24.99</v>
      </c>
    </row>
    <row r="971" spans="1:26" x14ac:dyDescent="0.3">
      <c r="A971" s="4" t="s">
        <v>5695</v>
      </c>
      <c r="B971" s="9" t="s">
        <v>1631</v>
      </c>
      <c r="C971" s="4" t="s">
        <v>5696</v>
      </c>
      <c r="D971" s="4" t="s">
        <v>3133</v>
      </c>
      <c r="E971" s="4" t="s">
        <v>5697</v>
      </c>
      <c r="F971" s="4" t="s">
        <v>5698</v>
      </c>
      <c r="G971" s="4" t="s">
        <v>347</v>
      </c>
      <c r="H971" s="4" t="s">
        <v>60</v>
      </c>
      <c r="I971" s="4" t="s">
        <v>31</v>
      </c>
      <c r="J971" s="4" t="s">
        <v>5699</v>
      </c>
      <c r="K971" s="4" t="s">
        <v>122</v>
      </c>
      <c r="L971" s="4">
        <v>3</v>
      </c>
      <c r="M971" s="5">
        <v>184.96</v>
      </c>
      <c r="N971" s="4" t="s">
        <v>63</v>
      </c>
      <c r="O971" s="5">
        <v>46.24</v>
      </c>
      <c r="P971" s="5">
        <v>0</v>
      </c>
      <c r="Q971" s="5">
        <v>9.7100000000000009</v>
      </c>
      <c r="R971" s="5">
        <v>148.43</v>
      </c>
      <c r="S971" s="4" t="s">
        <v>79</v>
      </c>
      <c r="T971" s="4" t="s">
        <v>65</v>
      </c>
      <c r="U971" s="4" t="s">
        <v>51</v>
      </c>
      <c r="V971" s="4" t="s">
        <v>1055</v>
      </c>
      <c r="W971" s="5">
        <v>0</v>
      </c>
      <c r="X971" t="str">
        <f t="shared" si="45"/>
        <v>October</v>
      </c>
      <c r="Y971" t="str">
        <f t="shared" si="46"/>
        <v>Q4</v>
      </c>
      <c r="Z971" s="7">
        <f t="shared" si="47"/>
        <v>138.72</v>
      </c>
    </row>
    <row r="972" spans="1:26" x14ac:dyDescent="0.3">
      <c r="A972" s="2" t="s">
        <v>5700</v>
      </c>
      <c r="B972" s="8" t="s">
        <v>1259</v>
      </c>
      <c r="C972" s="2" t="s">
        <v>5701</v>
      </c>
      <c r="D972" s="2" t="s">
        <v>5702</v>
      </c>
      <c r="E972" s="2" t="s">
        <v>5703</v>
      </c>
      <c r="F972" s="2" t="s">
        <v>5704</v>
      </c>
      <c r="G972" s="2" t="s">
        <v>251</v>
      </c>
      <c r="H972" s="2" t="s">
        <v>252</v>
      </c>
      <c r="I972" s="2" t="s">
        <v>31</v>
      </c>
      <c r="J972" s="2" t="s">
        <v>694</v>
      </c>
      <c r="K972" s="2" t="s">
        <v>77</v>
      </c>
      <c r="L972" s="2">
        <v>1</v>
      </c>
      <c r="M972" s="3">
        <v>55.98</v>
      </c>
      <c r="N972" s="2" t="s">
        <v>34</v>
      </c>
      <c r="O972" s="3">
        <v>0</v>
      </c>
      <c r="P972" s="3">
        <v>4.99</v>
      </c>
      <c r="Q972" s="3">
        <v>3.92</v>
      </c>
      <c r="R972" s="3">
        <v>64.89</v>
      </c>
      <c r="S972" s="2" t="s">
        <v>64</v>
      </c>
      <c r="T972" s="2" t="s">
        <v>36</v>
      </c>
      <c r="U972" s="2" t="s">
        <v>51</v>
      </c>
      <c r="V972" s="2" t="s">
        <v>1070</v>
      </c>
      <c r="W972" s="3">
        <v>0</v>
      </c>
      <c r="X972" t="str">
        <f t="shared" si="45"/>
        <v>November</v>
      </c>
      <c r="Y972" t="str">
        <f t="shared" si="46"/>
        <v>Q4</v>
      </c>
      <c r="Z972" s="7">
        <f t="shared" si="47"/>
        <v>55.98</v>
      </c>
    </row>
    <row r="973" spans="1:26" x14ac:dyDescent="0.3">
      <c r="A973" s="4" t="s">
        <v>5705</v>
      </c>
      <c r="B973" s="9" t="s">
        <v>309</v>
      </c>
      <c r="C973" s="4" t="s">
        <v>5706</v>
      </c>
      <c r="D973" s="4" t="s">
        <v>5707</v>
      </c>
      <c r="E973" s="4" t="s">
        <v>5708</v>
      </c>
      <c r="F973" s="4" t="s">
        <v>5709</v>
      </c>
      <c r="G973" s="4" t="s">
        <v>160</v>
      </c>
      <c r="H973" s="4" t="s">
        <v>161</v>
      </c>
      <c r="I973" s="4" t="s">
        <v>31</v>
      </c>
      <c r="J973" s="4" t="s">
        <v>61</v>
      </c>
      <c r="K973" s="4" t="s">
        <v>62</v>
      </c>
      <c r="L973" s="4">
        <v>1</v>
      </c>
      <c r="M973" s="5">
        <v>24.99</v>
      </c>
      <c r="N973" s="4" t="s">
        <v>78</v>
      </c>
      <c r="O973" s="5">
        <v>2.5</v>
      </c>
      <c r="P973" s="5">
        <v>7.99</v>
      </c>
      <c r="Q973" s="5">
        <v>1.91</v>
      </c>
      <c r="R973" s="5">
        <v>32.39</v>
      </c>
      <c r="S973" s="4" t="s">
        <v>35</v>
      </c>
      <c r="T973" s="4" t="s">
        <v>50</v>
      </c>
      <c r="U973" s="4" t="s">
        <v>66</v>
      </c>
      <c r="V973" s="4" t="s">
        <v>1471</v>
      </c>
      <c r="W973" s="5">
        <v>0</v>
      </c>
      <c r="X973" t="str">
        <f t="shared" si="45"/>
        <v>April</v>
      </c>
      <c r="Y973" t="str">
        <f t="shared" si="46"/>
        <v>Q2</v>
      </c>
      <c r="Z973" s="7">
        <f t="shared" si="47"/>
        <v>22.49</v>
      </c>
    </row>
    <row r="974" spans="1:26" x14ac:dyDescent="0.3">
      <c r="A974" s="2" t="s">
        <v>5710</v>
      </c>
      <c r="B974" s="8" t="s">
        <v>952</v>
      </c>
      <c r="C974" s="2" t="s">
        <v>5711</v>
      </c>
      <c r="D974" s="2" t="s">
        <v>3726</v>
      </c>
      <c r="E974" s="2" t="s">
        <v>5712</v>
      </c>
      <c r="F974" s="2" t="s">
        <v>5713</v>
      </c>
      <c r="G974" s="2" t="s">
        <v>323</v>
      </c>
      <c r="H974" s="2" t="s">
        <v>324</v>
      </c>
      <c r="I974" s="2" t="s">
        <v>31</v>
      </c>
      <c r="J974" s="2" t="s">
        <v>5714</v>
      </c>
      <c r="K974" s="2" t="s">
        <v>143</v>
      </c>
      <c r="L974" s="2">
        <v>2</v>
      </c>
      <c r="M974" s="3">
        <v>189.98</v>
      </c>
      <c r="N974" s="2" t="s">
        <v>34</v>
      </c>
      <c r="O974" s="3">
        <v>0</v>
      </c>
      <c r="P974" s="3">
        <v>0</v>
      </c>
      <c r="Q974" s="3">
        <v>17.100000000000001</v>
      </c>
      <c r="R974" s="3">
        <v>207.08</v>
      </c>
      <c r="S974" s="2" t="s">
        <v>64</v>
      </c>
      <c r="T974" s="2" t="s">
        <v>173</v>
      </c>
      <c r="U974" s="2" t="s">
        <v>66</v>
      </c>
      <c r="V974" s="2" t="s">
        <v>957</v>
      </c>
      <c r="W974" s="3">
        <v>0</v>
      </c>
      <c r="X974" t="str">
        <f t="shared" si="45"/>
        <v>May</v>
      </c>
      <c r="Y974" t="str">
        <f t="shared" si="46"/>
        <v>Q2</v>
      </c>
      <c r="Z974" s="7">
        <f t="shared" si="47"/>
        <v>189.98</v>
      </c>
    </row>
    <row r="975" spans="1:26" x14ac:dyDescent="0.3">
      <c r="A975" s="4" t="s">
        <v>5715</v>
      </c>
      <c r="B975" s="9" t="s">
        <v>797</v>
      </c>
      <c r="C975" s="4" t="s">
        <v>3666</v>
      </c>
      <c r="D975" s="4" t="s">
        <v>42</v>
      </c>
      <c r="E975" s="4" t="s">
        <v>5716</v>
      </c>
      <c r="F975" s="4" t="s">
        <v>5717</v>
      </c>
      <c r="G975" s="4" t="s">
        <v>140</v>
      </c>
      <c r="H975" s="4" t="s">
        <v>141</v>
      </c>
      <c r="I975" s="4" t="s">
        <v>31</v>
      </c>
      <c r="J975" s="4" t="s">
        <v>191</v>
      </c>
      <c r="K975" s="4" t="s">
        <v>77</v>
      </c>
      <c r="L975" s="4">
        <v>1</v>
      </c>
      <c r="M975" s="5">
        <v>24.99</v>
      </c>
      <c r="N975" s="4" t="s">
        <v>34</v>
      </c>
      <c r="O975" s="5">
        <v>0</v>
      </c>
      <c r="P975" s="5">
        <v>4.99</v>
      </c>
      <c r="Q975" s="5">
        <v>1.75</v>
      </c>
      <c r="R975" s="5">
        <v>31.73</v>
      </c>
      <c r="S975" s="4" t="s">
        <v>64</v>
      </c>
      <c r="T975" s="4" t="s">
        <v>65</v>
      </c>
      <c r="U975" s="4" t="s">
        <v>66</v>
      </c>
      <c r="V975" s="4" t="s">
        <v>1063</v>
      </c>
      <c r="W975" s="5">
        <v>0</v>
      </c>
      <c r="X975" t="str">
        <f t="shared" si="45"/>
        <v>December</v>
      </c>
      <c r="Y975" t="str">
        <f t="shared" si="46"/>
        <v>Q4</v>
      </c>
      <c r="Z975" s="7">
        <f t="shared" si="47"/>
        <v>24.99</v>
      </c>
    </row>
    <row r="976" spans="1:26" x14ac:dyDescent="0.3">
      <c r="A976" s="2" t="s">
        <v>5718</v>
      </c>
      <c r="B976" s="8" t="s">
        <v>1055</v>
      </c>
      <c r="C976" s="2" t="s">
        <v>5719</v>
      </c>
      <c r="D976" s="2" t="s">
        <v>3853</v>
      </c>
      <c r="E976" s="2" t="s">
        <v>5720</v>
      </c>
      <c r="F976" s="2" t="s">
        <v>5721</v>
      </c>
      <c r="G976" s="2" t="s">
        <v>207</v>
      </c>
      <c r="H976" s="2" t="s">
        <v>141</v>
      </c>
      <c r="I976" s="2" t="s">
        <v>31</v>
      </c>
      <c r="J976" s="2" t="s">
        <v>5722</v>
      </c>
      <c r="K976" s="2" t="s">
        <v>77</v>
      </c>
      <c r="L976" s="2">
        <v>2</v>
      </c>
      <c r="M976" s="3">
        <v>75.97</v>
      </c>
      <c r="N976" s="2" t="s">
        <v>34</v>
      </c>
      <c r="O976" s="3">
        <v>0</v>
      </c>
      <c r="P976" s="3">
        <v>0</v>
      </c>
      <c r="Q976" s="3">
        <v>6.08</v>
      </c>
      <c r="R976" s="3">
        <v>82.05</v>
      </c>
      <c r="S976" s="2" t="s">
        <v>123</v>
      </c>
      <c r="T976" s="2" t="s">
        <v>144</v>
      </c>
      <c r="U976" s="2" t="s">
        <v>51</v>
      </c>
      <c r="V976" s="2" t="s">
        <v>1948</v>
      </c>
      <c r="W976" s="3">
        <v>0</v>
      </c>
      <c r="X976" t="str">
        <f t="shared" si="45"/>
        <v>October</v>
      </c>
      <c r="Y976" t="str">
        <f t="shared" si="46"/>
        <v>Q4</v>
      </c>
      <c r="Z976" s="7">
        <f t="shared" si="47"/>
        <v>75.97</v>
      </c>
    </row>
    <row r="977" spans="1:26" x14ac:dyDescent="0.3">
      <c r="A977" s="4" t="s">
        <v>5723</v>
      </c>
      <c r="B977" s="9" t="s">
        <v>527</v>
      </c>
      <c r="C977" s="4" t="s">
        <v>5724</v>
      </c>
      <c r="D977" s="4" t="s">
        <v>5725</v>
      </c>
      <c r="E977" s="4" t="s">
        <v>5726</v>
      </c>
      <c r="F977" s="4" t="s">
        <v>5727</v>
      </c>
      <c r="G977" s="4" t="s">
        <v>323</v>
      </c>
      <c r="H977" s="4" t="s">
        <v>324</v>
      </c>
      <c r="I977" s="4" t="s">
        <v>31</v>
      </c>
      <c r="J977" s="4" t="s">
        <v>577</v>
      </c>
      <c r="K977" s="4" t="s">
        <v>364</v>
      </c>
      <c r="L977" s="4">
        <v>1</v>
      </c>
      <c r="M977" s="5">
        <v>19.989999999999998</v>
      </c>
      <c r="N977" s="4" t="s">
        <v>34</v>
      </c>
      <c r="O977" s="5">
        <v>0</v>
      </c>
      <c r="P977" s="5">
        <v>4.99</v>
      </c>
      <c r="Q977" s="5">
        <v>1.2</v>
      </c>
      <c r="R977" s="5">
        <v>26.18</v>
      </c>
      <c r="S977" s="4" t="s">
        <v>332</v>
      </c>
      <c r="T977" s="4" t="s">
        <v>173</v>
      </c>
      <c r="U977" s="4" t="s">
        <v>66</v>
      </c>
      <c r="V977" s="4" t="s">
        <v>570</v>
      </c>
      <c r="W977" s="5">
        <v>0</v>
      </c>
      <c r="X977" t="str">
        <f t="shared" si="45"/>
        <v>November</v>
      </c>
      <c r="Y977" t="str">
        <f t="shared" si="46"/>
        <v>Q4</v>
      </c>
      <c r="Z977" s="7">
        <f t="shared" si="47"/>
        <v>19.989999999999998</v>
      </c>
    </row>
    <row r="978" spans="1:26" x14ac:dyDescent="0.3">
      <c r="A978" s="2" t="s">
        <v>5728</v>
      </c>
      <c r="B978" s="8" t="s">
        <v>1631</v>
      </c>
      <c r="C978" s="2" t="s">
        <v>5729</v>
      </c>
      <c r="D978" s="2" t="s">
        <v>3902</v>
      </c>
      <c r="E978" s="2" t="s">
        <v>5730</v>
      </c>
      <c r="F978" s="2" t="s">
        <v>5731</v>
      </c>
      <c r="G978" s="2" t="s">
        <v>802</v>
      </c>
      <c r="H978" s="2" t="s">
        <v>88</v>
      </c>
      <c r="I978" s="2" t="s">
        <v>31</v>
      </c>
      <c r="J978" s="2" t="s">
        <v>5732</v>
      </c>
      <c r="K978" s="2" t="s">
        <v>143</v>
      </c>
      <c r="L978" s="2">
        <v>4</v>
      </c>
      <c r="M978" s="3">
        <v>384.95</v>
      </c>
      <c r="N978" s="2" t="s">
        <v>78</v>
      </c>
      <c r="O978" s="3">
        <v>38.5</v>
      </c>
      <c r="P978" s="3">
        <v>0</v>
      </c>
      <c r="Q978" s="3">
        <v>29.45</v>
      </c>
      <c r="R978" s="3">
        <v>375.9</v>
      </c>
      <c r="S978" s="2" t="s">
        <v>35</v>
      </c>
      <c r="T978" s="2" t="s">
        <v>36</v>
      </c>
      <c r="U978" s="2" t="s">
        <v>66</v>
      </c>
      <c r="V978" s="2" t="s">
        <v>2805</v>
      </c>
      <c r="W978" s="3">
        <v>0</v>
      </c>
      <c r="X978" t="str">
        <f t="shared" si="45"/>
        <v>October</v>
      </c>
      <c r="Y978" t="str">
        <f t="shared" si="46"/>
        <v>Q4</v>
      </c>
      <c r="Z978" s="7">
        <f t="shared" si="47"/>
        <v>346.45</v>
      </c>
    </row>
    <row r="979" spans="1:26" x14ac:dyDescent="0.3">
      <c r="A979" s="4" t="s">
        <v>5733</v>
      </c>
      <c r="B979" s="9" t="s">
        <v>2950</v>
      </c>
      <c r="C979" s="4" t="s">
        <v>5734</v>
      </c>
      <c r="D979" s="4" t="s">
        <v>5735</v>
      </c>
      <c r="E979" s="4" t="s">
        <v>5736</v>
      </c>
      <c r="F979" s="4" t="s">
        <v>5737</v>
      </c>
      <c r="G979" s="4" t="s">
        <v>640</v>
      </c>
      <c r="H979" s="4" t="s">
        <v>161</v>
      </c>
      <c r="I979" s="4" t="s">
        <v>31</v>
      </c>
      <c r="J979" s="4" t="s">
        <v>2721</v>
      </c>
      <c r="K979" s="4" t="s">
        <v>679</v>
      </c>
      <c r="L979" s="4">
        <v>1</v>
      </c>
      <c r="M979" s="5">
        <v>29.98</v>
      </c>
      <c r="N979" s="4" t="s">
        <v>78</v>
      </c>
      <c r="O979" s="5">
        <v>3</v>
      </c>
      <c r="P979" s="5">
        <v>4.99</v>
      </c>
      <c r="Q979" s="5">
        <v>1.62</v>
      </c>
      <c r="R979" s="5">
        <v>33.590000000000003</v>
      </c>
      <c r="S979" s="4" t="s">
        <v>332</v>
      </c>
      <c r="T979" s="4" t="s">
        <v>99</v>
      </c>
      <c r="U979" s="4" t="s">
        <v>37</v>
      </c>
      <c r="V979" s="4" t="s">
        <v>3042</v>
      </c>
      <c r="W979" s="5">
        <v>33.590000000000003</v>
      </c>
      <c r="X979" t="str">
        <f t="shared" si="45"/>
        <v>February</v>
      </c>
      <c r="Y979" t="str">
        <f t="shared" si="46"/>
        <v>Q1</v>
      </c>
      <c r="Z979" s="7">
        <f t="shared" si="47"/>
        <v>26.98</v>
      </c>
    </row>
    <row r="980" spans="1:26" x14ac:dyDescent="0.3">
      <c r="A980" s="2" t="s">
        <v>5738</v>
      </c>
      <c r="B980" s="8" t="s">
        <v>3746</v>
      </c>
      <c r="C980" s="2" t="s">
        <v>5739</v>
      </c>
      <c r="D980" s="2" t="s">
        <v>3700</v>
      </c>
      <c r="E980" s="2" t="s">
        <v>5740</v>
      </c>
      <c r="F980" s="2" t="s">
        <v>5741</v>
      </c>
      <c r="G980" s="2" t="s">
        <v>802</v>
      </c>
      <c r="H980" s="2" t="s">
        <v>88</v>
      </c>
      <c r="I980" s="2" t="s">
        <v>31</v>
      </c>
      <c r="J980" s="2" t="s">
        <v>1786</v>
      </c>
      <c r="K980" s="2" t="s">
        <v>122</v>
      </c>
      <c r="L980" s="2">
        <v>2</v>
      </c>
      <c r="M980" s="3">
        <v>102.98</v>
      </c>
      <c r="N980" s="2" t="s">
        <v>78</v>
      </c>
      <c r="O980" s="3">
        <v>10.3</v>
      </c>
      <c r="P980" s="3">
        <v>0</v>
      </c>
      <c r="Q980" s="3">
        <v>7.88</v>
      </c>
      <c r="R980" s="3">
        <v>100.56</v>
      </c>
      <c r="S980" s="2" t="s">
        <v>123</v>
      </c>
      <c r="T980" s="2" t="s">
        <v>173</v>
      </c>
      <c r="U980" s="2" t="s">
        <v>66</v>
      </c>
      <c r="V980" s="2" t="s">
        <v>2957</v>
      </c>
      <c r="W980" s="3">
        <v>0</v>
      </c>
      <c r="X980" t="str">
        <f t="shared" si="45"/>
        <v>January</v>
      </c>
      <c r="Y980" t="str">
        <f t="shared" si="46"/>
        <v>Q1</v>
      </c>
      <c r="Z980" s="7">
        <f t="shared" si="47"/>
        <v>92.68</v>
      </c>
    </row>
    <row r="981" spans="1:26" x14ac:dyDescent="0.3">
      <c r="A981" s="4" t="s">
        <v>5742</v>
      </c>
      <c r="B981" s="9" t="s">
        <v>1948</v>
      </c>
      <c r="C981" s="4" t="s">
        <v>5743</v>
      </c>
      <c r="D981" s="4" t="s">
        <v>5744</v>
      </c>
      <c r="E981" s="4" t="s">
        <v>5745</v>
      </c>
      <c r="F981" s="4" t="s">
        <v>5746</v>
      </c>
      <c r="G981" s="4" t="s">
        <v>131</v>
      </c>
      <c r="H981" s="4" t="s">
        <v>88</v>
      </c>
      <c r="I981" s="4" t="s">
        <v>31</v>
      </c>
      <c r="J981" s="4" t="s">
        <v>1054</v>
      </c>
      <c r="K981" s="4" t="s">
        <v>364</v>
      </c>
      <c r="L981" s="4">
        <v>1</v>
      </c>
      <c r="M981" s="5">
        <v>44.99</v>
      </c>
      <c r="N981" s="4" t="s">
        <v>163</v>
      </c>
      <c r="O981" s="5">
        <v>9</v>
      </c>
      <c r="P981" s="5">
        <v>7.99</v>
      </c>
      <c r="Q981" s="5">
        <v>3.06</v>
      </c>
      <c r="R981" s="5">
        <v>47.04</v>
      </c>
      <c r="S981" s="4" t="s">
        <v>111</v>
      </c>
      <c r="T981" s="4" t="s">
        <v>173</v>
      </c>
      <c r="U981" s="4" t="s">
        <v>66</v>
      </c>
      <c r="V981" s="4" t="s">
        <v>286</v>
      </c>
      <c r="W981" s="5">
        <v>0</v>
      </c>
      <c r="X981" t="str">
        <f t="shared" si="45"/>
        <v>October</v>
      </c>
      <c r="Y981" t="str">
        <f t="shared" si="46"/>
        <v>Q4</v>
      </c>
      <c r="Z981" s="7">
        <f t="shared" si="47"/>
        <v>35.99</v>
      </c>
    </row>
    <row r="982" spans="1:26" x14ac:dyDescent="0.3">
      <c r="A982" s="2" t="s">
        <v>5747</v>
      </c>
      <c r="B982" s="8" t="s">
        <v>1170</v>
      </c>
      <c r="C982" s="2" t="s">
        <v>5748</v>
      </c>
      <c r="D982" s="2" t="s">
        <v>5749</v>
      </c>
      <c r="E982" s="2" t="s">
        <v>5750</v>
      </c>
      <c r="F982" s="2" t="s">
        <v>5751</v>
      </c>
      <c r="G982" s="2" t="s">
        <v>224</v>
      </c>
      <c r="H982" s="2" t="s">
        <v>225</v>
      </c>
      <c r="I982" s="2" t="s">
        <v>31</v>
      </c>
      <c r="J982" s="2" t="s">
        <v>371</v>
      </c>
      <c r="K982" s="2" t="s">
        <v>122</v>
      </c>
      <c r="L982" s="2">
        <v>1</v>
      </c>
      <c r="M982" s="3">
        <v>109.99</v>
      </c>
      <c r="N982" s="2" t="s">
        <v>49</v>
      </c>
      <c r="O982" s="3">
        <v>16.5</v>
      </c>
      <c r="P982" s="3">
        <v>0</v>
      </c>
      <c r="Q982" s="3">
        <v>5.61</v>
      </c>
      <c r="R982" s="3">
        <v>99.1</v>
      </c>
      <c r="S982" s="2" t="s">
        <v>35</v>
      </c>
      <c r="T982" s="2" t="s">
        <v>99</v>
      </c>
      <c r="U982" s="2" t="s">
        <v>66</v>
      </c>
      <c r="V982" s="2" t="s">
        <v>2285</v>
      </c>
      <c r="W982" s="3">
        <v>0</v>
      </c>
      <c r="X982" t="str">
        <f t="shared" si="45"/>
        <v>January</v>
      </c>
      <c r="Y982" t="str">
        <f t="shared" si="46"/>
        <v>Q1</v>
      </c>
      <c r="Z982" s="7">
        <f t="shared" si="47"/>
        <v>93.49</v>
      </c>
    </row>
    <row r="983" spans="1:26" x14ac:dyDescent="0.3">
      <c r="A983" s="4" t="s">
        <v>5752</v>
      </c>
      <c r="B983" s="9" t="s">
        <v>382</v>
      </c>
      <c r="C983" s="4" t="s">
        <v>5753</v>
      </c>
      <c r="D983" s="4" t="s">
        <v>637</v>
      </c>
      <c r="E983" s="4" t="s">
        <v>5754</v>
      </c>
      <c r="F983" s="4" t="s">
        <v>5755</v>
      </c>
      <c r="G983" s="4" t="s">
        <v>282</v>
      </c>
      <c r="H983" s="4" t="s">
        <v>88</v>
      </c>
      <c r="I983" s="4" t="s">
        <v>31</v>
      </c>
      <c r="J983" s="4" t="s">
        <v>387</v>
      </c>
      <c r="K983" s="4" t="s">
        <v>33</v>
      </c>
      <c r="L983" s="4">
        <v>1</v>
      </c>
      <c r="M983" s="5">
        <v>35.99</v>
      </c>
      <c r="N983" s="4" t="s">
        <v>152</v>
      </c>
      <c r="O983" s="5">
        <v>1.8</v>
      </c>
      <c r="P983" s="5">
        <v>5.99</v>
      </c>
      <c r="Q983" s="5">
        <v>3.08</v>
      </c>
      <c r="R983" s="5">
        <v>43.26</v>
      </c>
      <c r="S983" s="4" t="s">
        <v>332</v>
      </c>
      <c r="T983" s="4" t="s">
        <v>36</v>
      </c>
      <c r="U983" s="4" t="s">
        <v>66</v>
      </c>
      <c r="V983" s="4" t="s">
        <v>333</v>
      </c>
      <c r="W983" s="5">
        <v>0</v>
      </c>
      <c r="X983" t="str">
        <f t="shared" si="45"/>
        <v>April</v>
      </c>
      <c r="Y983" t="str">
        <f t="shared" si="46"/>
        <v>Q2</v>
      </c>
      <c r="Z983" s="7">
        <f t="shared" si="47"/>
        <v>34.190000000000005</v>
      </c>
    </row>
    <row r="984" spans="1:26" x14ac:dyDescent="0.3">
      <c r="A984" s="2" t="s">
        <v>5756</v>
      </c>
      <c r="B984" s="8" t="s">
        <v>296</v>
      </c>
      <c r="C984" s="2" t="s">
        <v>5757</v>
      </c>
      <c r="D984" s="2" t="s">
        <v>5419</v>
      </c>
      <c r="E984" s="2" t="s">
        <v>5758</v>
      </c>
      <c r="F984" s="2" t="s">
        <v>5759</v>
      </c>
      <c r="G984" s="2" t="s">
        <v>242</v>
      </c>
      <c r="H984" s="2" t="s">
        <v>243</v>
      </c>
      <c r="I984" s="2" t="s">
        <v>31</v>
      </c>
      <c r="J984" s="2" t="s">
        <v>5760</v>
      </c>
      <c r="K984" s="2" t="s">
        <v>209</v>
      </c>
      <c r="L984" s="2">
        <v>2</v>
      </c>
      <c r="M984" s="3">
        <v>92.98</v>
      </c>
      <c r="N984" s="2" t="s">
        <v>152</v>
      </c>
      <c r="O984" s="3">
        <v>4.6500000000000004</v>
      </c>
      <c r="P984" s="3">
        <v>0</v>
      </c>
      <c r="Q984" s="3">
        <v>7.51</v>
      </c>
      <c r="R984" s="3">
        <v>95.84</v>
      </c>
      <c r="S984" s="2" t="s">
        <v>79</v>
      </c>
      <c r="T984" s="2" t="s">
        <v>99</v>
      </c>
      <c r="U984" s="2" t="s">
        <v>37</v>
      </c>
      <c r="V984" s="2" t="s">
        <v>202</v>
      </c>
      <c r="W984" s="3">
        <v>95.84</v>
      </c>
      <c r="X984" t="str">
        <f t="shared" si="45"/>
        <v>August</v>
      </c>
      <c r="Y984" t="str">
        <f t="shared" si="46"/>
        <v>Q3</v>
      </c>
      <c r="Z984" s="7">
        <f t="shared" si="47"/>
        <v>88.33</v>
      </c>
    </row>
    <row r="985" spans="1:26" x14ac:dyDescent="0.3">
      <c r="A985" s="4" t="s">
        <v>5761</v>
      </c>
      <c r="B985" s="9" t="s">
        <v>478</v>
      </c>
      <c r="C985" s="4" t="s">
        <v>5762</v>
      </c>
      <c r="D985" s="4" t="s">
        <v>1926</v>
      </c>
      <c r="E985" s="4" t="s">
        <v>5763</v>
      </c>
      <c r="F985" s="4" t="s">
        <v>5764</v>
      </c>
      <c r="G985" s="4" t="s">
        <v>676</v>
      </c>
      <c r="H985" s="4" t="s">
        <v>677</v>
      </c>
      <c r="I985" s="4" t="s">
        <v>31</v>
      </c>
      <c r="J985" s="4" t="s">
        <v>5765</v>
      </c>
      <c r="K985" s="4" t="s">
        <v>33</v>
      </c>
      <c r="L985" s="4">
        <v>2</v>
      </c>
      <c r="M985" s="5">
        <v>105.97</v>
      </c>
      <c r="N985" s="4" t="s">
        <v>34</v>
      </c>
      <c r="O985" s="5">
        <v>0</v>
      </c>
      <c r="P985" s="5">
        <v>0</v>
      </c>
      <c r="Q985" s="5">
        <v>7.42</v>
      </c>
      <c r="R985" s="5">
        <v>113.39</v>
      </c>
      <c r="S985" s="4" t="s">
        <v>35</v>
      </c>
      <c r="T985" s="4" t="s">
        <v>99</v>
      </c>
      <c r="U985" s="4" t="s">
        <v>66</v>
      </c>
      <c r="V985" s="4" t="s">
        <v>482</v>
      </c>
      <c r="W985" s="5">
        <v>0</v>
      </c>
      <c r="X985" t="str">
        <f t="shared" si="45"/>
        <v>May</v>
      </c>
      <c r="Y985" t="str">
        <f t="shared" si="46"/>
        <v>Q2</v>
      </c>
      <c r="Z985" s="7">
        <f t="shared" si="47"/>
        <v>105.97</v>
      </c>
    </row>
    <row r="986" spans="1:26" x14ac:dyDescent="0.3">
      <c r="A986" s="2" t="s">
        <v>5766</v>
      </c>
      <c r="B986" s="8" t="s">
        <v>284</v>
      </c>
      <c r="C986" s="2" t="s">
        <v>5767</v>
      </c>
      <c r="D986" s="2" t="s">
        <v>1709</v>
      </c>
      <c r="E986" s="2" t="s">
        <v>5768</v>
      </c>
      <c r="F986" s="2" t="s">
        <v>5769</v>
      </c>
      <c r="G986" s="2" t="s">
        <v>224</v>
      </c>
      <c r="H986" s="2" t="s">
        <v>225</v>
      </c>
      <c r="I986" s="2" t="s">
        <v>31</v>
      </c>
      <c r="J986" s="2" t="s">
        <v>5770</v>
      </c>
      <c r="K986" s="2" t="s">
        <v>143</v>
      </c>
      <c r="L986" s="2">
        <v>3</v>
      </c>
      <c r="M986" s="3">
        <v>209.96</v>
      </c>
      <c r="N986" s="2" t="s">
        <v>152</v>
      </c>
      <c r="O986" s="3">
        <v>10.5</v>
      </c>
      <c r="P986" s="3">
        <v>0</v>
      </c>
      <c r="Q986" s="3">
        <v>16.95</v>
      </c>
      <c r="R986" s="3">
        <v>216.41</v>
      </c>
      <c r="S986" s="2" t="s">
        <v>332</v>
      </c>
      <c r="T986" s="2" t="s">
        <v>99</v>
      </c>
      <c r="U986" s="2" t="s">
        <v>66</v>
      </c>
      <c r="V986" s="2" t="s">
        <v>2616</v>
      </c>
      <c r="W986" s="3">
        <v>0</v>
      </c>
      <c r="X986" t="str">
        <f t="shared" si="45"/>
        <v>March</v>
      </c>
      <c r="Y986" t="str">
        <f t="shared" si="46"/>
        <v>Q1</v>
      </c>
      <c r="Z986" s="7">
        <f t="shared" si="47"/>
        <v>199.46</v>
      </c>
    </row>
    <row r="987" spans="1:26" x14ac:dyDescent="0.3">
      <c r="A987" s="4" t="s">
        <v>5771</v>
      </c>
      <c r="B987" s="9" t="s">
        <v>67</v>
      </c>
      <c r="C987" s="4" t="s">
        <v>5772</v>
      </c>
      <c r="D987" s="4" t="s">
        <v>4504</v>
      </c>
      <c r="E987" s="4" t="s">
        <v>5773</v>
      </c>
      <c r="F987" s="4" t="s">
        <v>5774</v>
      </c>
      <c r="G987" s="4" t="s">
        <v>45</v>
      </c>
      <c r="H987" s="4" t="s">
        <v>46</v>
      </c>
      <c r="I987" s="4" t="s">
        <v>31</v>
      </c>
      <c r="J987" s="4" t="s">
        <v>5775</v>
      </c>
      <c r="K987" s="4" t="s">
        <v>209</v>
      </c>
      <c r="L987" s="4">
        <v>3</v>
      </c>
      <c r="M987" s="5">
        <v>89.97</v>
      </c>
      <c r="N987" s="4" t="s">
        <v>34</v>
      </c>
      <c r="O987" s="5">
        <v>0</v>
      </c>
      <c r="P987" s="5">
        <v>0</v>
      </c>
      <c r="Q987" s="5">
        <v>9</v>
      </c>
      <c r="R987" s="5">
        <v>98.97</v>
      </c>
      <c r="S987" s="4" t="s">
        <v>332</v>
      </c>
      <c r="T987" s="4" t="s">
        <v>36</v>
      </c>
      <c r="U987" s="4" t="s">
        <v>66</v>
      </c>
      <c r="V987" s="4" t="s">
        <v>496</v>
      </c>
      <c r="W987" s="5">
        <v>0</v>
      </c>
      <c r="X987" t="str">
        <f t="shared" si="45"/>
        <v>July</v>
      </c>
      <c r="Y987" t="str">
        <f t="shared" si="46"/>
        <v>Q3</v>
      </c>
      <c r="Z987" s="7">
        <f t="shared" si="47"/>
        <v>89.97</v>
      </c>
    </row>
    <row r="988" spans="1:26" x14ac:dyDescent="0.3">
      <c r="A988" s="2" t="s">
        <v>5776</v>
      </c>
      <c r="B988" s="8" t="s">
        <v>439</v>
      </c>
      <c r="C988" s="2" t="s">
        <v>5777</v>
      </c>
      <c r="D988" s="2" t="s">
        <v>2080</v>
      </c>
      <c r="E988" s="2" t="s">
        <v>5778</v>
      </c>
      <c r="F988" s="2" t="s">
        <v>5779</v>
      </c>
      <c r="G988" s="2" t="s">
        <v>640</v>
      </c>
      <c r="H988" s="2" t="s">
        <v>161</v>
      </c>
      <c r="I988" s="2" t="s">
        <v>31</v>
      </c>
      <c r="J988" s="2" t="s">
        <v>533</v>
      </c>
      <c r="K988" s="2" t="s">
        <v>209</v>
      </c>
      <c r="L988" s="2">
        <v>1</v>
      </c>
      <c r="M988" s="3">
        <v>239.98</v>
      </c>
      <c r="N988" s="2" t="s">
        <v>34</v>
      </c>
      <c r="O988" s="3">
        <v>0</v>
      </c>
      <c r="P988" s="3">
        <v>0</v>
      </c>
      <c r="Q988" s="3">
        <v>20.399999999999999</v>
      </c>
      <c r="R988" s="3">
        <v>260.38</v>
      </c>
      <c r="S988" s="2" t="s">
        <v>437</v>
      </c>
      <c r="T988" s="2" t="s">
        <v>144</v>
      </c>
      <c r="U988" s="2" t="s">
        <v>37</v>
      </c>
      <c r="V988" s="2" t="s">
        <v>1976</v>
      </c>
      <c r="W988" s="3">
        <v>260.38</v>
      </c>
      <c r="X988" t="str">
        <f t="shared" si="45"/>
        <v>August</v>
      </c>
      <c r="Y988" t="str">
        <f t="shared" si="46"/>
        <v>Q3</v>
      </c>
      <c r="Z988" s="7">
        <f t="shared" si="47"/>
        <v>239.98</v>
      </c>
    </row>
    <row r="989" spans="1:26" x14ac:dyDescent="0.3">
      <c r="A989" s="4" t="s">
        <v>5780</v>
      </c>
      <c r="B989" s="9" t="s">
        <v>4974</v>
      </c>
      <c r="C989" s="4" t="s">
        <v>5781</v>
      </c>
      <c r="D989" s="4" t="s">
        <v>5782</v>
      </c>
      <c r="E989" s="4" t="s">
        <v>5783</v>
      </c>
      <c r="F989" s="4" t="s">
        <v>5784</v>
      </c>
      <c r="G989" s="4" t="s">
        <v>224</v>
      </c>
      <c r="H989" s="4" t="s">
        <v>225</v>
      </c>
      <c r="I989" s="4" t="s">
        <v>31</v>
      </c>
      <c r="J989" s="4" t="s">
        <v>1175</v>
      </c>
      <c r="K989" s="4" t="s">
        <v>143</v>
      </c>
      <c r="L989" s="4">
        <v>1</v>
      </c>
      <c r="M989" s="5">
        <v>54.99</v>
      </c>
      <c r="N989" s="4" t="s">
        <v>34</v>
      </c>
      <c r="O989" s="5">
        <v>0</v>
      </c>
      <c r="P989" s="5">
        <v>9.99</v>
      </c>
      <c r="Q989" s="5">
        <v>4.4000000000000004</v>
      </c>
      <c r="R989" s="5">
        <v>69.38</v>
      </c>
      <c r="S989" s="4" t="s">
        <v>123</v>
      </c>
      <c r="T989" s="4" t="s">
        <v>144</v>
      </c>
      <c r="U989" s="4" t="s">
        <v>66</v>
      </c>
      <c r="V989" s="4" t="s">
        <v>804</v>
      </c>
      <c r="W989" s="5">
        <v>0</v>
      </c>
      <c r="X989" t="str">
        <f t="shared" si="45"/>
        <v>December</v>
      </c>
      <c r="Y989" t="str">
        <f t="shared" si="46"/>
        <v>Q4</v>
      </c>
      <c r="Z989" s="7">
        <f t="shared" si="47"/>
        <v>54.99</v>
      </c>
    </row>
    <row r="990" spans="1:26" x14ac:dyDescent="0.3">
      <c r="A990" s="2" t="s">
        <v>5785</v>
      </c>
      <c r="B990" s="8" t="s">
        <v>2130</v>
      </c>
      <c r="C990" s="2" t="s">
        <v>5786</v>
      </c>
      <c r="D990" s="2" t="s">
        <v>2917</v>
      </c>
      <c r="E990" s="2" t="s">
        <v>5787</v>
      </c>
      <c r="F990" s="2" t="s">
        <v>5788</v>
      </c>
      <c r="G990" s="2" t="s">
        <v>428</v>
      </c>
      <c r="H990" s="2" t="s">
        <v>429</v>
      </c>
      <c r="I990" s="2" t="s">
        <v>31</v>
      </c>
      <c r="J990" s="2" t="s">
        <v>283</v>
      </c>
      <c r="K990" s="2" t="s">
        <v>209</v>
      </c>
      <c r="L990" s="2">
        <v>1</v>
      </c>
      <c r="M990" s="3">
        <v>49.99</v>
      </c>
      <c r="N990" s="2" t="s">
        <v>78</v>
      </c>
      <c r="O990" s="3">
        <v>5</v>
      </c>
      <c r="P990" s="3">
        <v>9.99</v>
      </c>
      <c r="Q990" s="3">
        <v>4.5</v>
      </c>
      <c r="R990" s="3">
        <v>59.48</v>
      </c>
      <c r="S990" s="2" t="s">
        <v>35</v>
      </c>
      <c r="T990" s="2" t="s">
        <v>183</v>
      </c>
      <c r="U990" s="2" t="s">
        <v>66</v>
      </c>
      <c r="V990" s="2" t="s">
        <v>2285</v>
      </c>
      <c r="W990" s="3">
        <v>0</v>
      </c>
      <c r="X990" t="str">
        <f t="shared" si="45"/>
        <v>January</v>
      </c>
      <c r="Y990" t="str">
        <f t="shared" si="46"/>
        <v>Q1</v>
      </c>
      <c r="Z990" s="7">
        <f t="shared" si="47"/>
        <v>44.99</v>
      </c>
    </row>
    <row r="991" spans="1:26" x14ac:dyDescent="0.3">
      <c r="A991" s="4" t="s">
        <v>5789</v>
      </c>
      <c r="B991" s="9" t="s">
        <v>701</v>
      </c>
      <c r="C991" s="4" t="s">
        <v>5790</v>
      </c>
      <c r="D991" s="4" t="s">
        <v>5791</v>
      </c>
      <c r="E991" s="4" t="s">
        <v>5792</v>
      </c>
      <c r="F991" s="4" t="s">
        <v>5793</v>
      </c>
      <c r="G991" s="4" t="s">
        <v>180</v>
      </c>
      <c r="H991" s="4" t="s">
        <v>181</v>
      </c>
      <c r="I991" s="4" t="s">
        <v>31</v>
      </c>
      <c r="J991" s="4" t="s">
        <v>5794</v>
      </c>
      <c r="K991" s="4" t="s">
        <v>143</v>
      </c>
      <c r="L991" s="4">
        <v>2</v>
      </c>
      <c r="M991" s="5">
        <v>309.97000000000003</v>
      </c>
      <c r="N991" s="4" t="s">
        <v>34</v>
      </c>
      <c r="O991" s="5">
        <v>0</v>
      </c>
      <c r="P991" s="5">
        <v>0</v>
      </c>
      <c r="Q991" s="5">
        <v>27.9</v>
      </c>
      <c r="R991" s="5">
        <v>337.87</v>
      </c>
      <c r="S991" s="4" t="s">
        <v>64</v>
      </c>
      <c r="T991" s="4" t="s">
        <v>36</v>
      </c>
      <c r="U991" s="4" t="s">
        <v>37</v>
      </c>
      <c r="V991" s="4" t="s">
        <v>849</v>
      </c>
      <c r="W991" s="5">
        <v>337.87</v>
      </c>
      <c r="X991" t="str">
        <f t="shared" si="45"/>
        <v>March</v>
      </c>
      <c r="Y991" t="str">
        <f t="shared" si="46"/>
        <v>Q1</v>
      </c>
      <c r="Z991" s="7">
        <f t="shared" si="47"/>
        <v>309.97000000000003</v>
      </c>
    </row>
    <row r="992" spans="1:26" x14ac:dyDescent="0.3">
      <c r="A992" s="2" t="s">
        <v>5795</v>
      </c>
      <c r="B992" s="8" t="s">
        <v>1334</v>
      </c>
      <c r="C992" s="2" t="s">
        <v>5796</v>
      </c>
      <c r="D992" s="2" t="s">
        <v>5797</v>
      </c>
      <c r="E992" s="2" t="s">
        <v>5798</v>
      </c>
      <c r="F992" s="2" t="s">
        <v>5799</v>
      </c>
      <c r="G992" s="2" t="s">
        <v>282</v>
      </c>
      <c r="H992" s="2" t="s">
        <v>88</v>
      </c>
      <c r="I992" s="2" t="s">
        <v>31</v>
      </c>
      <c r="J992" s="2" t="s">
        <v>5800</v>
      </c>
      <c r="K992" s="2" t="s">
        <v>122</v>
      </c>
      <c r="L992" s="2">
        <v>2</v>
      </c>
      <c r="M992" s="3">
        <v>97.97</v>
      </c>
      <c r="N992" s="2" t="s">
        <v>34</v>
      </c>
      <c r="O992" s="3">
        <v>0</v>
      </c>
      <c r="P992" s="3">
        <v>0</v>
      </c>
      <c r="Q992" s="3">
        <v>8.82</v>
      </c>
      <c r="R992" s="3">
        <v>106.79</v>
      </c>
      <c r="S992" s="2" t="s">
        <v>123</v>
      </c>
      <c r="T992" s="2" t="s">
        <v>99</v>
      </c>
      <c r="U992" s="2" t="s">
        <v>66</v>
      </c>
      <c r="V992" s="2" t="s">
        <v>572</v>
      </c>
      <c r="W992" s="3">
        <v>0</v>
      </c>
      <c r="X992" t="str">
        <f t="shared" si="45"/>
        <v>January</v>
      </c>
      <c r="Y992" t="str">
        <f t="shared" si="46"/>
        <v>Q1</v>
      </c>
      <c r="Z992" s="7">
        <f t="shared" si="47"/>
        <v>97.97</v>
      </c>
    </row>
    <row r="993" spans="1:26" x14ac:dyDescent="0.3">
      <c r="A993" s="4" t="s">
        <v>5801</v>
      </c>
      <c r="B993" s="9" t="s">
        <v>145</v>
      </c>
      <c r="C993" s="4" t="s">
        <v>5802</v>
      </c>
      <c r="D993" s="4" t="s">
        <v>5803</v>
      </c>
      <c r="E993" s="4" t="s">
        <v>5804</v>
      </c>
      <c r="F993" s="4" t="s">
        <v>5805</v>
      </c>
      <c r="G993" s="4" t="s">
        <v>190</v>
      </c>
      <c r="H993" s="4" t="s">
        <v>161</v>
      </c>
      <c r="I993" s="4" t="s">
        <v>31</v>
      </c>
      <c r="J993" s="4" t="s">
        <v>387</v>
      </c>
      <c r="K993" s="4" t="s">
        <v>33</v>
      </c>
      <c r="L993" s="4">
        <v>1</v>
      </c>
      <c r="M993" s="5">
        <v>35.99</v>
      </c>
      <c r="N993" s="4" t="s">
        <v>34</v>
      </c>
      <c r="O993" s="5">
        <v>0</v>
      </c>
      <c r="P993" s="5">
        <v>9.99</v>
      </c>
      <c r="Q993" s="5">
        <v>3.24</v>
      </c>
      <c r="R993" s="5">
        <v>49.22</v>
      </c>
      <c r="S993" s="4" t="s">
        <v>332</v>
      </c>
      <c r="T993" s="4" t="s">
        <v>183</v>
      </c>
      <c r="U993" s="4" t="s">
        <v>317</v>
      </c>
      <c r="V993" s="4"/>
      <c r="W993" s="5">
        <v>0</v>
      </c>
      <c r="X993" t="str">
        <f t="shared" si="45"/>
        <v>August</v>
      </c>
      <c r="Y993" t="str">
        <f t="shared" si="46"/>
        <v>Q3</v>
      </c>
      <c r="Z993" s="7">
        <f t="shared" si="47"/>
        <v>35.99</v>
      </c>
    </row>
    <row r="994" spans="1:26" x14ac:dyDescent="0.3">
      <c r="A994" s="2" t="s">
        <v>5806</v>
      </c>
      <c r="B994" s="8" t="s">
        <v>349</v>
      </c>
      <c r="C994" s="2" t="s">
        <v>5807</v>
      </c>
      <c r="D994" s="2" t="s">
        <v>2649</v>
      </c>
      <c r="E994" s="2" t="s">
        <v>4734</v>
      </c>
      <c r="F994" s="2" t="s">
        <v>5808</v>
      </c>
      <c r="G994" s="2" t="s">
        <v>692</v>
      </c>
      <c r="H994" s="2" t="s">
        <v>693</v>
      </c>
      <c r="I994" s="2" t="s">
        <v>31</v>
      </c>
      <c r="J994" s="2" t="s">
        <v>1175</v>
      </c>
      <c r="K994" s="2" t="s">
        <v>143</v>
      </c>
      <c r="L994" s="2">
        <v>1</v>
      </c>
      <c r="M994" s="3">
        <v>54.99</v>
      </c>
      <c r="N994" s="2" t="s">
        <v>78</v>
      </c>
      <c r="O994" s="3">
        <v>5.5</v>
      </c>
      <c r="P994" s="3">
        <v>9.99</v>
      </c>
      <c r="Q994" s="3">
        <v>2.97</v>
      </c>
      <c r="R994" s="3">
        <v>62.45</v>
      </c>
      <c r="S994" s="2" t="s">
        <v>35</v>
      </c>
      <c r="T994" s="2" t="s">
        <v>173</v>
      </c>
      <c r="U994" s="2" t="s">
        <v>66</v>
      </c>
      <c r="V994" s="2" t="s">
        <v>296</v>
      </c>
      <c r="W994" s="3">
        <v>0</v>
      </c>
      <c r="X994" t="str">
        <f t="shared" si="45"/>
        <v>August</v>
      </c>
      <c r="Y994" t="str">
        <f t="shared" si="46"/>
        <v>Q3</v>
      </c>
      <c r="Z994" s="7">
        <f t="shared" si="47"/>
        <v>49.49</v>
      </c>
    </row>
    <row r="995" spans="1:26" x14ac:dyDescent="0.3">
      <c r="A995" s="4" t="s">
        <v>5809</v>
      </c>
      <c r="B995" s="9" t="s">
        <v>470</v>
      </c>
      <c r="C995" s="4" t="s">
        <v>5810</v>
      </c>
      <c r="D995" s="4" t="s">
        <v>4773</v>
      </c>
      <c r="E995" s="4" t="s">
        <v>5811</v>
      </c>
      <c r="F995" s="4" t="s">
        <v>5812</v>
      </c>
      <c r="G995" s="4" t="s">
        <v>802</v>
      </c>
      <c r="H995" s="4" t="s">
        <v>88</v>
      </c>
      <c r="I995" s="4" t="s">
        <v>31</v>
      </c>
      <c r="J995" s="4" t="s">
        <v>316</v>
      </c>
      <c r="K995" s="4" t="s">
        <v>48</v>
      </c>
      <c r="L995" s="4">
        <v>1</v>
      </c>
      <c r="M995" s="5">
        <v>34.99</v>
      </c>
      <c r="N995" s="4" t="s">
        <v>49</v>
      </c>
      <c r="O995" s="5">
        <v>5.25</v>
      </c>
      <c r="P995" s="5">
        <v>7.99</v>
      </c>
      <c r="Q995" s="5">
        <v>2.68</v>
      </c>
      <c r="R995" s="5">
        <v>40.409999999999997</v>
      </c>
      <c r="S995" s="4" t="s">
        <v>123</v>
      </c>
      <c r="T995" s="4" t="s">
        <v>99</v>
      </c>
      <c r="U995" s="4" t="s">
        <v>66</v>
      </c>
      <c r="V995" s="4" t="s">
        <v>194</v>
      </c>
      <c r="W995" s="5">
        <v>0</v>
      </c>
      <c r="X995" t="str">
        <f t="shared" si="45"/>
        <v>December</v>
      </c>
      <c r="Y995" t="str">
        <f t="shared" si="46"/>
        <v>Q4</v>
      </c>
      <c r="Z995" s="7">
        <f t="shared" si="47"/>
        <v>29.740000000000002</v>
      </c>
    </row>
    <row r="996" spans="1:26" x14ac:dyDescent="0.3">
      <c r="A996" s="2" t="s">
        <v>5813</v>
      </c>
      <c r="B996" s="8" t="s">
        <v>992</v>
      </c>
      <c r="C996" s="2" t="s">
        <v>5814</v>
      </c>
      <c r="D996" s="2" t="s">
        <v>5815</v>
      </c>
      <c r="E996" s="2" t="s">
        <v>5816</v>
      </c>
      <c r="F996" s="2" t="s">
        <v>5817</v>
      </c>
      <c r="G996" s="2" t="s">
        <v>59</v>
      </c>
      <c r="H996" s="2" t="s">
        <v>60</v>
      </c>
      <c r="I996" s="2" t="s">
        <v>31</v>
      </c>
      <c r="J996" s="2" t="s">
        <v>3130</v>
      </c>
      <c r="K996" s="2" t="s">
        <v>209</v>
      </c>
      <c r="L996" s="2">
        <v>1</v>
      </c>
      <c r="M996" s="3">
        <v>359.97</v>
      </c>
      <c r="N996" s="2" t="s">
        <v>63</v>
      </c>
      <c r="O996" s="3">
        <v>89.99</v>
      </c>
      <c r="P996" s="3">
        <v>0</v>
      </c>
      <c r="Q996" s="3">
        <v>22.95</v>
      </c>
      <c r="R996" s="3">
        <v>292.93</v>
      </c>
      <c r="S996" s="2" t="s">
        <v>64</v>
      </c>
      <c r="T996" s="2" t="s">
        <v>99</v>
      </c>
      <c r="U996" s="2" t="s">
        <v>66</v>
      </c>
      <c r="V996" s="2" t="s">
        <v>303</v>
      </c>
      <c r="W996" s="3">
        <v>0</v>
      </c>
      <c r="X996" t="str">
        <f t="shared" si="45"/>
        <v>April</v>
      </c>
      <c r="Y996" t="str">
        <f t="shared" si="46"/>
        <v>Q2</v>
      </c>
      <c r="Z996" s="7">
        <f t="shared" si="47"/>
        <v>269.98</v>
      </c>
    </row>
    <row r="997" spans="1:26" x14ac:dyDescent="0.3">
      <c r="A997" s="4" t="s">
        <v>5818</v>
      </c>
      <c r="B997" s="9" t="s">
        <v>1640</v>
      </c>
      <c r="C997" s="4" t="s">
        <v>5819</v>
      </c>
      <c r="D997" s="4" t="s">
        <v>3642</v>
      </c>
      <c r="E997" s="4" t="s">
        <v>5820</v>
      </c>
      <c r="F997" s="4" t="s">
        <v>5821</v>
      </c>
      <c r="G997" s="4" t="s">
        <v>224</v>
      </c>
      <c r="H997" s="4" t="s">
        <v>225</v>
      </c>
      <c r="I997" s="4" t="s">
        <v>31</v>
      </c>
      <c r="J997" s="4" t="s">
        <v>2576</v>
      </c>
      <c r="K997" s="4" t="s">
        <v>33</v>
      </c>
      <c r="L997" s="4">
        <v>1</v>
      </c>
      <c r="M997" s="5">
        <v>99.98</v>
      </c>
      <c r="N997" s="4" t="s">
        <v>152</v>
      </c>
      <c r="O997" s="5">
        <v>5</v>
      </c>
      <c r="P997" s="5">
        <v>0</v>
      </c>
      <c r="Q997" s="5">
        <v>9.5</v>
      </c>
      <c r="R997" s="5">
        <v>104.48</v>
      </c>
      <c r="S997" s="4" t="s">
        <v>332</v>
      </c>
      <c r="T997" s="4" t="s">
        <v>325</v>
      </c>
      <c r="U997" s="4" t="s">
        <v>66</v>
      </c>
      <c r="V997" s="4" t="s">
        <v>2278</v>
      </c>
      <c r="W997" s="5">
        <v>0</v>
      </c>
      <c r="X997" t="str">
        <f t="shared" si="45"/>
        <v>October</v>
      </c>
      <c r="Y997" t="str">
        <f t="shared" si="46"/>
        <v>Q4</v>
      </c>
      <c r="Z997" s="7">
        <f t="shared" si="47"/>
        <v>94.98</v>
      </c>
    </row>
    <row r="998" spans="1:26" x14ac:dyDescent="0.3">
      <c r="A998" s="2" t="s">
        <v>5822</v>
      </c>
      <c r="B998" s="8" t="s">
        <v>3274</v>
      </c>
      <c r="C998" s="2" t="s">
        <v>5165</v>
      </c>
      <c r="D998" s="2" t="s">
        <v>5160</v>
      </c>
      <c r="E998" s="2" t="s">
        <v>5823</v>
      </c>
      <c r="F998" s="2" t="s">
        <v>5824</v>
      </c>
      <c r="G998" s="2" t="s">
        <v>291</v>
      </c>
      <c r="H998" s="2" t="s">
        <v>292</v>
      </c>
      <c r="I998" s="2" t="s">
        <v>31</v>
      </c>
      <c r="J998" s="2" t="s">
        <v>371</v>
      </c>
      <c r="K998" s="2" t="s">
        <v>122</v>
      </c>
      <c r="L998" s="2">
        <v>1</v>
      </c>
      <c r="M998" s="3">
        <v>109.99</v>
      </c>
      <c r="N998" s="2" t="s">
        <v>63</v>
      </c>
      <c r="O998" s="3">
        <v>27.5</v>
      </c>
      <c r="P998" s="3">
        <v>0</v>
      </c>
      <c r="Q998" s="3">
        <v>4.95</v>
      </c>
      <c r="R998" s="3">
        <v>87.44</v>
      </c>
      <c r="S998" s="2" t="s">
        <v>123</v>
      </c>
      <c r="T998" s="2" t="s">
        <v>183</v>
      </c>
      <c r="U998" s="2" t="s">
        <v>66</v>
      </c>
      <c r="V998" s="2" t="s">
        <v>505</v>
      </c>
      <c r="W998" s="3">
        <v>0</v>
      </c>
      <c r="X998" t="str">
        <f t="shared" si="45"/>
        <v>April</v>
      </c>
      <c r="Y998" t="str">
        <f t="shared" si="46"/>
        <v>Q2</v>
      </c>
      <c r="Z998" s="7">
        <f t="shared" si="47"/>
        <v>82.49</v>
      </c>
    </row>
    <row r="999" spans="1:26" x14ac:dyDescent="0.3">
      <c r="A999" s="4" t="s">
        <v>5825</v>
      </c>
      <c r="B999" s="9" t="s">
        <v>922</v>
      </c>
      <c r="C999" s="4" t="s">
        <v>5826</v>
      </c>
      <c r="D999" s="4" t="s">
        <v>4889</v>
      </c>
      <c r="E999" s="4" t="s">
        <v>5827</v>
      </c>
      <c r="F999" s="4" t="s">
        <v>5828</v>
      </c>
      <c r="G999" s="4" t="s">
        <v>87</v>
      </c>
      <c r="H999" s="4" t="s">
        <v>88</v>
      </c>
      <c r="I999" s="4" t="s">
        <v>31</v>
      </c>
      <c r="J999" s="4" t="s">
        <v>172</v>
      </c>
      <c r="K999" s="4" t="s">
        <v>122</v>
      </c>
      <c r="L999" s="4">
        <v>1</v>
      </c>
      <c r="M999" s="5">
        <v>69.989999999999995</v>
      </c>
      <c r="N999" s="4" t="s">
        <v>78</v>
      </c>
      <c r="O999" s="5">
        <v>7</v>
      </c>
      <c r="P999" s="5">
        <v>4.99</v>
      </c>
      <c r="Q999" s="5">
        <v>5.67</v>
      </c>
      <c r="R999" s="5">
        <v>73.650000000000006</v>
      </c>
      <c r="S999" s="4" t="s">
        <v>123</v>
      </c>
      <c r="T999" s="4" t="s">
        <v>183</v>
      </c>
      <c r="U999" s="4" t="s">
        <v>100</v>
      </c>
      <c r="V999" s="4"/>
      <c r="W999" s="5">
        <v>0</v>
      </c>
      <c r="X999" t="str">
        <f t="shared" si="45"/>
        <v>September</v>
      </c>
      <c r="Y999" t="str">
        <f t="shared" si="46"/>
        <v>Q3</v>
      </c>
      <c r="Z999" s="7">
        <f t="shared" si="47"/>
        <v>62.989999999999995</v>
      </c>
    </row>
    <row r="1000" spans="1:26" x14ac:dyDescent="0.3">
      <c r="A1000" s="2" t="s">
        <v>5829</v>
      </c>
      <c r="B1000" s="8" t="s">
        <v>67</v>
      </c>
      <c r="C1000" s="2" t="s">
        <v>5830</v>
      </c>
      <c r="D1000" s="2" t="s">
        <v>5831</v>
      </c>
      <c r="E1000" s="2" t="s">
        <v>5832</v>
      </c>
      <c r="F1000" s="2" t="s">
        <v>5833</v>
      </c>
      <c r="G1000" s="2" t="s">
        <v>140</v>
      </c>
      <c r="H1000" s="2" t="s">
        <v>141</v>
      </c>
      <c r="I1000" s="2" t="s">
        <v>31</v>
      </c>
      <c r="J1000" s="2" t="s">
        <v>5834</v>
      </c>
      <c r="K1000" s="2" t="s">
        <v>143</v>
      </c>
      <c r="L1000" s="2">
        <v>2</v>
      </c>
      <c r="M1000" s="3">
        <v>87.98</v>
      </c>
      <c r="N1000" s="2" t="s">
        <v>34</v>
      </c>
      <c r="O1000" s="3">
        <v>0</v>
      </c>
      <c r="P1000" s="3">
        <v>0</v>
      </c>
      <c r="Q1000" s="3">
        <v>7.48</v>
      </c>
      <c r="R1000" s="3">
        <v>95.46</v>
      </c>
      <c r="S1000" s="2" t="s">
        <v>123</v>
      </c>
      <c r="T1000" s="2" t="s">
        <v>36</v>
      </c>
      <c r="U1000" s="2" t="s">
        <v>66</v>
      </c>
      <c r="V1000" s="2" t="s">
        <v>270</v>
      </c>
      <c r="W1000" s="3">
        <v>0</v>
      </c>
      <c r="X1000" t="str">
        <f t="shared" si="45"/>
        <v>July</v>
      </c>
      <c r="Y1000" t="str">
        <f t="shared" si="46"/>
        <v>Q3</v>
      </c>
      <c r="Z1000" s="7">
        <f t="shared" si="47"/>
        <v>87.98</v>
      </c>
    </row>
    <row r="1001" spans="1:26" x14ac:dyDescent="0.3">
      <c r="A1001" s="4" t="s">
        <v>5835</v>
      </c>
      <c r="B1001" s="9" t="s">
        <v>202</v>
      </c>
      <c r="C1001" s="4" t="s">
        <v>5836</v>
      </c>
      <c r="D1001" s="4" t="s">
        <v>5837</v>
      </c>
      <c r="E1001" s="4" t="s">
        <v>5838</v>
      </c>
      <c r="F1001" s="4" t="s">
        <v>5839</v>
      </c>
      <c r="G1001" s="4" t="s">
        <v>74</v>
      </c>
      <c r="H1001" s="4" t="s">
        <v>75</v>
      </c>
      <c r="I1001" s="4" t="s">
        <v>31</v>
      </c>
      <c r="J1001" s="4" t="s">
        <v>1054</v>
      </c>
      <c r="K1001" s="4" t="s">
        <v>364</v>
      </c>
      <c r="L1001" s="4">
        <v>1</v>
      </c>
      <c r="M1001" s="5">
        <v>44.99</v>
      </c>
      <c r="N1001" s="4" t="s">
        <v>78</v>
      </c>
      <c r="O1001" s="5">
        <v>4.5</v>
      </c>
      <c r="P1001" s="5">
        <v>9.99</v>
      </c>
      <c r="Q1001" s="5">
        <v>3.64</v>
      </c>
      <c r="R1001" s="5">
        <v>54.12</v>
      </c>
      <c r="S1001" s="4" t="s">
        <v>64</v>
      </c>
      <c r="T1001" s="4" t="s">
        <v>36</v>
      </c>
      <c r="U1001" s="4" t="s">
        <v>66</v>
      </c>
      <c r="V1001" s="4" t="s">
        <v>3421</v>
      </c>
      <c r="W1001" s="5">
        <v>0</v>
      </c>
      <c r="X1001" t="str">
        <f t="shared" si="45"/>
        <v>August</v>
      </c>
      <c r="Y1001" t="str">
        <f t="shared" si="46"/>
        <v>Q3</v>
      </c>
      <c r="Z1001" s="7">
        <f t="shared" si="47"/>
        <v>40.49</v>
      </c>
    </row>
  </sheetData>
  <autoFilter ref="A1:Z1001" xr:uid="{BDD789ED-9F62-4EE2-8ED2-6A8301E6DB8A}"/>
  <conditionalFormatting sqref="A1:W1001">
    <cfRule type="containsBlanks" dxfId="1" priority="1">
      <formula>LEN(TRIM(A1))=0</formula>
    </cfRule>
    <cfRule type="containsBlanks" priority="2">
      <formula>LEN(TRIM(A1))=0</formula>
    </cfRule>
  </conditionalFormatting>
  <conditionalFormatting sqref="A1:XFD1 AA2:XFD1001 A1002:XFD1048576">
    <cfRule type="containsBlanks" priority="3">
      <formula>LEN(TRIM(A1))=0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2FAC-84CD-4D76-9115-D136BF2BF460}">
  <sheetPr>
    <tabColor rgb="FFFFFF00"/>
  </sheetPr>
  <dimension ref="B2:I14"/>
  <sheetViews>
    <sheetView workbookViewId="0">
      <selection activeCell="D9" sqref="D9"/>
    </sheetView>
  </sheetViews>
  <sheetFormatPr defaultRowHeight="14.4" x14ac:dyDescent="0.3"/>
  <cols>
    <col min="2" max="2" width="8.88671875" customWidth="1"/>
    <col min="3" max="3" width="22.77734375" customWidth="1"/>
    <col min="4" max="4" width="13.88671875" customWidth="1"/>
    <col min="8" max="8" width="13.21875" hidden="1" customWidth="1"/>
    <col min="9" max="9" width="15.21875" hidden="1" customWidth="1"/>
  </cols>
  <sheetData>
    <row r="2" spans="2:9" ht="18" x14ac:dyDescent="0.35">
      <c r="B2" s="12" t="s">
        <v>5848</v>
      </c>
      <c r="C2" s="12"/>
      <c r="D2" s="12"/>
      <c r="E2" s="13"/>
      <c r="F2" s="13"/>
      <c r="H2" t="s">
        <v>5854</v>
      </c>
      <c r="I2" t="s">
        <v>5855</v>
      </c>
    </row>
    <row r="3" spans="2:9" ht="21" x14ac:dyDescent="0.4">
      <c r="B3" s="14" t="s">
        <v>5840</v>
      </c>
      <c r="C3" s="14"/>
      <c r="D3" s="15">
        <f>COUNTA('Raw Data'!A2:A1001)</f>
        <v>1000</v>
      </c>
      <c r="H3" s="10">
        <v>1</v>
      </c>
      <c r="I3" s="11" cm="1">
        <f t="array" ref="I3">SUMPRODUCT((MONTH(Orders_Clean!B2:B1001)=1)*Orders_Clean!R2:R1001)</f>
        <v>12015.350000000002</v>
      </c>
    </row>
    <row r="4" spans="2:9" ht="21" x14ac:dyDescent="0.4">
      <c r="B4" s="14" t="s">
        <v>5841</v>
      </c>
      <c r="C4" s="14"/>
      <c r="D4" s="15">
        <f>SUM('Raw Data'!R2:R1001)</f>
        <v>137929.04999999993</v>
      </c>
      <c r="H4" s="10">
        <v>2</v>
      </c>
      <c r="I4" s="11" cm="1">
        <f t="array" ref="I4">SUMPRODUCT((MONTH(Orders_Clean!B2:B1001)=2)*Orders_Clean!R2:R1001)</f>
        <v>11262.67</v>
      </c>
    </row>
    <row r="5" spans="2:9" ht="21" x14ac:dyDescent="0.4">
      <c r="B5" s="14" t="s">
        <v>5849</v>
      </c>
      <c r="C5" s="14"/>
      <c r="D5" s="15">
        <f>AVERAGE('Raw Data'!R2:R1001)</f>
        <v>137.92904999999993</v>
      </c>
      <c r="H5" s="10">
        <v>3</v>
      </c>
      <c r="I5" s="11" cm="1">
        <f t="array" ref="I5">SUMPRODUCT((MONTH(Orders_Clean!B2:B1001)=3)*Orders_Clean!R2:R1001)</f>
        <v>11094.629999999997</v>
      </c>
    </row>
    <row r="6" spans="2:9" ht="21" x14ac:dyDescent="0.4">
      <c r="B6" s="14" t="s">
        <v>5850</v>
      </c>
      <c r="C6" s="14"/>
      <c r="D6" s="15">
        <f>SUM('Raw Data'!O2:O1001)</f>
        <v>11873.41999999998</v>
      </c>
      <c r="H6" s="10">
        <v>4</v>
      </c>
      <c r="I6" s="11" cm="1">
        <f t="array" ref="I6">SUMPRODUCT((MONTH(Orders_Clean!B2:B1001)=4)*Orders_Clean!R2:R1001)</f>
        <v>10162.840000000002</v>
      </c>
    </row>
    <row r="7" spans="2:9" ht="21" x14ac:dyDescent="0.4">
      <c r="B7" s="14" t="s">
        <v>5842</v>
      </c>
      <c r="C7" s="14"/>
      <c r="D7" s="15">
        <f>SUM('Raw Data'!W2:W1001)</f>
        <v>13886.310000000005</v>
      </c>
      <c r="H7" s="10">
        <v>5</v>
      </c>
      <c r="I7" s="11" cm="1">
        <f t="array" ref="I7">SUMPRODUCT((MONTH(Orders_Clean!B2:B1001)=5)*Orders_Clean!R2:R1001)</f>
        <v>11951.199999999999</v>
      </c>
    </row>
    <row r="8" spans="2:9" ht="21" x14ac:dyDescent="0.4">
      <c r="B8" s="14" t="s">
        <v>5851</v>
      </c>
      <c r="C8" s="14"/>
      <c r="D8" s="16">
        <f>COUNTIF('Raw Data'!U2:U1001,"Refunded")/COUNTA('Raw Data'!A2:A1001)</f>
        <v>0.1</v>
      </c>
      <c r="H8" s="10">
        <v>6</v>
      </c>
      <c r="I8" s="11" cm="1">
        <f t="array" ref="I8">SUMPRODUCT((MONTH(Orders_Clean!B2:B1001)=6)*Orders_Clean!R2:R1001)</f>
        <v>9587.24</v>
      </c>
    </row>
    <row r="9" spans="2:9" ht="21" x14ac:dyDescent="0.4">
      <c r="B9" s="14" t="s">
        <v>5852</v>
      </c>
      <c r="C9" s="14"/>
      <c r="D9" s="16">
        <f>COUNTIF('Raw Data'!U2:U1001,"Cancelled")/COUNTA('Raw Data'!A2:A1001)</f>
        <v>0.11700000000000001</v>
      </c>
      <c r="H9" s="10">
        <v>7</v>
      </c>
      <c r="I9" s="11" cm="1">
        <f t="array" ref="I9">SUMPRODUCT((MONTH(Orders_Clean!B2:B1001)=7)*Orders_Clean!R2:R1001)</f>
        <v>10833.230000000001</v>
      </c>
    </row>
    <row r="10" spans="2:9" ht="21" x14ac:dyDescent="0.4">
      <c r="B10" s="14" t="s">
        <v>5853</v>
      </c>
      <c r="C10" s="14"/>
      <c r="D10" s="15" t="str">
        <f>TEXT(DATE(2024,MATCH(MAX(I2:I13),I2:I13,0),1),"MMMM")</f>
        <v>November</v>
      </c>
      <c r="H10" s="10">
        <v>8</v>
      </c>
      <c r="I10" s="11" cm="1">
        <f t="array" ref="I10">SUMPRODUCT((MONTH(Orders_Clean!B2:B1001)=8)*Orders_Clean!R2:R1001)</f>
        <v>11882.41</v>
      </c>
    </row>
    <row r="11" spans="2:9" ht="21" x14ac:dyDescent="0.4">
      <c r="B11" s="14" t="s">
        <v>5843</v>
      </c>
      <c r="C11" s="14"/>
      <c r="D11" s="15">
        <f>COUNTIF('Raw Data'!P2:P1001,0)</f>
        <v>637</v>
      </c>
      <c r="H11" s="10">
        <v>9</v>
      </c>
      <c r="I11" s="11" cm="1">
        <f t="array" ref="I11">SUMPRODUCT((MONTH(Orders_Clean!B2:B1001)=9)*Orders_Clean!R2:R1001)</f>
        <v>11557.709999999995</v>
      </c>
    </row>
    <row r="12" spans="2:9" x14ac:dyDescent="0.3">
      <c r="H12" s="10">
        <v>10</v>
      </c>
      <c r="I12" s="11" cm="1">
        <f t="array" ref="I12">SUMPRODUCT((MONTH(Orders_Clean!B2:B1001)=10)*Orders_Clean!R2:R1001)</f>
        <v>15430.390000000007</v>
      </c>
    </row>
    <row r="13" spans="2:9" x14ac:dyDescent="0.3">
      <c r="H13" s="10">
        <v>11</v>
      </c>
      <c r="I13" s="11" cm="1">
        <f t="array" ref="I13">SUMPRODUCT((MONTH(Orders_Clean!B2:B1001)=11)*Orders_Clean!R2:R1001)</f>
        <v>12119.81</v>
      </c>
    </row>
    <row r="14" spans="2:9" x14ac:dyDescent="0.3">
      <c r="H14" s="10">
        <v>12</v>
      </c>
      <c r="I14" s="11" cm="1">
        <f t="array" ref="I14">SUMPRODUCT((MONTH(Orders_Clean!B2:B1001)=12)*Orders_Clean!R2:R1001)</f>
        <v>10031.569999999996</v>
      </c>
    </row>
  </sheetData>
  <phoneticPr fontId="6" type="noConversion"/>
  <conditionalFormatting sqref="D8:D9">
    <cfRule type="cellIs" dxfId="0" priority="1" operator="greaterThan">
      <formula>0.05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0D8E0-DF2E-49DB-A01B-742AD88667D3}">
  <sheetPr>
    <tabColor rgb="FF92D050"/>
  </sheetPr>
  <dimension ref="A3:B17"/>
  <sheetViews>
    <sheetView workbookViewId="0">
      <selection activeCell="P38" sqref="P38"/>
    </sheetView>
  </sheetViews>
  <sheetFormatPr defaultRowHeight="14.4" x14ac:dyDescent="0.3"/>
  <cols>
    <col min="1" max="1" width="10.77734375" bestFit="1" customWidth="1"/>
    <col min="2" max="2" width="17.77734375" bestFit="1" customWidth="1"/>
  </cols>
  <sheetData>
    <row r="3" spans="1:2" x14ac:dyDescent="0.3">
      <c r="A3" s="17" t="s">
        <v>5869</v>
      </c>
      <c r="B3" t="s">
        <v>5892</v>
      </c>
    </row>
    <row r="4" spans="1:2" x14ac:dyDescent="0.3">
      <c r="A4" s="19" t="s">
        <v>5856</v>
      </c>
      <c r="B4" s="20">
        <v>12015.350000000002</v>
      </c>
    </row>
    <row r="5" spans="1:2" x14ac:dyDescent="0.3">
      <c r="A5" s="19" t="s">
        <v>5857</v>
      </c>
      <c r="B5" s="20">
        <v>11262.67</v>
      </c>
    </row>
    <row r="6" spans="1:2" x14ac:dyDescent="0.3">
      <c r="A6" s="19" t="s">
        <v>5858</v>
      </c>
      <c r="B6" s="20">
        <v>11094.629999999997</v>
      </c>
    </row>
    <row r="7" spans="1:2" x14ac:dyDescent="0.3">
      <c r="A7" s="19" t="s">
        <v>5859</v>
      </c>
      <c r="B7" s="20">
        <v>10162.840000000002</v>
      </c>
    </row>
    <row r="8" spans="1:2" x14ac:dyDescent="0.3">
      <c r="A8" s="19" t="s">
        <v>5844</v>
      </c>
      <c r="B8" s="20">
        <v>11951.199999999999</v>
      </c>
    </row>
    <row r="9" spans="1:2" x14ac:dyDescent="0.3">
      <c r="A9" s="19" t="s">
        <v>5860</v>
      </c>
      <c r="B9" s="20">
        <v>9587.24</v>
      </c>
    </row>
    <row r="10" spans="1:2" x14ac:dyDescent="0.3">
      <c r="A10" s="19" t="s">
        <v>5861</v>
      </c>
      <c r="B10" s="20">
        <v>10833.230000000001</v>
      </c>
    </row>
    <row r="11" spans="1:2" x14ac:dyDescent="0.3">
      <c r="A11" s="19" t="s">
        <v>5862</v>
      </c>
      <c r="B11" s="20">
        <v>11882.41</v>
      </c>
    </row>
    <row r="12" spans="1:2" x14ac:dyDescent="0.3">
      <c r="A12" s="19" t="s">
        <v>5863</v>
      </c>
      <c r="B12" s="20">
        <v>11557.709999999995</v>
      </c>
    </row>
    <row r="13" spans="1:2" x14ac:dyDescent="0.3">
      <c r="A13" s="19" t="s">
        <v>5864</v>
      </c>
      <c r="B13" s="20">
        <v>15430.390000000007</v>
      </c>
    </row>
    <row r="14" spans="1:2" x14ac:dyDescent="0.3">
      <c r="A14" s="19" t="s">
        <v>5865</v>
      </c>
      <c r="B14" s="20">
        <v>12119.81</v>
      </c>
    </row>
    <row r="15" spans="1:2" x14ac:dyDescent="0.3">
      <c r="A15" s="19" t="s">
        <v>5866</v>
      </c>
      <c r="B15" s="20">
        <v>10031.569999999996</v>
      </c>
    </row>
    <row r="16" spans="1:2" x14ac:dyDescent="0.3">
      <c r="A16" s="19" t="s">
        <v>5894</v>
      </c>
      <c r="B16" s="20"/>
    </row>
    <row r="17" spans="1:2" x14ac:dyDescent="0.3">
      <c r="A17" s="18" t="s">
        <v>5867</v>
      </c>
      <c r="B17">
        <v>137929.05000000002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79B6-50F4-43EB-A541-90E46139D752}">
  <sheetPr>
    <tabColor rgb="FF92D050"/>
  </sheetPr>
  <dimension ref="A3:C13"/>
  <sheetViews>
    <sheetView workbookViewId="0">
      <selection activeCell="C12" sqref="C12"/>
    </sheetView>
  </sheetViews>
  <sheetFormatPr defaultRowHeight="14.4" x14ac:dyDescent="0.3"/>
  <cols>
    <col min="1" max="1" width="14.77734375" bestFit="1" customWidth="1"/>
    <col min="2" max="2" width="14.44140625" bestFit="1" customWidth="1"/>
    <col min="3" max="3" width="17.88671875" bestFit="1" customWidth="1"/>
  </cols>
  <sheetData>
    <row r="3" spans="1:3" x14ac:dyDescent="0.3">
      <c r="A3" s="17" t="s">
        <v>19</v>
      </c>
      <c r="B3" t="s">
        <v>5868</v>
      </c>
      <c r="C3" t="s">
        <v>5870</v>
      </c>
    </row>
    <row r="4" spans="1:3" x14ac:dyDescent="0.3">
      <c r="A4" s="19" t="s">
        <v>65</v>
      </c>
      <c r="B4" s="20">
        <v>62</v>
      </c>
      <c r="C4" s="20">
        <v>8795.3599999999988</v>
      </c>
    </row>
    <row r="5" spans="1:3" x14ac:dyDescent="0.3">
      <c r="A5" s="19" t="s">
        <v>183</v>
      </c>
      <c r="B5" s="20">
        <v>70</v>
      </c>
      <c r="C5" s="20">
        <v>9891.7999999999993</v>
      </c>
    </row>
    <row r="6" spans="1:3" x14ac:dyDescent="0.3">
      <c r="A6" s="19" t="s">
        <v>36</v>
      </c>
      <c r="B6" s="20">
        <v>159</v>
      </c>
      <c r="C6" s="20">
        <v>22135.539999999986</v>
      </c>
    </row>
    <row r="7" spans="1:3" x14ac:dyDescent="0.3">
      <c r="A7" s="19" t="s">
        <v>144</v>
      </c>
      <c r="B7" s="20">
        <v>91</v>
      </c>
      <c r="C7" s="20">
        <v>13660.339999999995</v>
      </c>
    </row>
    <row r="8" spans="1:3" x14ac:dyDescent="0.3">
      <c r="A8" s="19" t="s">
        <v>173</v>
      </c>
      <c r="B8" s="20">
        <v>141</v>
      </c>
      <c r="C8" s="20">
        <v>18093.53</v>
      </c>
    </row>
    <row r="9" spans="1:3" x14ac:dyDescent="0.3">
      <c r="A9" s="19" t="s">
        <v>99</v>
      </c>
      <c r="B9" s="20">
        <v>397</v>
      </c>
      <c r="C9" s="20">
        <v>54025.510000000017</v>
      </c>
    </row>
    <row r="10" spans="1:3" x14ac:dyDescent="0.3">
      <c r="A10" s="19" t="s">
        <v>325</v>
      </c>
      <c r="B10" s="20">
        <v>32</v>
      </c>
      <c r="C10" s="20">
        <v>4946.67</v>
      </c>
    </row>
    <row r="11" spans="1:3" x14ac:dyDescent="0.3">
      <c r="A11" s="19" t="s">
        <v>50</v>
      </c>
      <c r="B11" s="20">
        <v>48</v>
      </c>
      <c r="C11" s="20">
        <v>6380.3</v>
      </c>
    </row>
    <row r="12" spans="1:3" x14ac:dyDescent="0.3">
      <c r="A12" s="19" t="s">
        <v>5894</v>
      </c>
      <c r="B12" s="20"/>
      <c r="C12" s="20"/>
    </row>
    <row r="13" spans="1:3" x14ac:dyDescent="0.3">
      <c r="A13" s="18" t="s">
        <v>5867</v>
      </c>
      <c r="B13">
        <v>1000</v>
      </c>
      <c r="C13">
        <v>137929.04999999967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B1A8-5788-4905-9590-011BB0F25E94}">
  <sheetPr>
    <tabColor rgb="FF92D050"/>
  </sheetPr>
  <dimension ref="A3:C9"/>
  <sheetViews>
    <sheetView workbookViewId="0">
      <selection activeCell="C4" sqref="C4"/>
    </sheetView>
  </sheetViews>
  <sheetFormatPr defaultRowHeight="14.4" x14ac:dyDescent="0.3"/>
  <cols>
    <col min="1" max="1" width="17.88671875" bestFit="1" customWidth="1"/>
    <col min="2" max="2" width="14.44140625" bestFit="1" customWidth="1"/>
    <col min="3" max="3" width="12.5546875" customWidth="1"/>
  </cols>
  <sheetData>
    <row r="3" spans="1:3" x14ac:dyDescent="0.3">
      <c r="A3" s="17" t="s">
        <v>20</v>
      </c>
      <c r="B3" t="s">
        <v>5868</v>
      </c>
      <c r="C3" s="21" t="s">
        <v>5871</v>
      </c>
    </row>
    <row r="4" spans="1:3" x14ac:dyDescent="0.3">
      <c r="A4" s="19" t="s">
        <v>100</v>
      </c>
      <c r="B4" s="20">
        <v>117</v>
      </c>
      <c r="C4" s="23">
        <f>B4/$B$9</f>
        <v>0.11700000000000001</v>
      </c>
    </row>
    <row r="5" spans="1:3" x14ac:dyDescent="0.3">
      <c r="A5" s="19" t="s">
        <v>66</v>
      </c>
      <c r="B5" s="20">
        <v>560</v>
      </c>
      <c r="C5" s="23">
        <f t="shared" ref="C5:C9" si="0">B5/$B$9</f>
        <v>0.56000000000000005</v>
      </c>
    </row>
    <row r="6" spans="1:3" x14ac:dyDescent="0.3">
      <c r="A6" s="19" t="s">
        <v>51</v>
      </c>
      <c r="B6" s="20">
        <v>115</v>
      </c>
      <c r="C6" s="23">
        <f t="shared" si="0"/>
        <v>0.115</v>
      </c>
    </row>
    <row r="7" spans="1:3" x14ac:dyDescent="0.3">
      <c r="A7" s="19" t="s">
        <v>37</v>
      </c>
      <c r="B7" s="20">
        <v>100</v>
      </c>
      <c r="C7" s="23">
        <f t="shared" si="0"/>
        <v>0.1</v>
      </c>
    </row>
    <row r="8" spans="1:3" x14ac:dyDescent="0.3">
      <c r="A8" s="19" t="s">
        <v>317</v>
      </c>
      <c r="B8" s="20">
        <v>108</v>
      </c>
      <c r="C8" s="23">
        <f t="shared" si="0"/>
        <v>0.108</v>
      </c>
    </row>
    <row r="9" spans="1:3" x14ac:dyDescent="0.3">
      <c r="A9" s="18" t="s">
        <v>5867</v>
      </c>
      <c r="B9">
        <v>1000</v>
      </c>
      <c r="C9" s="22">
        <f t="shared" si="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EBF4-611E-485A-AAAD-2703D66386ED}">
  <sheetPr>
    <tabColor rgb="FF92D050"/>
  </sheetPr>
  <dimension ref="A3:B14"/>
  <sheetViews>
    <sheetView workbookViewId="0">
      <selection activeCell="B22" sqref="B22"/>
    </sheetView>
  </sheetViews>
  <sheetFormatPr defaultRowHeight="14.4" x14ac:dyDescent="0.3"/>
  <cols>
    <col min="1" max="2" width="17.88671875" bestFit="1" customWidth="1"/>
  </cols>
  <sheetData>
    <row r="3" spans="1:2" x14ac:dyDescent="0.3">
      <c r="A3" s="17" t="s">
        <v>10</v>
      </c>
      <c r="B3" t="s">
        <v>5872</v>
      </c>
    </row>
    <row r="4" spans="1:2" x14ac:dyDescent="0.3">
      <c r="A4" s="19" t="s">
        <v>209</v>
      </c>
      <c r="B4" s="20">
        <v>29497.700000000004</v>
      </c>
    </row>
    <row r="5" spans="1:2" x14ac:dyDescent="0.3">
      <c r="A5" s="19" t="s">
        <v>122</v>
      </c>
      <c r="B5" s="20">
        <v>20735.62</v>
      </c>
    </row>
    <row r="6" spans="1:2" x14ac:dyDescent="0.3">
      <c r="A6" s="19" t="s">
        <v>143</v>
      </c>
      <c r="B6" s="20">
        <v>18619.95</v>
      </c>
    </row>
    <row r="7" spans="1:2" x14ac:dyDescent="0.3">
      <c r="A7" s="19" t="s">
        <v>62</v>
      </c>
      <c r="B7" s="20">
        <v>13417.3</v>
      </c>
    </row>
    <row r="8" spans="1:2" x14ac:dyDescent="0.3">
      <c r="A8" s="19" t="s">
        <v>33</v>
      </c>
      <c r="B8" s="20">
        <v>12370.7</v>
      </c>
    </row>
    <row r="9" spans="1:2" x14ac:dyDescent="0.3">
      <c r="A9" s="19" t="s">
        <v>48</v>
      </c>
      <c r="B9" s="20">
        <v>12082.000000000002</v>
      </c>
    </row>
    <row r="10" spans="1:2" x14ac:dyDescent="0.3">
      <c r="A10" s="19" t="s">
        <v>110</v>
      </c>
      <c r="B10" s="20">
        <v>10360.239999999996</v>
      </c>
    </row>
    <row r="11" spans="1:2" x14ac:dyDescent="0.3">
      <c r="A11" s="19" t="s">
        <v>77</v>
      </c>
      <c r="B11" s="20">
        <v>10277.129999999999</v>
      </c>
    </row>
    <row r="12" spans="1:2" x14ac:dyDescent="0.3">
      <c r="A12" s="19" t="s">
        <v>364</v>
      </c>
      <c r="B12" s="20">
        <v>7646.8200000000024</v>
      </c>
    </row>
    <row r="13" spans="1:2" x14ac:dyDescent="0.3">
      <c r="A13" s="19" t="s">
        <v>679</v>
      </c>
      <c r="B13" s="20">
        <v>2921.59</v>
      </c>
    </row>
    <row r="14" spans="1:2" x14ac:dyDescent="0.3">
      <c r="A14" s="18" t="s">
        <v>5867</v>
      </c>
      <c r="B14">
        <v>137929.04999999999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E64A-045F-4953-8325-630C864C10CC}">
  <sheetPr>
    <tabColor rgb="FF92D050"/>
  </sheetPr>
  <dimension ref="A3:B12"/>
  <sheetViews>
    <sheetView workbookViewId="0">
      <selection activeCell="B12" sqref="B12"/>
    </sheetView>
  </sheetViews>
  <sheetFormatPr defaultRowHeight="14.4" x14ac:dyDescent="0.3"/>
  <cols>
    <col min="1" max="1" width="18.109375" bestFit="1" customWidth="1"/>
    <col min="2" max="2" width="21" bestFit="1" customWidth="1"/>
  </cols>
  <sheetData>
    <row r="3" spans="1:2" x14ac:dyDescent="0.3">
      <c r="A3" s="24" t="s">
        <v>18</v>
      </c>
      <c r="B3" s="20" t="s">
        <v>5873</v>
      </c>
    </row>
    <row r="4" spans="1:2" x14ac:dyDescent="0.3">
      <c r="A4" s="19" t="s">
        <v>98</v>
      </c>
      <c r="B4" s="20">
        <v>140.64428571428573</v>
      </c>
    </row>
    <row r="5" spans="1:2" x14ac:dyDescent="0.3">
      <c r="A5" s="19" t="s">
        <v>111</v>
      </c>
      <c r="B5" s="20">
        <v>139.37583333333339</v>
      </c>
    </row>
    <row r="6" spans="1:2" x14ac:dyDescent="0.3">
      <c r="A6" s="19" t="s">
        <v>35</v>
      </c>
      <c r="B6" s="20">
        <v>135.61138036809814</v>
      </c>
    </row>
    <row r="7" spans="1:2" x14ac:dyDescent="0.3">
      <c r="A7" s="19" t="s">
        <v>123</v>
      </c>
      <c r="B7" s="20">
        <v>133.96239795918365</v>
      </c>
    </row>
    <row r="8" spans="1:2" x14ac:dyDescent="0.3">
      <c r="A8" s="19" t="s">
        <v>79</v>
      </c>
      <c r="B8" s="20">
        <v>128.45033333333333</v>
      </c>
    </row>
    <row r="9" spans="1:2" x14ac:dyDescent="0.3">
      <c r="A9" s="19" t="s">
        <v>437</v>
      </c>
      <c r="B9" s="20">
        <v>147.79774193548386</v>
      </c>
    </row>
    <row r="10" spans="1:2" x14ac:dyDescent="0.3">
      <c r="A10" s="19" t="s">
        <v>64</v>
      </c>
      <c r="B10" s="20">
        <v>150.25009708737855</v>
      </c>
    </row>
    <row r="11" spans="1:2" x14ac:dyDescent="0.3">
      <c r="A11" s="19" t="s">
        <v>332</v>
      </c>
      <c r="B11" s="20">
        <v>128.61852631578947</v>
      </c>
    </row>
    <row r="12" spans="1:2" x14ac:dyDescent="0.3">
      <c r="A12" s="19" t="s">
        <v>5867</v>
      </c>
      <c r="B12" s="20">
        <v>137.9290499999999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0A8AC-CB7C-419D-A3D9-18FAB4BF44FA}">
  <sheetPr>
    <tabColor theme="8" tint="-0.249977111117893"/>
  </sheetPr>
  <dimension ref="A1:P8"/>
  <sheetViews>
    <sheetView showGridLines="0" zoomScaleNormal="100" workbookViewId="0">
      <selection activeCell="P38" sqref="P38"/>
    </sheetView>
  </sheetViews>
  <sheetFormatPr defaultRowHeight="14.4" x14ac:dyDescent="0.3"/>
  <cols>
    <col min="1" max="1" width="7.21875" customWidth="1"/>
  </cols>
  <sheetData>
    <row r="1" spans="1:16" x14ac:dyDescent="0.3">
      <c r="A1" s="40" t="s">
        <v>5874</v>
      </c>
      <c r="B1" s="41"/>
      <c r="C1" s="41"/>
      <c r="D1" s="41"/>
      <c r="E1" s="41"/>
      <c r="F1" s="41"/>
      <c r="G1" s="41"/>
      <c r="H1" s="41"/>
      <c r="I1" s="41"/>
      <c r="J1" s="41"/>
      <c r="K1" s="41"/>
      <c r="L1" s="41"/>
      <c r="M1" s="41"/>
      <c r="N1" s="41"/>
      <c r="O1" s="41"/>
      <c r="P1" s="41"/>
    </row>
    <row r="2" spans="1:16" x14ac:dyDescent="0.3">
      <c r="A2" s="41"/>
      <c r="B2" s="41"/>
      <c r="C2" s="41"/>
      <c r="D2" s="41"/>
      <c r="E2" s="41"/>
      <c r="F2" s="41"/>
      <c r="G2" s="41"/>
      <c r="H2" s="41"/>
      <c r="I2" s="41"/>
      <c r="J2" s="41"/>
      <c r="K2" s="41"/>
      <c r="L2" s="41"/>
      <c r="M2" s="41"/>
      <c r="N2" s="41"/>
      <c r="O2" s="41"/>
      <c r="P2" s="41"/>
    </row>
    <row r="3" spans="1:16" ht="30" customHeight="1" x14ac:dyDescent="0.3">
      <c r="A3" s="45"/>
      <c r="B3" s="42" t="s">
        <v>5875</v>
      </c>
      <c r="C3" s="43"/>
      <c r="D3" s="43"/>
      <c r="E3" s="48"/>
      <c r="F3" s="46" t="s">
        <v>5876</v>
      </c>
      <c r="G3" s="46"/>
      <c r="H3" s="46"/>
      <c r="I3" s="49"/>
      <c r="J3" s="50" t="s">
        <v>5877</v>
      </c>
      <c r="K3" s="50"/>
      <c r="L3" s="50"/>
      <c r="M3" s="54"/>
      <c r="N3" s="52" t="s">
        <v>5878</v>
      </c>
      <c r="O3" s="52"/>
      <c r="P3" s="52"/>
    </row>
    <row r="4" spans="1:16" ht="30" customHeight="1" x14ac:dyDescent="0.3">
      <c r="A4" s="45"/>
      <c r="B4" s="43"/>
      <c r="C4" s="43"/>
      <c r="D4" s="43"/>
      <c r="E4" s="48"/>
      <c r="F4" s="46"/>
      <c r="G4" s="46"/>
      <c r="H4" s="46"/>
      <c r="I4" s="49"/>
      <c r="J4" s="50"/>
      <c r="K4" s="50"/>
      <c r="L4" s="50"/>
      <c r="M4" s="54"/>
      <c r="N4" s="52"/>
      <c r="O4" s="52"/>
      <c r="P4" s="52"/>
    </row>
    <row r="5" spans="1:16" ht="30" customHeight="1" x14ac:dyDescent="0.3">
      <c r="A5" s="45"/>
      <c r="B5" s="44">
        <f>SUM('Raw Data'!R2:R1001)</f>
        <v>137929.04999999993</v>
      </c>
      <c r="C5" s="44"/>
      <c r="D5" s="44"/>
      <c r="E5" s="48"/>
      <c r="F5" s="47">
        <f>COUNTA('Raw Data'!A2:A1001)</f>
        <v>1000</v>
      </c>
      <c r="G5" s="47"/>
      <c r="H5" s="47"/>
      <c r="I5" s="49"/>
      <c r="J5" s="51">
        <f>AVERAGE('Raw Data'!R2:R1001)</f>
        <v>137.92904999999993</v>
      </c>
      <c r="K5" s="51"/>
      <c r="L5" s="51"/>
      <c r="M5" s="54"/>
      <c r="N5" s="53">
        <f>COUNTIF('Raw Data'!U2:U1001,"Refunded")/COUNTA('Raw Data'!A2:A1001)</f>
        <v>0.1</v>
      </c>
      <c r="O5" s="53"/>
      <c r="P5" s="53"/>
    </row>
    <row r="6" spans="1:16" ht="30" customHeight="1" x14ac:dyDescent="0.3">
      <c r="A6" s="45"/>
      <c r="B6" s="44"/>
      <c r="C6" s="44"/>
      <c r="D6" s="44"/>
      <c r="E6" s="48"/>
      <c r="F6" s="47"/>
      <c r="G6" s="47"/>
      <c r="H6" s="47"/>
      <c r="I6" s="49"/>
      <c r="J6" s="51"/>
      <c r="K6" s="51"/>
      <c r="L6" s="51"/>
      <c r="M6" s="54"/>
      <c r="N6" s="53"/>
      <c r="O6" s="53"/>
      <c r="P6" s="53"/>
    </row>
    <row r="7" spans="1:16" ht="30" customHeight="1" x14ac:dyDescent="0.3">
      <c r="A7" s="45"/>
      <c r="B7" s="44"/>
      <c r="C7" s="44"/>
      <c r="D7" s="44"/>
      <c r="E7" s="48"/>
      <c r="F7" s="47"/>
      <c r="G7" s="47"/>
      <c r="H7" s="47"/>
      <c r="I7" s="49"/>
      <c r="J7" s="51"/>
      <c r="K7" s="51"/>
      <c r="L7" s="51"/>
      <c r="M7" s="54"/>
      <c r="N7" s="53"/>
      <c r="O7" s="53"/>
      <c r="P7" s="53"/>
    </row>
    <row r="8" spans="1:16" ht="30" customHeight="1" x14ac:dyDescent="0.3"/>
  </sheetData>
  <mergeCells count="13">
    <mergeCell ref="A1:P2"/>
    <mergeCell ref="B3:D4"/>
    <mergeCell ref="B5:D7"/>
    <mergeCell ref="A3:A7"/>
    <mergeCell ref="F3:H4"/>
    <mergeCell ref="F5:H7"/>
    <mergeCell ref="E3:E7"/>
    <mergeCell ref="I3:I7"/>
    <mergeCell ref="J3:L4"/>
    <mergeCell ref="J5:L7"/>
    <mergeCell ref="N3:P4"/>
    <mergeCell ref="N5:P7"/>
    <mergeCell ref="M3:M7"/>
  </mergeCells>
  <phoneticPr fontId="6"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FFA5-4E87-4E07-B645-9FC22A101B0B}">
  <sheetPr>
    <tabColor rgb="FF92D050"/>
  </sheetPr>
  <dimension ref="A1:G17"/>
  <sheetViews>
    <sheetView showGridLines="0" workbookViewId="0">
      <selection activeCell="J7" sqref="J7"/>
    </sheetView>
  </sheetViews>
  <sheetFormatPr defaultRowHeight="14.4" x14ac:dyDescent="0.3"/>
  <cols>
    <col min="1" max="1" width="5.77734375" customWidth="1"/>
    <col min="2" max="2" width="64.21875" customWidth="1"/>
    <col min="3" max="3" width="22.77734375" customWidth="1"/>
    <col min="4" max="4" width="15.77734375" customWidth="1"/>
  </cols>
  <sheetData>
    <row r="1" spans="1:7" x14ac:dyDescent="0.3">
      <c r="A1" s="55" t="s">
        <v>5879</v>
      </c>
      <c r="B1" s="56"/>
      <c r="C1" s="56"/>
      <c r="D1" s="56"/>
      <c r="E1" s="56"/>
      <c r="F1" s="56"/>
      <c r="G1" s="56"/>
    </row>
    <row r="2" spans="1:7" ht="15" thickBot="1" x14ac:dyDescent="0.35"/>
    <row r="3" spans="1:7" ht="15" thickBot="1" x14ac:dyDescent="0.35">
      <c r="A3" s="57" t="s">
        <v>5880</v>
      </c>
      <c r="B3" s="58"/>
      <c r="C3" s="58"/>
      <c r="D3" s="58"/>
      <c r="E3" s="58"/>
      <c r="F3" s="58"/>
      <c r="G3" s="59"/>
    </row>
    <row r="5" spans="1:7" x14ac:dyDescent="0.3">
      <c r="A5" s="60" t="s">
        <v>5893</v>
      </c>
      <c r="B5" s="60"/>
      <c r="C5" s="60"/>
      <c r="D5" s="60"/>
      <c r="E5" s="60"/>
      <c r="F5" s="60"/>
      <c r="G5" s="60"/>
    </row>
    <row r="6" spans="1:7" ht="15" thickBot="1" x14ac:dyDescent="0.35"/>
    <row r="7" spans="1:7" ht="15" thickBot="1" x14ac:dyDescent="0.35">
      <c r="A7" s="37" t="s">
        <v>5881</v>
      </c>
      <c r="B7" s="38" t="s">
        <v>5882</v>
      </c>
      <c r="C7" s="38" t="s">
        <v>5883</v>
      </c>
      <c r="D7" s="39" t="s">
        <v>5884</v>
      </c>
    </row>
    <row r="8" spans="1:7" ht="28.05" customHeight="1" x14ac:dyDescent="0.3">
      <c r="A8" s="33">
        <v>1</v>
      </c>
      <c r="B8" s="34" t="s">
        <v>5885</v>
      </c>
      <c r="C8" s="35" cm="1">
        <f t="array" ref="C8">SUMPRODUCT((Orders_Clean!Y2:Y1001="Q4")*Orders_Clean!R2:R1001)</f>
        <v>37581.770000000004</v>
      </c>
      <c r="D8" s="36"/>
    </row>
    <row r="9" spans="1:7" ht="28.05" customHeight="1" x14ac:dyDescent="0.3">
      <c r="A9" s="28">
        <v>2</v>
      </c>
      <c r="B9" s="29" t="s">
        <v>5886</v>
      </c>
      <c r="C9" s="30">
        <f>COUNTIF(Orders_Clean!T2:T1001,"Online Store")</f>
        <v>397</v>
      </c>
      <c r="D9" s="20"/>
    </row>
    <row r="10" spans="1:7" ht="28.05" customHeight="1" x14ac:dyDescent="0.3">
      <c r="A10" s="26">
        <v>3</v>
      </c>
      <c r="B10" s="27" t="s">
        <v>5887</v>
      </c>
      <c r="C10" s="30">
        <f>COUNTIF(Orders_Clean!P2:P1001,0)</f>
        <v>637</v>
      </c>
      <c r="D10" s="20"/>
    </row>
    <row r="11" spans="1:7" ht="28.05" customHeight="1" x14ac:dyDescent="0.3">
      <c r="A11" s="28">
        <v>4</v>
      </c>
      <c r="B11" s="29" t="s">
        <v>5888</v>
      </c>
      <c r="C11" s="31">
        <f>COUNTIF(Orders_Clean!N2:N1001,"&lt;&gt;None")/COUNTA(Orders_Clean!A2:A1001)</f>
        <v>0.623</v>
      </c>
      <c r="D11" s="20"/>
    </row>
    <row r="12" spans="1:7" ht="28.05" customHeight="1" x14ac:dyDescent="0.3">
      <c r="A12" s="26">
        <v>5</v>
      </c>
      <c r="B12" s="27" t="s">
        <v>5889</v>
      </c>
      <c r="C12" s="32">
        <f>AVERAGEIF(Orders_Clean!U2:U1001,"Refunded",Orders_Clean!R2:R1001)</f>
        <v>138.86310000000006</v>
      </c>
      <c r="D12" s="20"/>
    </row>
    <row r="13" spans="1:7" ht="28.05" customHeight="1" x14ac:dyDescent="0.3">
      <c r="A13" s="28">
        <v>6</v>
      </c>
      <c r="B13" s="29" t="s">
        <v>5890</v>
      </c>
      <c r="C13" s="32">
        <f>SUMIF(Orders_Clean!K2:K1001,"Electronics",Orders_Clean!R2:R1001)</f>
        <v>29497.700000000004</v>
      </c>
      <c r="D13" s="20"/>
    </row>
    <row r="14" spans="1:7" ht="28.05" customHeight="1" x14ac:dyDescent="0.3">
      <c r="A14" s="26">
        <v>7</v>
      </c>
      <c r="B14" s="27" t="s">
        <v>5891</v>
      </c>
      <c r="C14" s="32">
        <f>AVERAGEIF(Orders_Clean!S2:S1001,"Shop Pay",Orders_Clean!R2:R1001)</f>
        <v>128.61852631578947</v>
      </c>
      <c r="D14" s="20"/>
    </row>
    <row r="17" spans="4:4" x14ac:dyDescent="0.3">
      <c r="D17" s="25"/>
    </row>
  </sheetData>
  <mergeCells count="3">
    <mergeCell ref="A1:G1"/>
    <mergeCell ref="A3:G3"/>
    <mergeCell ref="A5:G5"/>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xr2:uid="{82561EA2-32ED-4939-B018-886009DE818C}">
          <x14:colorSeries rgb="FF376092"/>
          <x14:colorNegative rgb="FFD00000"/>
          <x14:colorAxis rgb="FF000000"/>
          <x14:colorMarkers rgb="FFD00000"/>
          <x14:colorFirst rgb="FFD00000"/>
          <x14:colorLast rgb="FFD00000"/>
          <x14:colorHigh rgb="FFD00000"/>
          <x14:colorLow rgb="FFD00000"/>
          <x14:sparklines>
            <x14:sparkline>
              <xm:f>'Revenue by Month'!B4:B15</xm:f>
              <xm:sqref>D8</xm:sqref>
            </x14:sparkline>
            <x14:sparkline>
              <xm:f>'Revenue by Month'!B5:B16</xm:f>
              <xm:sqref>D9</xm:sqref>
            </x14:sparkline>
            <x14:sparkline>
              <xm:f>'Revenue by Month'!B6:B17</xm:f>
              <xm:sqref>D10</xm:sqref>
            </x14:sparkline>
            <x14:sparkline>
              <xm:f>'Revenue by Month'!B7:B18</xm:f>
              <xm:sqref>D11</xm:sqref>
            </x14:sparkline>
            <x14:sparkline>
              <xm:f>'Revenue by Month'!B8:B19</xm:f>
              <xm:sqref>D12</xm:sqref>
            </x14:sparkline>
            <x14:sparkline>
              <xm:f>'Revenue by Month'!B9:B20</xm:f>
              <xm:sqref>D13</xm:sqref>
            </x14:sparkline>
            <x14:sparkline>
              <xm:f>'Revenue by Month'!B10:B21</xm:f>
              <xm:sqref>D14</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Orders_Clean</vt:lpstr>
      <vt:lpstr>KPIs</vt:lpstr>
      <vt:lpstr>Revenue by Month</vt:lpstr>
      <vt:lpstr>Orders by Sales</vt:lpstr>
      <vt:lpstr>Fulfillment status breakdown</vt:lpstr>
      <vt:lpstr>Revenue by Product</vt:lpstr>
      <vt:lpstr>Payment Method 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Kedaar Prabhu</cp:lastModifiedBy>
  <dcterms:created xsi:type="dcterms:W3CDTF">2026-03-07T13:29:51Z</dcterms:created>
  <dcterms:modified xsi:type="dcterms:W3CDTF">2026-03-19T14:07:23Z</dcterms:modified>
</cp:coreProperties>
</file>